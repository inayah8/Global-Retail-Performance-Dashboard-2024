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Documents\DUMMY PROJEK\Global\"/>
    </mc:Choice>
  </mc:AlternateContent>
  <xr:revisionPtr revIDLastSave="0" documentId="13_ncr:1_{D51D4FDD-EAF8-4B3C-8339-16F5DEB3005C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RAW_DATA" sheetId="1" r:id="rId1"/>
    <sheet name="REF_Country" sheetId="2" r:id="rId2"/>
    <sheet name="REF_Target" sheetId="3" r:id="rId3"/>
    <sheet name="REF_Cost" sheetId="4" r:id="rId4"/>
    <sheet name="PETUNJUK" sheetId="5" r:id="rId5"/>
    <sheet name="ANALYSIS" sheetId="6" r:id="rId6"/>
    <sheet name="Pivot_1" sheetId="8" r:id="rId7"/>
    <sheet name="Pivot_2" sheetId="9" r:id="rId8"/>
    <sheet name="Pivot_3" sheetId="10" r:id="rId9"/>
    <sheet name="pivot_4" sheetId="11" r:id="rId10"/>
    <sheet name="Pivot_5" sheetId="12" r:id="rId11"/>
    <sheet name="Dashboard" sheetId="13" r:id="rId12"/>
  </sheets>
  <calcPr calcId="191029"/>
  <pivotCaches>
    <pivotCache cacheId="35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6" l="1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Y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W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U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</calcChain>
</file>

<file path=xl/sharedStrings.xml><?xml version="1.0" encoding="utf-8"?>
<sst xmlns="http://schemas.openxmlformats.org/spreadsheetml/2006/main" count="20172" uniqueCount="4115">
  <si>
    <t>Order_ID</t>
  </si>
  <si>
    <t>Order_Date</t>
  </si>
  <si>
    <t>Customer_Name</t>
  </si>
  <si>
    <t>Customer_Email</t>
  </si>
  <si>
    <t>Country</t>
  </si>
  <si>
    <t>Category</t>
  </si>
  <si>
    <t>Product</t>
  </si>
  <si>
    <t>Channel</t>
  </si>
  <si>
    <t>Payment_Method</t>
  </si>
  <si>
    <t>Status</t>
  </si>
  <si>
    <t>Quantity</t>
  </si>
  <si>
    <t>Unit_Price</t>
  </si>
  <si>
    <t>Discount_Rate</t>
  </si>
  <si>
    <t>Region</t>
  </si>
  <si>
    <t>Country_Code</t>
  </si>
  <si>
    <t>Tax_Rate</t>
  </si>
  <si>
    <t>Target_Q1</t>
  </si>
  <si>
    <t>Gross_Sales</t>
  </si>
  <si>
    <t>Discount_Amount</t>
  </si>
  <si>
    <t>Net_Sales</t>
  </si>
  <si>
    <t>Total_Cost</t>
  </si>
  <si>
    <t>Profit</t>
  </si>
  <si>
    <t>Month</t>
  </si>
  <si>
    <t>Quarter</t>
  </si>
  <si>
    <t>Year</t>
  </si>
  <si>
    <t>ORD-202493810</t>
  </si>
  <si>
    <t>2024-02-27 00:47</t>
  </si>
  <si>
    <t>Allison Hill</t>
  </si>
  <si>
    <t>donaldgarcia@example.net</t>
  </si>
  <si>
    <t>Vietnam</t>
  </si>
  <si>
    <t>Fashion</t>
  </si>
  <si>
    <t>Jeans</t>
  </si>
  <si>
    <t>Online</t>
  </si>
  <si>
    <t>Cash</t>
  </si>
  <si>
    <t>Returned</t>
  </si>
  <si>
    <t>ORD-202414165</t>
  </si>
  <si>
    <t>2024-01-16 02:13</t>
  </si>
  <si>
    <t>Angie Henderson</t>
  </si>
  <si>
    <t>davisjesse@example.net</t>
  </si>
  <si>
    <t>Thailand</t>
  </si>
  <si>
    <t>Beauty</t>
  </si>
  <si>
    <t>Shampoo</t>
  </si>
  <si>
    <t>Marketplace</t>
  </si>
  <si>
    <t>Debit Card</t>
  </si>
  <si>
    <t>ORD-202487236</t>
  </si>
  <si>
    <t>2024-05-22 00:48</t>
  </si>
  <si>
    <t>Cristian Santos</t>
  </si>
  <si>
    <t>lrobinson@example.com</t>
  </si>
  <si>
    <t>Singapore</t>
  </si>
  <si>
    <t>Sports</t>
  </si>
  <si>
    <t>Bicycle</t>
  </si>
  <si>
    <t>Credit Card</t>
  </si>
  <si>
    <t>ORD-202422676</t>
  </si>
  <si>
    <t>2024-07-02 11:38</t>
  </si>
  <si>
    <t>Abigail Shaffer</t>
  </si>
  <si>
    <t>jpeterson@example.org</t>
  </si>
  <si>
    <t>Electronics</t>
  </si>
  <si>
    <t>Headphone</t>
  </si>
  <si>
    <t>Distributor</t>
  </si>
  <si>
    <t>Cancelled</t>
  </si>
  <si>
    <t>ORD-202485674</t>
  </si>
  <si>
    <t>2024-04-08 22:04</t>
  </si>
  <si>
    <t>Gabrielle Davis</t>
  </si>
  <si>
    <t>howardmaurice@example.com</t>
  </si>
  <si>
    <t>Indonesia</t>
  </si>
  <si>
    <t>Jacket</t>
  </si>
  <si>
    <t>E-Wallet</t>
  </si>
  <si>
    <t>ORD-202493320</t>
  </si>
  <si>
    <t>2024-07-05 05:23</t>
  </si>
  <si>
    <t>Monica Herrera</t>
  </si>
  <si>
    <t>smiller@example.net</t>
  </si>
  <si>
    <t>Philippines</t>
  </si>
  <si>
    <t>Retail Store</t>
  </si>
  <si>
    <t>Pending</t>
  </si>
  <si>
    <t>ORD-202431417</t>
  </si>
  <si>
    <t>2024-08-24 12:17</t>
  </si>
  <si>
    <t>Shannon Ray</t>
  </si>
  <si>
    <t>williamsjeremy@example.com</t>
  </si>
  <si>
    <t>Australia</t>
  </si>
  <si>
    <t>ORD-202445093</t>
  </si>
  <si>
    <t>2024-02-03 06:58</t>
  </si>
  <si>
    <t>Dr. Sharon James</t>
  </si>
  <si>
    <t>xreid@example.org</t>
  </si>
  <si>
    <t>India</t>
  </si>
  <si>
    <t>Home</t>
  </si>
  <si>
    <t>Rice Cooker</t>
  </si>
  <si>
    <t>ORD-202428301</t>
  </si>
  <si>
    <t>2024-05-06 23:35</t>
  </si>
  <si>
    <t>Daniel Adams</t>
  </si>
  <si>
    <t>lynchgeorge@example.net</t>
  </si>
  <si>
    <t>Chair</t>
  </si>
  <si>
    <t>ORD-202476784</t>
  </si>
  <si>
    <t>2024-09-09 02:48</t>
  </si>
  <si>
    <t>Joel Nelson</t>
  </si>
  <si>
    <t>gabriellecameron@example.org</t>
  </si>
  <si>
    <t>Smartphone</t>
  </si>
  <si>
    <t>Bank Transfer</t>
  </si>
  <si>
    <t>ORD-202488104</t>
  </si>
  <si>
    <t>2024-08-27 16:16</t>
  </si>
  <si>
    <t>Andrew Stewart</t>
  </si>
  <si>
    <t>carl95@example.org</t>
  </si>
  <si>
    <t>Laptop</t>
  </si>
  <si>
    <t>ORD-202466985</t>
  </si>
  <si>
    <t>2024-03-21 14:00</t>
  </si>
  <si>
    <t>Jennifer Rocha</t>
  </si>
  <si>
    <t>ithomas@example.org</t>
  </si>
  <si>
    <t>Perfume</t>
  </si>
  <si>
    <t>ORD-202430032</t>
  </si>
  <si>
    <t>2024-07-10 05:34</t>
  </si>
  <si>
    <t>Kimberly Burgess</t>
  </si>
  <si>
    <t>zhurst@example.com</t>
  </si>
  <si>
    <t>Smartwatch</t>
  </si>
  <si>
    <t>ORD-202417592</t>
  </si>
  <si>
    <t>2024-05-03 18:05</t>
  </si>
  <si>
    <t>Zachary Hicks</t>
  </si>
  <si>
    <t>camposmichelle@example.org</t>
  </si>
  <si>
    <t>Malaysia</t>
  </si>
  <si>
    <t>Yoga Mat</t>
  </si>
  <si>
    <t>ORD-202444741</t>
  </si>
  <si>
    <t>2024-09-27 19:27</t>
  </si>
  <si>
    <t>Rebecca Henderson</t>
  </si>
  <si>
    <t>cruzcaitlin@example.com</t>
  </si>
  <si>
    <t>ORD-202425860</t>
  </si>
  <si>
    <t>2024-05-06 07:04</t>
  </si>
  <si>
    <t>Tricia Valencia</t>
  </si>
  <si>
    <t>frazierdanny@example.net</t>
  </si>
  <si>
    <t>Completed</t>
  </si>
  <si>
    <t>ORD-202440007</t>
  </si>
  <si>
    <t>2024-02-04 01:55</t>
  </si>
  <si>
    <t>Patricia Peterson</t>
  </si>
  <si>
    <t>ryan70@example.net</t>
  </si>
  <si>
    <t>ORD-202441850</t>
  </si>
  <si>
    <t>2024-08-30 13:12</t>
  </si>
  <si>
    <t>Deborah Mason</t>
  </si>
  <si>
    <t>williamrodriguez@example.net</t>
  </si>
  <si>
    <t>ORD-202462772</t>
  </si>
  <si>
    <t>2024-06-22 03:15</t>
  </si>
  <si>
    <t>Mark Lynch</t>
  </si>
  <si>
    <t>nathanielmartin@example.net</t>
  </si>
  <si>
    <t>Hat</t>
  </si>
  <si>
    <t>ORD-202419880</t>
  </si>
  <si>
    <t>2024-08-14 17:06</t>
  </si>
  <si>
    <t>Linda Burns</t>
  </si>
  <si>
    <t>hickmannatasha@example.com</t>
  </si>
  <si>
    <t>Lipstick</t>
  </si>
  <si>
    <t>ORD-202438016</t>
  </si>
  <si>
    <t>2024-07-24 01:10</t>
  </si>
  <si>
    <t>David Bradley</t>
  </si>
  <si>
    <t>millertodd@example.org</t>
  </si>
  <si>
    <t>Japan</t>
  </si>
  <si>
    <t>ORD-202430289</t>
  </si>
  <si>
    <t>2024-04-07 09:13</t>
  </si>
  <si>
    <t>Kim Martinez</t>
  </si>
  <si>
    <t>karroyo@example.com</t>
  </si>
  <si>
    <t>ORD-202475909</t>
  </si>
  <si>
    <t>2024-09-28 05:03</t>
  </si>
  <si>
    <t>Lisa Brandt</t>
  </si>
  <si>
    <t>jenniferross@example.net</t>
  </si>
  <si>
    <t>ORD-202484668</t>
  </si>
  <si>
    <t>2024-05-06 18:38</t>
  </si>
  <si>
    <t>Jessica Holmes</t>
  </si>
  <si>
    <t>wrightcaleb@example.org</t>
  </si>
  <si>
    <t>ORD-202497782</t>
  </si>
  <si>
    <t>2024-06-09 07:16</t>
  </si>
  <si>
    <t>Crystal Robinson</t>
  </si>
  <si>
    <t>zimmermanbrian@example.org</t>
  </si>
  <si>
    <t>ORD-202419602</t>
  </si>
  <si>
    <t>2024-10-02 06:32</t>
  </si>
  <si>
    <t>Shannon Jones</t>
  </si>
  <si>
    <t>joshuawashington@example.net</t>
  </si>
  <si>
    <t>ORD-202481200</t>
  </si>
  <si>
    <t>2024-12-26 09:39</t>
  </si>
  <si>
    <t>Timothy Duncan</t>
  </si>
  <si>
    <t>esanchez@example.com</t>
  </si>
  <si>
    <t>ORD-202482512</t>
  </si>
  <si>
    <t>2024-03-20 08:18</t>
  </si>
  <si>
    <t>Brent Jordan</t>
  </si>
  <si>
    <t>ujenkins@example.org</t>
  </si>
  <si>
    <t>ORD-202422097</t>
  </si>
  <si>
    <t>2024-11-20 13:53</t>
  </si>
  <si>
    <t>Victoria Garcia</t>
  </si>
  <si>
    <t>zchandler@example.org</t>
  </si>
  <si>
    <t>ORD-202482309</t>
  </si>
  <si>
    <t>2024-12-27 13:35</t>
  </si>
  <si>
    <t>Connor West</t>
  </si>
  <si>
    <t>dwhite@example.org</t>
  </si>
  <si>
    <t>ORD-202466333</t>
  </si>
  <si>
    <t>2024-03-06 01:19</t>
  </si>
  <si>
    <t>Angela Morton</t>
  </si>
  <si>
    <t>williamsyvette@example.org</t>
  </si>
  <si>
    <t>Tablet</t>
  </si>
  <si>
    <t>ORD-202491351</t>
  </si>
  <si>
    <t>2024-03-20 07:55</t>
  </si>
  <si>
    <t>Tammy Allison</t>
  </si>
  <si>
    <t>richardolson@example.com</t>
  </si>
  <si>
    <t>Sneakers</t>
  </si>
  <si>
    <t>ORD-202424168</t>
  </si>
  <si>
    <t>2024-07-14 01:54</t>
  </si>
  <si>
    <t>Carmen Smith</t>
  </si>
  <si>
    <t>ybaker@example.com</t>
  </si>
  <si>
    <t>South Korea</t>
  </si>
  <si>
    <t>ORD-202413101</t>
  </si>
  <si>
    <t>2024-12-03 06:25</t>
  </si>
  <si>
    <t>Michael Cross</t>
  </si>
  <si>
    <t>smoore@example.org</t>
  </si>
  <si>
    <t>Blender</t>
  </si>
  <si>
    <t>ORD-202413617</t>
  </si>
  <si>
    <t>2024-02-29 08:11</t>
  </si>
  <si>
    <t>Lauren Daniels</t>
  </si>
  <si>
    <t>brian97@example.net</t>
  </si>
  <si>
    <t>ORD-202460488</t>
  </si>
  <si>
    <t>2024-10-22 06:16</t>
  </si>
  <si>
    <t>Kim Brown</t>
  </si>
  <si>
    <t>yorkcasey@example.org</t>
  </si>
  <si>
    <t>ORD-202419171</t>
  </si>
  <si>
    <t>2024-12-06 10:39</t>
  </si>
  <si>
    <t>Cynthia Wilson</t>
  </si>
  <si>
    <t>bethwilliams@example.org</t>
  </si>
  <si>
    <t>ORD-202435144</t>
  </si>
  <si>
    <t>2024-08-03 21:24</t>
  </si>
  <si>
    <t>Kevin Mills</t>
  </si>
  <si>
    <t>james53@example.com</t>
  </si>
  <si>
    <t>ORD-202466346</t>
  </si>
  <si>
    <t>2024-10-23 19:41</t>
  </si>
  <si>
    <t>Michael Evans</t>
  </si>
  <si>
    <t>sarah10@example.com</t>
  </si>
  <si>
    <t>Tennis Racket</t>
  </si>
  <si>
    <t>ORD-202447196</t>
  </si>
  <si>
    <t>2024-09-20 21:40</t>
  </si>
  <si>
    <t>Kristine Garcia</t>
  </si>
  <si>
    <t>williamanderson@example.com</t>
  </si>
  <si>
    <t>ORD-202429313</t>
  </si>
  <si>
    <t>2024-01-13 01:15</t>
  </si>
  <si>
    <t>Sherry Wood</t>
  </si>
  <si>
    <t>samueldaniels@example.com</t>
  </si>
  <si>
    <t>ORD-202441979</t>
  </si>
  <si>
    <t>2024-03-16 20:44</t>
  </si>
  <si>
    <t>Victoria Valdez</t>
  </si>
  <si>
    <t>contrerasangela@example.net</t>
  </si>
  <si>
    <t>ORD-202425906</t>
  </si>
  <si>
    <t>2024-08-21 04:51</t>
  </si>
  <si>
    <t>Shawn Baker</t>
  </si>
  <si>
    <t>newtoneric@example.com</t>
  </si>
  <si>
    <t>ORD-202430861</t>
  </si>
  <si>
    <t>2024-08-31 14:16</t>
  </si>
  <si>
    <t>Michelle Harris</t>
  </si>
  <si>
    <t>william40@example.org</t>
  </si>
  <si>
    <t>ORD-202440735</t>
  </si>
  <si>
    <t>2024-05-19 10:20</t>
  </si>
  <si>
    <t>Sandra Williams</t>
  </si>
  <si>
    <t>kellie42@example.net</t>
  </si>
  <si>
    <t>ORD-202464377</t>
  </si>
  <si>
    <t>2024-07-27 10:34</t>
  </si>
  <si>
    <t>Michael Hoffman</t>
  </si>
  <si>
    <t>jonesnicole@example.org</t>
  </si>
  <si>
    <t>ORD-202472518</t>
  </si>
  <si>
    <t>2024-01-04 11:19</t>
  </si>
  <si>
    <t>Sandra Aguilar</t>
  </si>
  <si>
    <t>russellwilliams@example.com</t>
  </si>
  <si>
    <t>Football</t>
  </si>
  <si>
    <t>ORD-202445774</t>
  </si>
  <si>
    <t>2024-08-11 15:01</t>
  </si>
  <si>
    <t>Rebecca Valencia</t>
  </si>
  <si>
    <t>jason31@example.com</t>
  </si>
  <si>
    <t>Lamp</t>
  </si>
  <si>
    <t>ORD-202421003</t>
  </si>
  <si>
    <t>2024-11-25 13:08</t>
  </si>
  <si>
    <t>Stacey Russell</t>
  </si>
  <si>
    <t>sarayoung@example.org</t>
  </si>
  <si>
    <t>T-Shirt</t>
  </si>
  <si>
    <t>ORD-202459692</t>
  </si>
  <si>
    <t>2024-05-22 13:16</t>
  </si>
  <si>
    <t>Rita Keith</t>
  </si>
  <si>
    <t>whitesandra@example.com</t>
  </si>
  <si>
    <t>ORD-202414067</t>
  </si>
  <si>
    <t>2024-05-06 06:53</t>
  </si>
  <si>
    <t>Sharon Cochran</t>
  </si>
  <si>
    <t>erik16@example.org</t>
  </si>
  <si>
    <t>ORD-202470952</t>
  </si>
  <si>
    <t>2024-12-24 08:49</t>
  </si>
  <si>
    <t>Courtney Velasquez</t>
  </si>
  <si>
    <t>ybailey@example.org</t>
  </si>
  <si>
    <t>ORD-202450888</t>
  </si>
  <si>
    <t>2024-10-21 21:58</t>
  </si>
  <si>
    <t>Matthew Ross</t>
  </si>
  <si>
    <t>michelle45@example.net</t>
  </si>
  <si>
    <t>Dumbbell</t>
  </si>
  <si>
    <t>ORD-202484177</t>
  </si>
  <si>
    <t>2024-01-22 11:34</t>
  </si>
  <si>
    <t>Meghan Anthony</t>
  </si>
  <si>
    <t>sheila14@example.org</t>
  </si>
  <si>
    <t>ORD-202466822</t>
  </si>
  <si>
    <t>2024-07-04 20:57</t>
  </si>
  <si>
    <t>Victoria Johnson</t>
  </si>
  <si>
    <t>yreed@example.com</t>
  </si>
  <si>
    <t>ORD-202470931</t>
  </si>
  <si>
    <t>2024-08-11 23:37</t>
  </si>
  <si>
    <t>William Wilson</t>
  </si>
  <si>
    <t>jonathanfletcher@example.org</t>
  </si>
  <si>
    <t>ORD-202484691</t>
  </si>
  <si>
    <t>2024-11-08 21:24</t>
  </si>
  <si>
    <t>Renee Mcdaniel</t>
  </si>
  <si>
    <t>michaeljones@example.net</t>
  </si>
  <si>
    <t>ORD-202454608</t>
  </si>
  <si>
    <t>2024-05-23 19:44</t>
  </si>
  <si>
    <t>Lisa Alvarado</t>
  </si>
  <si>
    <t>cortezkevin@example.com</t>
  </si>
  <si>
    <t>ORD-202482768</t>
  </si>
  <si>
    <t>2024-05-03 22:30</t>
  </si>
  <si>
    <t>Erika Terry</t>
  </si>
  <si>
    <t>jamesortega@example.com</t>
  </si>
  <si>
    <t>ORD-202472031</t>
  </si>
  <si>
    <t>2024-10-10 16:22</t>
  </si>
  <si>
    <t>Stephanie Gilbert</t>
  </si>
  <si>
    <t>richard04@example.com</t>
  </si>
  <si>
    <t>Face Wash</t>
  </si>
  <si>
    <t>ORD-202425814</t>
  </si>
  <si>
    <t>2024-04-08 10:07</t>
  </si>
  <si>
    <t>Richard Lawson</t>
  </si>
  <si>
    <t>steven73@example.net</t>
  </si>
  <si>
    <t>ORD-202448829</t>
  </si>
  <si>
    <t>2024-04-26 11:11</t>
  </si>
  <si>
    <t>Steven Flynn</t>
  </si>
  <si>
    <t>donnacampbell@example.net</t>
  </si>
  <si>
    <t>ORD-202423446</t>
  </si>
  <si>
    <t>2024-01-07 18:18</t>
  </si>
  <si>
    <t>Frances Cardenas</t>
  </si>
  <si>
    <t>emilywalker@example.org</t>
  </si>
  <si>
    <t>ORD-202462521</t>
  </si>
  <si>
    <t>2024-09-08 02:36</t>
  </si>
  <si>
    <t>Angel Riggs</t>
  </si>
  <si>
    <t>gibsonolivia@example.net</t>
  </si>
  <si>
    <t>ORD-202489471</t>
  </si>
  <si>
    <t>2024-11-01 19:14</t>
  </si>
  <si>
    <t>Michael Snyder</t>
  </si>
  <si>
    <t>dylanwatts@example.org</t>
  </si>
  <si>
    <t>ORD-202489905</t>
  </si>
  <si>
    <t>2024-02-20 06:40</t>
  </si>
  <si>
    <t>Colleen Brock</t>
  </si>
  <si>
    <t>pwilliams@example.org</t>
  </si>
  <si>
    <t>ORD-202463545</t>
  </si>
  <si>
    <t>2024-08-18 22:38</t>
  </si>
  <si>
    <t>Robert Contreras</t>
  </si>
  <si>
    <t>stephanie79@example.net</t>
  </si>
  <si>
    <t>ORD-202444675</t>
  </si>
  <si>
    <t>2024-11-16 18:42</t>
  </si>
  <si>
    <t>Jessica Meadows</t>
  </si>
  <si>
    <t>vmerritt@example.com</t>
  </si>
  <si>
    <t>ORD-202431747</t>
  </si>
  <si>
    <t>2024-06-06 19:47</t>
  </si>
  <si>
    <t>Paul Larsen</t>
  </si>
  <si>
    <t>katie87@example.net</t>
  </si>
  <si>
    <t>ORD-202467377</t>
  </si>
  <si>
    <t>2024-02-11 19:02</t>
  </si>
  <si>
    <t>Jeremiah Reeves</t>
  </si>
  <si>
    <t>josephflores@example.net</t>
  </si>
  <si>
    <t>ORD-202432962</t>
  </si>
  <si>
    <t>2024-08-28 16:41</t>
  </si>
  <si>
    <t>Chris Reyes</t>
  </si>
  <si>
    <t>jasminebrown@example.com</t>
  </si>
  <si>
    <t>ORD-202455607</t>
  </si>
  <si>
    <t>2024-07-28 10:20</t>
  </si>
  <si>
    <t>John Brown</t>
  </si>
  <si>
    <t>xprice@example.net</t>
  </si>
  <si>
    <t>ORD-202469614</t>
  </si>
  <si>
    <t>2024-02-15 10:16</t>
  </si>
  <si>
    <t>Alicia Gilmore</t>
  </si>
  <si>
    <t>wwoods@example.com</t>
  </si>
  <si>
    <t>ORD-202434586</t>
  </si>
  <si>
    <t>2024-09-22 11:39</t>
  </si>
  <si>
    <t>Sarah Ashley</t>
  </si>
  <si>
    <t>vmedina@example.net</t>
  </si>
  <si>
    <t>ORD-202425915</t>
  </si>
  <si>
    <t>2024-01-15 20:38</t>
  </si>
  <si>
    <t>Stephanie Freeman</t>
  </si>
  <si>
    <t>ryan06@example.com</t>
  </si>
  <si>
    <t>ORD-202470482</t>
  </si>
  <si>
    <t>2024-03-01 20:53</t>
  </si>
  <si>
    <t>Rebecca Ramsey</t>
  </si>
  <si>
    <t>ncalhoun@example.net</t>
  </si>
  <si>
    <t>ORD-202469871</t>
  </si>
  <si>
    <t>2024-10-09 04:24</t>
  </si>
  <si>
    <t>James Elliott</t>
  </si>
  <si>
    <t>millerroy@example.com</t>
  </si>
  <si>
    <t>ORD-202476550</t>
  </si>
  <si>
    <t>2024-05-16 00:18</t>
  </si>
  <si>
    <t>David Murphy</t>
  </si>
  <si>
    <t>wmurphy@example.com</t>
  </si>
  <si>
    <t>ORD-202455236</t>
  </si>
  <si>
    <t>2024-06-19 17:48</t>
  </si>
  <si>
    <t>Trevor Fisher</t>
  </si>
  <si>
    <t>ruizkaitlyn@example.org</t>
  </si>
  <si>
    <t>ORD-202440613</t>
  </si>
  <si>
    <t>2024-07-29 01:20</t>
  </si>
  <si>
    <t>Mrs. Marie Harrington DDS</t>
  </si>
  <si>
    <t>herringjames@example.org</t>
  </si>
  <si>
    <t>ORD-202423154</t>
  </si>
  <si>
    <t>2024-08-13 03:33</t>
  </si>
  <si>
    <t>Cynthia Wells</t>
  </si>
  <si>
    <t>elliottjeffery@example.net</t>
  </si>
  <si>
    <t>ORD-202491691</t>
  </si>
  <si>
    <t>2024-12-20 12:41</t>
  </si>
  <si>
    <t>Jacob Obrien</t>
  </si>
  <si>
    <t>stricklandfrank@example.com</t>
  </si>
  <si>
    <t>ORD-202490931</t>
  </si>
  <si>
    <t>2024-02-05 07:40</t>
  </si>
  <si>
    <t>Alexander Collins</t>
  </si>
  <si>
    <t>tsanders@example.org</t>
  </si>
  <si>
    <t>ORD-202449251</t>
  </si>
  <si>
    <t>2024-01-15 01:20</t>
  </si>
  <si>
    <t>Michael Burton</t>
  </si>
  <si>
    <t>terrykevin@example.net</t>
  </si>
  <si>
    <t>Vacuum</t>
  </si>
  <si>
    <t>ORD-202432280</t>
  </si>
  <si>
    <t>2024-03-30 02:39</t>
  </si>
  <si>
    <t>Barbara Riggs</t>
  </si>
  <si>
    <t>reedross@example.com</t>
  </si>
  <si>
    <t>ORD-202470236</t>
  </si>
  <si>
    <t>2024-05-10 21:00</t>
  </si>
  <si>
    <t>Matthew Smith</t>
  </si>
  <si>
    <t>gshort@example.com</t>
  </si>
  <si>
    <t>ORD-202469878</t>
  </si>
  <si>
    <t>2024-06-03 06:24</t>
  </si>
  <si>
    <t>Madison Poole</t>
  </si>
  <si>
    <t>ryangross@example.net</t>
  </si>
  <si>
    <t>ORD-202496275</t>
  </si>
  <si>
    <t>2024-07-21 08:00</t>
  </si>
  <si>
    <t>Robert Medina</t>
  </si>
  <si>
    <t>umarshall@example.net</t>
  </si>
  <si>
    <t>ORD-202491381</t>
  </si>
  <si>
    <t>2024-05-08 21:48</t>
  </si>
  <si>
    <t>Samuel Rivas</t>
  </si>
  <si>
    <t>ramirezshannon@example.com</t>
  </si>
  <si>
    <t>ORD-202448680</t>
  </si>
  <si>
    <t>2024-06-16 23:26</t>
  </si>
  <si>
    <t>Mary Rogers</t>
  </si>
  <si>
    <t>lrosales@example.com</t>
  </si>
  <si>
    <t>ORD-202473156</t>
  </si>
  <si>
    <t>2024-05-31 23:55</t>
  </si>
  <si>
    <t>Robert Peterson</t>
  </si>
  <si>
    <t>angela83@example.org</t>
  </si>
  <si>
    <t>ORD-202421836</t>
  </si>
  <si>
    <t>2024-07-21 00:16</t>
  </si>
  <si>
    <t>Jason Peters</t>
  </si>
  <si>
    <t>hannahbrewer@example.com</t>
  </si>
  <si>
    <t>ORD-202498452</t>
  </si>
  <si>
    <t>2024-04-29 15:01</t>
  </si>
  <si>
    <t>Alan Phillips</t>
  </si>
  <si>
    <t>tholt@example.net</t>
  </si>
  <si>
    <t>ORD-202495097</t>
  </si>
  <si>
    <t>2024-07-28 03:08</t>
  </si>
  <si>
    <t>Kara Schmidt</t>
  </si>
  <si>
    <t>jbarajas@example.com</t>
  </si>
  <si>
    <t>ORD-202460940</t>
  </si>
  <si>
    <t>2024-08-20 11:42</t>
  </si>
  <si>
    <t>Jesse Parker</t>
  </si>
  <si>
    <t>davidlee@example.org</t>
  </si>
  <si>
    <t>ORD-202446666</t>
  </si>
  <si>
    <t>2024-01-17 22:23</t>
  </si>
  <si>
    <t>Tiffany Vaughn</t>
  </si>
  <si>
    <t>javierwashington@example.net</t>
  </si>
  <si>
    <t>ORD-202417936</t>
  </si>
  <si>
    <t>2024-07-22 08:12</t>
  </si>
  <si>
    <t>Paige Carlson</t>
  </si>
  <si>
    <t>wallkenneth@example.com</t>
  </si>
  <si>
    <t>ORD-202426505</t>
  </si>
  <si>
    <t>2024-10-16 06:04</t>
  </si>
  <si>
    <t>Adrian Ferguson</t>
  </si>
  <si>
    <t>brandon08@example.com</t>
  </si>
  <si>
    <t>ORD-202446342</t>
  </si>
  <si>
    <t>2024-03-15 04:34</t>
  </si>
  <si>
    <t>Beth Oneill</t>
  </si>
  <si>
    <t>agarcia@example.net</t>
  </si>
  <si>
    <t>ORD-202487182</t>
  </si>
  <si>
    <t>2024-06-14 00:11</t>
  </si>
  <si>
    <t>John Peterson</t>
  </si>
  <si>
    <t>kingmichelle@example.org</t>
  </si>
  <si>
    <t>ORD-202457453</t>
  </si>
  <si>
    <t>2024-09-19 18:06</t>
  </si>
  <si>
    <t>Jennifer Jones</t>
  </si>
  <si>
    <t>hernandezlisa@example.com</t>
  </si>
  <si>
    <t>ORD-202417972</t>
  </si>
  <si>
    <t>2024-09-02 12:27</t>
  </si>
  <si>
    <t>David Grant</t>
  </si>
  <si>
    <t>yobrien@example.net</t>
  </si>
  <si>
    <t>ORD-202446046</t>
  </si>
  <si>
    <t>2024-11-15 20:37</t>
  </si>
  <si>
    <t>Joseph Hayes</t>
  </si>
  <si>
    <t>levans@example.com</t>
  </si>
  <si>
    <t>ORD-202422999</t>
  </si>
  <si>
    <t>2024-12-25 03:54</t>
  </si>
  <si>
    <t>Marc Lynch</t>
  </si>
  <si>
    <t>mezajared@example.org</t>
  </si>
  <si>
    <t>ORD-202464524</t>
  </si>
  <si>
    <t>2024-02-18 10:27</t>
  </si>
  <si>
    <t>Brad Allen</t>
  </si>
  <si>
    <t>moorericky@example.net</t>
  </si>
  <si>
    <t>ORD-202466606</t>
  </si>
  <si>
    <t>2024-02-19 23:47</t>
  </si>
  <si>
    <t>Doris Hall</t>
  </si>
  <si>
    <t>jacqueline71@example.net</t>
  </si>
  <si>
    <t>ORD-202456346</t>
  </si>
  <si>
    <t>2024-12-06 13:55</t>
  </si>
  <si>
    <t>Dennis Moody</t>
  </si>
  <si>
    <t>ronaldstephens@example.net</t>
  </si>
  <si>
    <t>ORD-202439392</t>
  </si>
  <si>
    <t>2024-02-25 11:54</t>
  </si>
  <si>
    <t>Derek Thomas</t>
  </si>
  <si>
    <t>martinkyle@example.net</t>
  </si>
  <si>
    <t>ORD-202489822</t>
  </si>
  <si>
    <t>2024-12-02 22:17</t>
  </si>
  <si>
    <t>Tammy Gonzales</t>
  </si>
  <si>
    <t>sbarker@example.com</t>
  </si>
  <si>
    <t>ORD-202428776</t>
  </si>
  <si>
    <t>2024-10-16 21:25</t>
  </si>
  <si>
    <t>Kathryn Snyder</t>
  </si>
  <si>
    <t>georgepamela@example.net</t>
  </si>
  <si>
    <t>ORD-202454681</t>
  </si>
  <si>
    <t>2024-03-21 11:19</t>
  </si>
  <si>
    <t>David Davis</t>
  </si>
  <si>
    <t>keyemily@example.com</t>
  </si>
  <si>
    <t>ORD-202498338</t>
  </si>
  <si>
    <t>2024-02-11 08:28</t>
  </si>
  <si>
    <t>Pamela Thompson</t>
  </si>
  <si>
    <t>lmoon@example.net</t>
  </si>
  <si>
    <t>ORD-202424534</t>
  </si>
  <si>
    <t>2024-05-25 21:43</t>
  </si>
  <si>
    <t>Robert Costa</t>
  </si>
  <si>
    <t>vbailey@example.com</t>
  </si>
  <si>
    <t>ORD-202411007</t>
  </si>
  <si>
    <t>2024-04-14 09:13</t>
  </si>
  <si>
    <t>Shannon Rivera</t>
  </si>
  <si>
    <t>zroberts@example.net</t>
  </si>
  <si>
    <t>ORD-202459834</t>
  </si>
  <si>
    <t>2024-09-29 22:14</t>
  </si>
  <si>
    <t>Brandon King</t>
  </si>
  <si>
    <t>cordovarichard@example.net</t>
  </si>
  <si>
    <t>ORD-202451033</t>
  </si>
  <si>
    <t>2024-10-21 13:36</t>
  </si>
  <si>
    <t>April Booth</t>
  </si>
  <si>
    <t>mgutierrez@example.net</t>
  </si>
  <si>
    <t>ORD-202457428</t>
  </si>
  <si>
    <t>2024-02-15 13:54</t>
  </si>
  <si>
    <t>Peter Garrett</t>
  </si>
  <si>
    <t>harrisandrea@example.com</t>
  </si>
  <si>
    <t>ORD-202439041</t>
  </si>
  <si>
    <t>2024-06-19 05:04</t>
  </si>
  <si>
    <t>Michael Martinez</t>
  </si>
  <si>
    <t>jennifercollins@example.org</t>
  </si>
  <si>
    <t>ORD-202429194</t>
  </si>
  <si>
    <t>2024-05-11 06:11</t>
  </si>
  <si>
    <t>Anna Gay</t>
  </si>
  <si>
    <t>murraydavid@example.org</t>
  </si>
  <si>
    <t>ORD-202492210</t>
  </si>
  <si>
    <t>2024-06-10 04:28</t>
  </si>
  <si>
    <t>Dr. Jordan Hill PhD</t>
  </si>
  <si>
    <t>jsanchez@example.org</t>
  </si>
  <si>
    <t>ORD-202450685</t>
  </si>
  <si>
    <t>2024-08-24 14:02</t>
  </si>
  <si>
    <t>Thomas Romero</t>
  </si>
  <si>
    <t>michellehill@example.com</t>
  </si>
  <si>
    <t>ORD-202468947</t>
  </si>
  <si>
    <t>2024-10-19 20:12</t>
  </si>
  <si>
    <t>Richard Adams</t>
  </si>
  <si>
    <t>campbellkenneth@example.net</t>
  </si>
  <si>
    <t>Sunscreen</t>
  </si>
  <si>
    <t>ORD-202476132</t>
  </si>
  <si>
    <t>2024-11-26 05:02</t>
  </si>
  <si>
    <t>Mary Grimes</t>
  </si>
  <si>
    <t>wryan@example.com</t>
  </si>
  <si>
    <t>ORD-202460779</t>
  </si>
  <si>
    <t>2024-07-28 10:43</t>
  </si>
  <si>
    <t>Kimberly Gibson</t>
  </si>
  <si>
    <t>molly39@example.com</t>
  </si>
  <si>
    <t>ORD-202496057</t>
  </si>
  <si>
    <t>2024-11-04 04:21</t>
  </si>
  <si>
    <t>Reginald Williams</t>
  </si>
  <si>
    <t>zthornton@example.com</t>
  </si>
  <si>
    <t>ORD-202450577</t>
  </si>
  <si>
    <t>2024-10-13 12:41</t>
  </si>
  <si>
    <t>Matthew Hoover</t>
  </si>
  <si>
    <t>tylerjohnson@example.net</t>
  </si>
  <si>
    <t>ORD-202450483</t>
  </si>
  <si>
    <t>2024-04-02 06:21</t>
  </si>
  <si>
    <t>Evelyn Garcia</t>
  </si>
  <si>
    <t>dgarcia@example.org</t>
  </si>
  <si>
    <t>ORD-202496760</t>
  </si>
  <si>
    <t>2024-06-21 19:08</t>
  </si>
  <si>
    <t>Jennifer Pena</t>
  </si>
  <si>
    <t>charlesharrington@example.com</t>
  </si>
  <si>
    <t>ORD-202457749</t>
  </si>
  <si>
    <t>2024-12-12 23:15</t>
  </si>
  <si>
    <t>Michael Santos</t>
  </si>
  <si>
    <t>melissa86@example.com</t>
  </si>
  <si>
    <t>ORD-202435430</t>
  </si>
  <si>
    <t>2024-07-07 21:36</t>
  </si>
  <si>
    <t>Stacy Freeman</t>
  </si>
  <si>
    <t>williamsonjimmy@example.net</t>
  </si>
  <si>
    <t>ORD-202489254</t>
  </si>
  <si>
    <t>2024-03-11 08:03</t>
  </si>
  <si>
    <t>Yolanda Francis</t>
  </si>
  <si>
    <t>wgood@example.net</t>
  </si>
  <si>
    <t>ORD-202445755</t>
  </si>
  <si>
    <t>2024-08-18 16:09</t>
  </si>
  <si>
    <t>Ashlee Jackson</t>
  </si>
  <si>
    <t>rebecca05@example.org</t>
  </si>
  <si>
    <t>ORD-202475799</t>
  </si>
  <si>
    <t>2024-07-10 07:24</t>
  </si>
  <si>
    <t>James Thomas</t>
  </si>
  <si>
    <t>yknight@example.org</t>
  </si>
  <si>
    <t>ORD-202415020</t>
  </si>
  <si>
    <t>2024-05-26 15:44</t>
  </si>
  <si>
    <t>Bob Pitts</t>
  </si>
  <si>
    <t>tyleraguilar@example.org</t>
  </si>
  <si>
    <t>ORD-202481932</t>
  </si>
  <si>
    <t>2024-11-07 16:27</t>
  </si>
  <si>
    <t>David Scott</t>
  </si>
  <si>
    <t>nolansteven@example.com</t>
  </si>
  <si>
    <t>ORD-202418232</t>
  </si>
  <si>
    <t>2024-02-26 15:38</t>
  </si>
  <si>
    <t>Brooke Alexander</t>
  </si>
  <si>
    <t>vanessa46@example.net</t>
  </si>
  <si>
    <t>ORD-202441531</t>
  </si>
  <si>
    <t>2024-10-19 13:11</t>
  </si>
  <si>
    <t>Ryan Gonzalez</t>
  </si>
  <si>
    <t>gcastaneda@example.org</t>
  </si>
  <si>
    <t>ORD-202415706</t>
  </si>
  <si>
    <t>2024-11-21 12:23</t>
  </si>
  <si>
    <t>Ian Phillips</t>
  </si>
  <si>
    <t>andrew64@example.org</t>
  </si>
  <si>
    <t>ORD-202427486</t>
  </si>
  <si>
    <t>2024-01-23 11:34</t>
  </si>
  <si>
    <t>Melissa Garner</t>
  </si>
  <si>
    <t>lozanojulie@example.com</t>
  </si>
  <si>
    <t>ORD-202469988</t>
  </si>
  <si>
    <t>2024-01-19 09:12</t>
  </si>
  <si>
    <t>Crystal Pham</t>
  </si>
  <si>
    <t>danaoliver@example.net</t>
  </si>
  <si>
    <t>ORD-202443202</t>
  </si>
  <si>
    <t>2024-01-19 20:12</t>
  </si>
  <si>
    <t>Patricia Becker</t>
  </si>
  <si>
    <t>courtneyberger@example.net</t>
  </si>
  <si>
    <t>ORD-202462431</t>
  </si>
  <si>
    <t>2024-08-13 12:21</t>
  </si>
  <si>
    <t>Richard Johnson</t>
  </si>
  <si>
    <t>jessica14@example.com</t>
  </si>
  <si>
    <t>ORD-202466440</t>
  </si>
  <si>
    <t>2024-11-04 05:34</t>
  </si>
  <si>
    <t>Casey Anderson</t>
  </si>
  <si>
    <t>alyssa42@example.com</t>
  </si>
  <si>
    <t>ORD-202431842</t>
  </si>
  <si>
    <t>2024-12-19 14:22</t>
  </si>
  <si>
    <t>Terry Coffey</t>
  </si>
  <si>
    <t>julie51@example.com</t>
  </si>
  <si>
    <t>ORD-202457619</t>
  </si>
  <si>
    <t>2024-09-19 23:43</t>
  </si>
  <si>
    <t>Brenda Levy</t>
  </si>
  <si>
    <t>zcoffey@example.net</t>
  </si>
  <si>
    <t>ORD-202494562</t>
  </si>
  <si>
    <t>2024-07-06 11:24</t>
  </si>
  <si>
    <t>Richard Smith</t>
  </si>
  <si>
    <t>gibsonemily@example.net</t>
  </si>
  <si>
    <t>ORD-202485225</t>
  </si>
  <si>
    <t>2024-03-11 16:23</t>
  </si>
  <si>
    <t>James Little</t>
  </si>
  <si>
    <t>daniel37@example.org</t>
  </si>
  <si>
    <t>ORD-202483619</t>
  </si>
  <si>
    <t>2024-03-01 08:49</t>
  </si>
  <si>
    <t>Terri Murphy</t>
  </si>
  <si>
    <t>deborahreid@example.com</t>
  </si>
  <si>
    <t>ORD-202427790</t>
  </si>
  <si>
    <t>2024-02-07 14:11</t>
  </si>
  <si>
    <t>Elizabeth Ortiz</t>
  </si>
  <si>
    <t>brandonjohnson@example.com</t>
  </si>
  <si>
    <t>ORD-202493584</t>
  </si>
  <si>
    <t>2024-03-30 11:32</t>
  </si>
  <si>
    <t>David Medina</t>
  </si>
  <si>
    <t>qchavez@example.net</t>
  </si>
  <si>
    <t>ORD-202471263</t>
  </si>
  <si>
    <t>2024-10-09 04:39</t>
  </si>
  <si>
    <t>Kimberly Matthews</t>
  </si>
  <si>
    <t>nicolepena@example.com</t>
  </si>
  <si>
    <t>ORD-202426426</t>
  </si>
  <si>
    <t>2024-06-11 20:04</t>
  </si>
  <si>
    <t>Teresa Ramirez</t>
  </si>
  <si>
    <t>jeff73@example.com</t>
  </si>
  <si>
    <t>ORD-202475911</t>
  </si>
  <si>
    <t>2024-01-29 03:33</t>
  </si>
  <si>
    <t>Michael Stephens</t>
  </si>
  <si>
    <t>bruce43@example.org</t>
  </si>
  <si>
    <t>ORD-202435729</t>
  </si>
  <si>
    <t>2024-11-21 17:17</t>
  </si>
  <si>
    <t>Samantha Davis</t>
  </si>
  <si>
    <t>darleneharper@example.org</t>
  </si>
  <si>
    <t>ORD-202432439</t>
  </si>
  <si>
    <t>2024-12-03 19:46</t>
  </si>
  <si>
    <t>Gavin Zhang</t>
  </si>
  <si>
    <t>caseyhubbard@example.org</t>
  </si>
  <si>
    <t>ORD-202495344</t>
  </si>
  <si>
    <t>2024-04-17 18:26</t>
  </si>
  <si>
    <t>Robin Hall</t>
  </si>
  <si>
    <t>kristinacarlson@example.com</t>
  </si>
  <si>
    <t>ORD-202499783</t>
  </si>
  <si>
    <t>2024-07-26 09:29</t>
  </si>
  <si>
    <t>Brianna Anderson</t>
  </si>
  <si>
    <t>lauren10@example.org</t>
  </si>
  <si>
    <t>ORD-202450970</t>
  </si>
  <si>
    <t>2024-06-12 23:55</t>
  </si>
  <si>
    <t>Richard Young</t>
  </si>
  <si>
    <t>alfred40@example.org</t>
  </si>
  <si>
    <t>ORD-202471141</t>
  </si>
  <si>
    <t>2024-03-03 08:28</t>
  </si>
  <si>
    <t>Kelly Reese</t>
  </si>
  <si>
    <t>xwest@example.net</t>
  </si>
  <si>
    <t>ORD-202452917</t>
  </si>
  <si>
    <t>2024-10-22 23:20</t>
  </si>
  <si>
    <t>Jodi Walker</t>
  </si>
  <si>
    <t>acostaregina@example.net</t>
  </si>
  <si>
    <t>ORD-202421802</t>
  </si>
  <si>
    <t>2024-07-20 16:29</t>
  </si>
  <si>
    <t>Judith Maynard</t>
  </si>
  <si>
    <t>lutzmelanie@example.com</t>
  </si>
  <si>
    <t>ORD-202447453</t>
  </si>
  <si>
    <t>2024-10-01 00:54</t>
  </si>
  <si>
    <t>Katherine Browning</t>
  </si>
  <si>
    <t>lammarc@example.org</t>
  </si>
  <si>
    <t>ORD-202416705</t>
  </si>
  <si>
    <t>2024-10-18 17:12</t>
  </si>
  <si>
    <t>Donald Schultz</t>
  </si>
  <si>
    <t>oscar98@example.com</t>
  </si>
  <si>
    <t>ORD-202426864</t>
  </si>
  <si>
    <t>2024-02-19 12:23</t>
  </si>
  <si>
    <t>Larry Garcia</t>
  </si>
  <si>
    <t>farrelldebra@example.net</t>
  </si>
  <si>
    <t>ORD-202415938</t>
  </si>
  <si>
    <t>2024-01-20 04:45</t>
  </si>
  <si>
    <t>Cindy Hayes</t>
  </si>
  <si>
    <t>robertwilcox@example.com</t>
  </si>
  <si>
    <t>ORD-202431299</t>
  </si>
  <si>
    <t>2024-07-20 19:47</t>
  </si>
  <si>
    <t>Brandon Simmons</t>
  </si>
  <si>
    <t>nicholas27@example.org</t>
  </si>
  <si>
    <t>ORD-202472245</t>
  </si>
  <si>
    <t>2024-01-09 11:21</t>
  </si>
  <si>
    <t>Bradley Reynolds</t>
  </si>
  <si>
    <t>lisa80@example.net</t>
  </si>
  <si>
    <t>ORD-202416731</t>
  </si>
  <si>
    <t>2024-10-25 15:10</t>
  </si>
  <si>
    <t>Kristina Santiago</t>
  </si>
  <si>
    <t>qgomez@example.com</t>
  </si>
  <si>
    <t>ORD-202467807</t>
  </si>
  <si>
    <t>2024-06-09 13:09</t>
  </si>
  <si>
    <t>Michelle Schmitt</t>
  </si>
  <si>
    <t>michael98@example.org</t>
  </si>
  <si>
    <t>ORD-202483516</t>
  </si>
  <si>
    <t>2024-06-15 21:30</t>
  </si>
  <si>
    <t>John Boone</t>
  </si>
  <si>
    <t>megan51@example.com</t>
  </si>
  <si>
    <t>ORD-202498587</t>
  </si>
  <si>
    <t>2024-12-14 20:51</t>
  </si>
  <si>
    <t>Renee Bruce</t>
  </si>
  <si>
    <t>lynchdiane@example.net</t>
  </si>
  <si>
    <t>ORD-202447880</t>
  </si>
  <si>
    <t>2024-12-26 06:44</t>
  </si>
  <si>
    <t>Christopher Park</t>
  </si>
  <si>
    <t>sandra50@example.org</t>
  </si>
  <si>
    <t>ORD-202461712</t>
  </si>
  <si>
    <t>2024-06-25 04:18</t>
  </si>
  <si>
    <t>Kylie Morales</t>
  </si>
  <si>
    <t>joycebonilla@example.org</t>
  </si>
  <si>
    <t>ORD-202436485</t>
  </si>
  <si>
    <t>2024-10-02 08:59</t>
  </si>
  <si>
    <t>Cindy Barnes</t>
  </si>
  <si>
    <t>eric45@example.net</t>
  </si>
  <si>
    <t>ORD-202493616</t>
  </si>
  <si>
    <t>2024-04-29 01:06</t>
  </si>
  <si>
    <t>Sophia Moore</t>
  </si>
  <si>
    <t>craigjoseph@example.net</t>
  </si>
  <si>
    <t>ORD-202472580</t>
  </si>
  <si>
    <t>2024-11-29 06:48</t>
  </si>
  <si>
    <t>Lawrence Perry</t>
  </si>
  <si>
    <t>kariwilson@example.com</t>
  </si>
  <si>
    <t>ORD-202432946</t>
  </si>
  <si>
    <t>2024-08-01 05:59</t>
  </si>
  <si>
    <t>Michael Watkins</t>
  </si>
  <si>
    <t>brandon69@example.org</t>
  </si>
  <si>
    <t>ORD-202453914</t>
  </si>
  <si>
    <t>2024-05-25 14:41</t>
  </si>
  <si>
    <t>Eric Clark</t>
  </si>
  <si>
    <t>kathrynroberts@example.org</t>
  </si>
  <si>
    <t>ORD-202424764</t>
  </si>
  <si>
    <t>2024-06-18 05:46</t>
  </si>
  <si>
    <t>Paul Thompson</t>
  </si>
  <si>
    <t>opatel@example.net</t>
  </si>
  <si>
    <t>ORD-202466059</t>
  </si>
  <si>
    <t>2024-09-20 10:05</t>
  </si>
  <si>
    <t>Mary Gomez</t>
  </si>
  <si>
    <t>chensley@example.com</t>
  </si>
  <si>
    <t>ORD-202460275</t>
  </si>
  <si>
    <t>2024-04-30 14:48</t>
  </si>
  <si>
    <t>Thomas Atkins</t>
  </si>
  <si>
    <t>tberry@example.net</t>
  </si>
  <si>
    <t>ORD-202418142</t>
  </si>
  <si>
    <t>2024-12-07 03:29</t>
  </si>
  <si>
    <t>Brian Smith</t>
  </si>
  <si>
    <t>george97@example.net</t>
  </si>
  <si>
    <t>ORD-202490560</t>
  </si>
  <si>
    <t>2024-04-23 07:08</t>
  </si>
  <si>
    <t>Anita Richard</t>
  </si>
  <si>
    <t>ryanmorales@example.org</t>
  </si>
  <si>
    <t>ORD-202480453</t>
  </si>
  <si>
    <t>2024-12-06 06:48</t>
  </si>
  <si>
    <t>Eric Morgan</t>
  </si>
  <si>
    <t>kimberly18@example.net</t>
  </si>
  <si>
    <t>ORD-202418094</t>
  </si>
  <si>
    <t>2024-10-07 16:12</t>
  </si>
  <si>
    <t>Jordan Bullock</t>
  </si>
  <si>
    <t>michael23@example.org</t>
  </si>
  <si>
    <t>ORD-202421919</t>
  </si>
  <si>
    <t>2024-09-18 14:51</t>
  </si>
  <si>
    <t>Craig Morrison</t>
  </si>
  <si>
    <t>thompsonkendra@example.com</t>
  </si>
  <si>
    <t>ORD-202498181</t>
  </si>
  <si>
    <t>2024-06-06 23:01</t>
  </si>
  <si>
    <t>Justin Riley</t>
  </si>
  <si>
    <t>michelle52@example.com</t>
  </si>
  <si>
    <t>ORD-202418357</t>
  </si>
  <si>
    <t>2024-10-04 01:59</t>
  </si>
  <si>
    <t>Jeremy Turner</t>
  </si>
  <si>
    <t>brittany58@example.org</t>
  </si>
  <si>
    <t>ORD-202468790</t>
  </si>
  <si>
    <t>2024-07-12 12:05</t>
  </si>
  <si>
    <t>Jesse Brown</t>
  </si>
  <si>
    <t>chase19@example.net</t>
  </si>
  <si>
    <t>ORD-202412979</t>
  </si>
  <si>
    <t>2024-06-01 14:43</t>
  </si>
  <si>
    <t>Julie Spencer</t>
  </si>
  <si>
    <t>colelisa@example.net</t>
  </si>
  <si>
    <t>ORD-202446129</t>
  </si>
  <si>
    <t>2024-04-06 23:48</t>
  </si>
  <si>
    <t>Larry Mason</t>
  </si>
  <si>
    <t>hayeslisa@example.com</t>
  </si>
  <si>
    <t>ORD-202487849</t>
  </si>
  <si>
    <t>2024-01-18 14:38</t>
  </si>
  <si>
    <t>Mrs. Maria Williams</t>
  </si>
  <si>
    <t>hritter@example.net</t>
  </si>
  <si>
    <t>ORD-202476046</t>
  </si>
  <si>
    <t>2024-05-28 07:52</t>
  </si>
  <si>
    <t>Helen Hardin</t>
  </si>
  <si>
    <t>vortiz@example.net</t>
  </si>
  <si>
    <t>ORD-202464206</t>
  </si>
  <si>
    <t>2024-06-02 08:03</t>
  </si>
  <si>
    <t>Rachel Holland</t>
  </si>
  <si>
    <t>riveraangela@example.com</t>
  </si>
  <si>
    <t>ORD-202494320</t>
  </si>
  <si>
    <t>2024-12-09 12:50</t>
  </si>
  <si>
    <t>Nathaniel Douglas</t>
  </si>
  <si>
    <t>mathewaguilar@example.org</t>
  </si>
  <si>
    <t>ORD-202441584</t>
  </si>
  <si>
    <t>2024-04-25 09:54</t>
  </si>
  <si>
    <t>Emily Douglas</t>
  </si>
  <si>
    <t>tanderson@example.org</t>
  </si>
  <si>
    <t>ORD-202443422</t>
  </si>
  <si>
    <t>2024-04-14 10:41</t>
  </si>
  <si>
    <t>James Conner</t>
  </si>
  <si>
    <t>elizabethcalderon@example.net</t>
  </si>
  <si>
    <t>ORD-202419539</t>
  </si>
  <si>
    <t>2024-04-06 18:46</t>
  </si>
  <si>
    <t>Susan Davis DDS</t>
  </si>
  <si>
    <t>andrew42@example.org</t>
  </si>
  <si>
    <t>ORD-202425376</t>
  </si>
  <si>
    <t>2024-09-02 07:44</t>
  </si>
  <si>
    <t>Ralph Lee</t>
  </si>
  <si>
    <t>ericphillips@example.org</t>
  </si>
  <si>
    <t>ORD-202479946</t>
  </si>
  <si>
    <t>2024-11-28 11:19</t>
  </si>
  <si>
    <t>Kimberly Rodgers</t>
  </si>
  <si>
    <t>stanleynancy@example.net</t>
  </si>
  <si>
    <t>ORD-202458589</t>
  </si>
  <si>
    <t>2024-06-09 13:02</t>
  </si>
  <si>
    <t>James Martin</t>
  </si>
  <si>
    <t>jenniferwilliams@example.com</t>
  </si>
  <si>
    <t>ORD-202435715</t>
  </si>
  <si>
    <t>2024-06-17 07:24</t>
  </si>
  <si>
    <t>Cynthia Wallace</t>
  </si>
  <si>
    <t>karen73@example.net</t>
  </si>
  <si>
    <t>ORD-202432050</t>
  </si>
  <si>
    <t>2024-06-29 05:08</t>
  </si>
  <si>
    <t>Vincent Mueller</t>
  </si>
  <si>
    <t>michealvalentine@example.com</t>
  </si>
  <si>
    <t>ORD-202419742</t>
  </si>
  <si>
    <t>2024-12-08 01:48</t>
  </si>
  <si>
    <t>Douglas Reyes</t>
  </si>
  <si>
    <t>mburch@example.net</t>
  </si>
  <si>
    <t>ORD-202476287</t>
  </si>
  <si>
    <t>2024-08-21 11:03</t>
  </si>
  <si>
    <t>David Davidson</t>
  </si>
  <si>
    <t>angela18@example.org</t>
  </si>
  <si>
    <t>ORD-202479391</t>
  </si>
  <si>
    <t>2024-05-20 17:18</t>
  </si>
  <si>
    <t>Phillip Nelson</t>
  </si>
  <si>
    <t>mariahdavis@example.org</t>
  </si>
  <si>
    <t>ORD-202435156</t>
  </si>
  <si>
    <t>2024-11-13 16:16</t>
  </si>
  <si>
    <t>Stacey Arias</t>
  </si>
  <si>
    <t>gbrown@example.com</t>
  </si>
  <si>
    <t>ORD-202499658</t>
  </si>
  <si>
    <t>2024-02-11 20:54</t>
  </si>
  <si>
    <t>Zachary Brooks</t>
  </si>
  <si>
    <t>florescory@example.net</t>
  </si>
  <si>
    <t>ORD-202420837</t>
  </si>
  <si>
    <t>2024-09-12 13:41</t>
  </si>
  <si>
    <t>Raven Taylor</t>
  </si>
  <si>
    <t>samantha72@example.net</t>
  </si>
  <si>
    <t>ORD-202445532</t>
  </si>
  <si>
    <t>2024-01-24 02:43</t>
  </si>
  <si>
    <t>Luis Bullock</t>
  </si>
  <si>
    <t>scottmary@example.net</t>
  </si>
  <si>
    <t>ORD-202462205</t>
  </si>
  <si>
    <t>2024-02-09 09:10</t>
  </si>
  <si>
    <t>Lisa Henderson</t>
  </si>
  <si>
    <t>john10@example.org</t>
  </si>
  <si>
    <t>ORD-202420279</t>
  </si>
  <si>
    <t>2024-09-13 23:22</t>
  </si>
  <si>
    <t>Riley Bryant</t>
  </si>
  <si>
    <t>copelandvincent@example.net</t>
  </si>
  <si>
    <t>ORD-202493115</t>
  </si>
  <si>
    <t>2024-05-19 14:31</t>
  </si>
  <si>
    <t>Jose Allen</t>
  </si>
  <si>
    <t>kellysmith@example.com</t>
  </si>
  <si>
    <t>ORD-202442302</t>
  </si>
  <si>
    <t>2024-02-07 02:17</t>
  </si>
  <si>
    <t>Jason Beck</t>
  </si>
  <si>
    <t>millsmichael@example.net</t>
  </si>
  <si>
    <t>ORD-202450405</t>
  </si>
  <si>
    <t>2024-08-15 11:48</t>
  </si>
  <si>
    <t>Rachel Romero</t>
  </si>
  <si>
    <t>myerstheodore@example.net</t>
  </si>
  <si>
    <t>ORD-202421746</t>
  </si>
  <si>
    <t>2024-06-30 17:05</t>
  </si>
  <si>
    <t>James Burgess</t>
  </si>
  <si>
    <t>kristina53@example.net</t>
  </si>
  <si>
    <t>ORD-202483339</t>
  </si>
  <si>
    <t>2024-05-04 18:33</t>
  </si>
  <si>
    <t>Ashley Perkins</t>
  </si>
  <si>
    <t>dennis58@example.com</t>
  </si>
  <si>
    <t>ORD-202431916</t>
  </si>
  <si>
    <t>2024-08-10 08:26</t>
  </si>
  <si>
    <t>Carrie Maxwell</t>
  </si>
  <si>
    <t>epollard@example.net</t>
  </si>
  <si>
    <t>ORD-202470012</t>
  </si>
  <si>
    <t>2024-02-24 04:19</t>
  </si>
  <si>
    <t>Chad Baldwin</t>
  </si>
  <si>
    <t>mjohnson@example.org</t>
  </si>
  <si>
    <t>ORD-202495332</t>
  </si>
  <si>
    <t>2024-10-31 04:19</t>
  </si>
  <si>
    <t>Stacey Stewart</t>
  </si>
  <si>
    <t>zachary87@example.com</t>
  </si>
  <si>
    <t>ORD-202485481</t>
  </si>
  <si>
    <t>2024-05-04 10:24</t>
  </si>
  <si>
    <t>Matthew Mitchell</t>
  </si>
  <si>
    <t>glennmartin@example.org</t>
  </si>
  <si>
    <t>ORD-202470505</t>
  </si>
  <si>
    <t>2024-12-28 06:28</t>
  </si>
  <si>
    <t>Jessica Ross</t>
  </si>
  <si>
    <t>ykline@example.com</t>
  </si>
  <si>
    <t>ORD-202496332</t>
  </si>
  <si>
    <t>2024-03-19 22:27</t>
  </si>
  <si>
    <t>Kathleen Jimenez</t>
  </si>
  <si>
    <t>laurie61@example.com</t>
  </si>
  <si>
    <t>ORD-202481256</t>
  </si>
  <si>
    <t>2024-01-19 11:44</t>
  </si>
  <si>
    <t>Samantha Gardner</t>
  </si>
  <si>
    <t>curtis54@example.com</t>
  </si>
  <si>
    <t>ORD-202483822</t>
  </si>
  <si>
    <t>2024-11-26 21:41</t>
  </si>
  <si>
    <t>Mitchell Jackson</t>
  </si>
  <si>
    <t>cbell@example.net</t>
  </si>
  <si>
    <t>ORD-202468429</t>
  </si>
  <si>
    <t>2024-07-10 12:29</t>
  </si>
  <si>
    <t>Heather Bolton</t>
  </si>
  <si>
    <t>danielle01@example.net</t>
  </si>
  <si>
    <t>ORD-202421253</t>
  </si>
  <si>
    <t>2024-02-29 23:09</t>
  </si>
  <si>
    <t>Heidi Owen</t>
  </si>
  <si>
    <t>stephaniethomas@example.net</t>
  </si>
  <si>
    <t>ORD-202422795</t>
  </si>
  <si>
    <t>2024-08-12 23:44</t>
  </si>
  <si>
    <t>Jessica Martinez</t>
  </si>
  <si>
    <t>kimberlydiaz@example.com</t>
  </si>
  <si>
    <t>ORD-202441970</t>
  </si>
  <si>
    <t>2024-09-21 05:35</t>
  </si>
  <si>
    <t>Amanda Hernandez</t>
  </si>
  <si>
    <t>xrush@example.com</t>
  </si>
  <si>
    <t>ORD-202493948</t>
  </si>
  <si>
    <t>2024-12-02 13:25</t>
  </si>
  <si>
    <t>Laura Moreno</t>
  </si>
  <si>
    <t>redwards@example.org</t>
  </si>
  <si>
    <t>ORD-202446483</t>
  </si>
  <si>
    <t>2024-12-26 02:36</t>
  </si>
  <si>
    <t>Allison Lopez</t>
  </si>
  <si>
    <t>hmcintyre@example.com</t>
  </si>
  <si>
    <t>ORD-202479168</t>
  </si>
  <si>
    <t>2024-11-23 10:38</t>
  </si>
  <si>
    <t>Michele Lewis</t>
  </si>
  <si>
    <t>heather73@example.org</t>
  </si>
  <si>
    <t>ORD-202498288</t>
  </si>
  <si>
    <t>2024-12-27 09:58</t>
  </si>
  <si>
    <t>Benjamin Thompson</t>
  </si>
  <si>
    <t>zosborn@example.net</t>
  </si>
  <si>
    <t>ORD-202433992</t>
  </si>
  <si>
    <t>2024-07-10 22:09</t>
  </si>
  <si>
    <t>Victoria Contreras</t>
  </si>
  <si>
    <t>piercekelly@example.com</t>
  </si>
  <si>
    <t>ORD-202493296</t>
  </si>
  <si>
    <t>2024-10-02 22:58</t>
  </si>
  <si>
    <t>Michelle Ho</t>
  </si>
  <si>
    <t>laurahicks@example.org</t>
  </si>
  <si>
    <t>ORD-202457059</t>
  </si>
  <si>
    <t>2024-01-05 15:08</t>
  </si>
  <si>
    <t>Dr. Cynthia Snyder</t>
  </si>
  <si>
    <t>angela57@example.net</t>
  </si>
  <si>
    <t>ORD-202474054</t>
  </si>
  <si>
    <t>2024-03-26 02:36</t>
  </si>
  <si>
    <t>Stephen Jones</t>
  </si>
  <si>
    <t>ukey@example.com</t>
  </si>
  <si>
    <t>ORD-202484140</t>
  </si>
  <si>
    <t>2024-09-10 17:32</t>
  </si>
  <si>
    <t>Patricia Morrow</t>
  </si>
  <si>
    <t>martinezlogan@example.org</t>
  </si>
  <si>
    <t>ORD-202465725</t>
  </si>
  <si>
    <t>2024-02-22 23:53</t>
  </si>
  <si>
    <t>Michael Cooper</t>
  </si>
  <si>
    <t>katrinaanderson@example.net</t>
  </si>
  <si>
    <t>ORD-202437509</t>
  </si>
  <si>
    <t>2024-10-28 22:22</t>
  </si>
  <si>
    <t>Amy Martinez</t>
  </si>
  <si>
    <t>kevinmartin@example.net</t>
  </si>
  <si>
    <t>ORD-202479767</t>
  </si>
  <si>
    <t>2024-05-23 19:34</t>
  </si>
  <si>
    <t>Travis Stone</t>
  </si>
  <si>
    <t>meghan43@example.net</t>
  </si>
  <si>
    <t>ORD-202417770</t>
  </si>
  <si>
    <t>2024-05-21 20:08</t>
  </si>
  <si>
    <t>Denise Weber</t>
  </si>
  <si>
    <t>shawgary@example.net</t>
  </si>
  <si>
    <t>ORD-202485684</t>
  </si>
  <si>
    <t>2024-11-19 08:40</t>
  </si>
  <si>
    <t>Matthew Le</t>
  </si>
  <si>
    <t>megan90@example.org</t>
  </si>
  <si>
    <t>ORD-202473968</t>
  </si>
  <si>
    <t>2024-06-16 18:00</t>
  </si>
  <si>
    <t>Travis Wise</t>
  </si>
  <si>
    <t>debra96@example.net</t>
  </si>
  <si>
    <t>ORD-202474843</t>
  </si>
  <si>
    <t>2024-05-17 10:53</t>
  </si>
  <si>
    <t>Kathleen Burton</t>
  </si>
  <si>
    <t>dawn47@example.org</t>
  </si>
  <si>
    <t>ORD-202423051</t>
  </si>
  <si>
    <t>2024-11-16 14:01</t>
  </si>
  <si>
    <t>Melinda Evans</t>
  </si>
  <si>
    <t>barkereric@example.com</t>
  </si>
  <si>
    <t>ORD-202445916</t>
  </si>
  <si>
    <t>2024-02-17 20:23</t>
  </si>
  <si>
    <t>Mr. Lawrence Edwards</t>
  </si>
  <si>
    <t>jessica56@example.org</t>
  </si>
  <si>
    <t>ORD-202466260</t>
  </si>
  <si>
    <t>2024-12-01 02:45</t>
  </si>
  <si>
    <t>Kayla Rodriguez</t>
  </si>
  <si>
    <t>stevenadams@example.org</t>
  </si>
  <si>
    <t>ORD-202411217</t>
  </si>
  <si>
    <t>2024-01-05 22:21</t>
  </si>
  <si>
    <t>Anthony Dougherty</t>
  </si>
  <si>
    <t>kwright@example.com</t>
  </si>
  <si>
    <t>ORD-202451071</t>
  </si>
  <si>
    <t>2024-07-07 09:08</t>
  </si>
  <si>
    <t>Michelle Lee</t>
  </si>
  <si>
    <t>tyronerobertson@example.com</t>
  </si>
  <si>
    <t>ORD-202437925</t>
  </si>
  <si>
    <t>2024-11-17 23:09</t>
  </si>
  <si>
    <t>Kathleen Davis</t>
  </si>
  <si>
    <t>pwagner@example.org</t>
  </si>
  <si>
    <t>ORD-202456076</t>
  </si>
  <si>
    <t>2024-08-07 10:50</t>
  </si>
  <si>
    <t>Amber Campbell</t>
  </si>
  <si>
    <t>amitchell@example.org</t>
  </si>
  <si>
    <t>ORD-202436928</t>
  </si>
  <si>
    <t>2024-09-22 19:32</t>
  </si>
  <si>
    <t>Stephen Luna</t>
  </si>
  <si>
    <t>zdiaz@example.org</t>
  </si>
  <si>
    <t>ORD-202475481</t>
  </si>
  <si>
    <t>2024-11-22 19:04</t>
  </si>
  <si>
    <t>Chloe Tran</t>
  </si>
  <si>
    <t>hughesshannon@example.net</t>
  </si>
  <si>
    <t>ORD-202471736</t>
  </si>
  <si>
    <t>2024-02-07 00:37</t>
  </si>
  <si>
    <t>William Becker</t>
  </si>
  <si>
    <t>andersoncolin@example.com</t>
  </si>
  <si>
    <t>ORD-202465518</t>
  </si>
  <si>
    <t>2024-12-25 12:05</t>
  </si>
  <si>
    <t>Gina Mcmillan</t>
  </si>
  <si>
    <t>jameshicks@example.net</t>
  </si>
  <si>
    <t>ORD-202430365</t>
  </si>
  <si>
    <t>2024-10-01 10:25</t>
  </si>
  <si>
    <t>Andrew Reeves</t>
  </si>
  <si>
    <t>jstone@example.net</t>
  </si>
  <si>
    <t>ORD-202425202</t>
  </si>
  <si>
    <t>2024-08-20 19:38</t>
  </si>
  <si>
    <t>Brenda Velazquez</t>
  </si>
  <si>
    <t>francisco94@example.net</t>
  </si>
  <si>
    <t>ORD-202455443</t>
  </si>
  <si>
    <t>2024-09-24 16:50</t>
  </si>
  <si>
    <t>Ronald Patel</t>
  </si>
  <si>
    <t>thomas05@example.com</t>
  </si>
  <si>
    <t>ORD-202466272</t>
  </si>
  <si>
    <t>2024-05-19 16:04</t>
  </si>
  <si>
    <t>Veronica Silva</t>
  </si>
  <si>
    <t>carlsonjoseph@example.net</t>
  </si>
  <si>
    <t>ORD-202458193</t>
  </si>
  <si>
    <t>2024-03-21 08:49</t>
  </si>
  <si>
    <t>Paula Lane</t>
  </si>
  <si>
    <t>silvageorge@example.net</t>
  </si>
  <si>
    <t>ORD-202416026</t>
  </si>
  <si>
    <t>2024-08-29 11:24</t>
  </si>
  <si>
    <t>Patricia James</t>
  </si>
  <si>
    <t>anthonyvaughan@example.org</t>
  </si>
  <si>
    <t>ORD-202451934</t>
  </si>
  <si>
    <t>2024-05-18 02:36</t>
  </si>
  <si>
    <t>Jeremy Barnes</t>
  </si>
  <si>
    <t>avaughn@example.net</t>
  </si>
  <si>
    <t>ORD-202462550</t>
  </si>
  <si>
    <t>2024-02-05 14:55</t>
  </si>
  <si>
    <t>Tami Salas</t>
  </si>
  <si>
    <t>thorntonapril@example.net</t>
  </si>
  <si>
    <t>ORD-202483899</t>
  </si>
  <si>
    <t>2024-06-04 23:39</t>
  </si>
  <si>
    <t>Matthew Fox</t>
  </si>
  <si>
    <t>sue78@example.com</t>
  </si>
  <si>
    <t>ORD-202463744</t>
  </si>
  <si>
    <t>2024-01-13 07:34</t>
  </si>
  <si>
    <t>Megan Dillon</t>
  </si>
  <si>
    <t>chelsea33@example.com</t>
  </si>
  <si>
    <t>ORD-202479443</t>
  </si>
  <si>
    <t>2024-05-01 13:31</t>
  </si>
  <si>
    <t>Courtney Dudley</t>
  </si>
  <si>
    <t>kellie37@example.com</t>
  </si>
  <si>
    <t>ORD-202421128</t>
  </si>
  <si>
    <t>2024-10-24 03:32</t>
  </si>
  <si>
    <t>Justin Michael</t>
  </si>
  <si>
    <t>keith98@example.com</t>
  </si>
  <si>
    <t>ORD-202444208</t>
  </si>
  <si>
    <t>2024-06-10 12:44</t>
  </si>
  <si>
    <t>Jennifer Reed</t>
  </si>
  <si>
    <t>kellyroberts@example.net</t>
  </si>
  <si>
    <t>ORD-202430369</t>
  </si>
  <si>
    <t>2024-02-24 05:28</t>
  </si>
  <si>
    <t>Thomas Douglas</t>
  </si>
  <si>
    <t>ilewis@example.com</t>
  </si>
  <si>
    <t>ORD-202444735</t>
  </si>
  <si>
    <t>2024-03-02 02:10</t>
  </si>
  <si>
    <t>Melissa Taylor</t>
  </si>
  <si>
    <t>johnsantiago@example.net</t>
  </si>
  <si>
    <t>ORD-202461936</t>
  </si>
  <si>
    <t>2024-09-19 01:43</t>
  </si>
  <si>
    <t>David Garcia</t>
  </si>
  <si>
    <t>jennifer12@example.org</t>
  </si>
  <si>
    <t>ORD-202423357</t>
  </si>
  <si>
    <t>2024-03-12 03:00</t>
  </si>
  <si>
    <t>Vanessa Moore</t>
  </si>
  <si>
    <t>mwoods@example.com</t>
  </si>
  <si>
    <t>ORD-202419828</t>
  </si>
  <si>
    <t>2024-01-12 02:12</t>
  </si>
  <si>
    <t>Matthew Velez</t>
  </si>
  <si>
    <t>pearsonjesse@example.net</t>
  </si>
  <si>
    <t>ORD-202432018</t>
  </si>
  <si>
    <t>2024-10-20 13:52</t>
  </si>
  <si>
    <t>Taylor Gentry</t>
  </si>
  <si>
    <t>robertmonroe@example.org</t>
  </si>
  <si>
    <t>ORD-202446042</t>
  </si>
  <si>
    <t>2024-05-23 14:56</t>
  </si>
  <si>
    <t>Jennifer Simpson DVM</t>
  </si>
  <si>
    <t>nancy04@example.net</t>
  </si>
  <si>
    <t>ORD-202482179</t>
  </si>
  <si>
    <t>2024-09-02 01:05</t>
  </si>
  <si>
    <t>Tanya Rogers</t>
  </si>
  <si>
    <t>ihays@example.net</t>
  </si>
  <si>
    <t>ORD-202472873</t>
  </si>
  <si>
    <t>2024-10-05 15:22</t>
  </si>
  <si>
    <t>Todd Rosales MD</t>
  </si>
  <si>
    <t>lisarivera@example.net</t>
  </si>
  <si>
    <t>ORD-202413840</t>
  </si>
  <si>
    <t>2024-05-23 01:51</t>
  </si>
  <si>
    <t>David Lopez</t>
  </si>
  <si>
    <t>krystal93@example.org</t>
  </si>
  <si>
    <t>ORD-202444934</t>
  </si>
  <si>
    <t>2024-09-30 23:03</t>
  </si>
  <si>
    <t>Margaret Sullivan</t>
  </si>
  <si>
    <t>frobertson@example.com</t>
  </si>
  <si>
    <t>ORD-202457026</t>
  </si>
  <si>
    <t>2024-10-29 00:45</t>
  </si>
  <si>
    <t>Cathy Taylor</t>
  </si>
  <si>
    <t>shari04@example.com</t>
  </si>
  <si>
    <t>ORD-202414975</t>
  </si>
  <si>
    <t>2024-02-16 01:14</t>
  </si>
  <si>
    <t>Paul Finley</t>
  </si>
  <si>
    <t>brandi90@example.com</t>
  </si>
  <si>
    <t>ORD-202433260</t>
  </si>
  <si>
    <t>2024-06-14 01:01</t>
  </si>
  <si>
    <t>Melissa Brown</t>
  </si>
  <si>
    <t>marshallerik@example.net</t>
  </si>
  <si>
    <t>ORD-202486810</t>
  </si>
  <si>
    <t>2024-02-21 10:19</t>
  </si>
  <si>
    <t>Stephanie Padilla</t>
  </si>
  <si>
    <t>hannah45@example.net</t>
  </si>
  <si>
    <t>ORD-202483659</t>
  </si>
  <si>
    <t>2024-12-21 19:50</t>
  </si>
  <si>
    <t>Tyler Mendoza</t>
  </si>
  <si>
    <t>madkins@example.com</t>
  </si>
  <si>
    <t>ORD-202410235</t>
  </si>
  <si>
    <t>2024-12-25 18:25</t>
  </si>
  <si>
    <t>Joshua Ruiz</t>
  </si>
  <si>
    <t>kathleenbecker@example.net</t>
  </si>
  <si>
    <t>ORD-202453406</t>
  </si>
  <si>
    <t>2024-02-09 07:22</t>
  </si>
  <si>
    <t>Angela Griffin</t>
  </si>
  <si>
    <t>christian91@example.org</t>
  </si>
  <si>
    <t>ORD-202442707</t>
  </si>
  <si>
    <t>2024-12-20 02:22</t>
  </si>
  <si>
    <t>Stephanie Harris</t>
  </si>
  <si>
    <t>franklinbond@example.com</t>
  </si>
  <si>
    <t>ORD-202474629</t>
  </si>
  <si>
    <t>2024-07-12 11:34</t>
  </si>
  <si>
    <t>Daniel Aguilar</t>
  </si>
  <si>
    <t>nolansean@example.org</t>
  </si>
  <si>
    <t>ORD-202419661</t>
  </si>
  <si>
    <t>2024-01-18 09:01</t>
  </si>
  <si>
    <t>Jose Bryant</t>
  </si>
  <si>
    <t>hansenemily@example.com</t>
  </si>
  <si>
    <t>ORD-202454295</t>
  </si>
  <si>
    <t>2024-10-31 19:57</t>
  </si>
  <si>
    <t>Jennifer Velasquez</t>
  </si>
  <si>
    <t>bethwilliams@example.com</t>
  </si>
  <si>
    <t>ORD-202423272</t>
  </si>
  <si>
    <t>2024-06-18 06:12</t>
  </si>
  <si>
    <t>Kimberly Brown</t>
  </si>
  <si>
    <t>andersenthomas@example.com</t>
  </si>
  <si>
    <t>ORD-202461498</t>
  </si>
  <si>
    <t>2024-10-19 17:53</t>
  </si>
  <si>
    <t>Randy Cannon</t>
  </si>
  <si>
    <t>ybrooks@example.com</t>
  </si>
  <si>
    <t>ORD-202436171</t>
  </si>
  <si>
    <t>2024-02-19 00:13</t>
  </si>
  <si>
    <t>Susan Bennett</t>
  </si>
  <si>
    <t>desireebailey@example.org</t>
  </si>
  <si>
    <t>ORD-202496643</t>
  </si>
  <si>
    <t>2024-05-15 02:41</t>
  </si>
  <si>
    <t>Jenna Anderson DVM</t>
  </si>
  <si>
    <t>avilatiffany@example.com</t>
  </si>
  <si>
    <t>ORD-202444510</t>
  </si>
  <si>
    <t>2024-08-13 14:16</t>
  </si>
  <si>
    <t>Kimberly Patel</t>
  </si>
  <si>
    <t>johnreed@example.com</t>
  </si>
  <si>
    <t>ORD-202487296</t>
  </si>
  <si>
    <t>2024-04-26 17:03</t>
  </si>
  <si>
    <t>Shaun Cannon</t>
  </si>
  <si>
    <t>pachecorobert@example.org</t>
  </si>
  <si>
    <t>ORD-202420348</t>
  </si>
  <si>
    <t>2024-07-21 22:02</t>
  </si>
  <si>
    <t>Austin Wheeler</t>
  </si>
  <si>
    <t>tharper@example.org</t>
  </si>
  <si>
    <t>ORD-202431910</t>
  </si>
  <si>
    <t>2024-04-18 06:08</t>
  </si>
  <si>
    <t>Andrew Gonzales</t>
  </si>
  <si>
    <t>karenparsons@example.org</t>
  </si>
  <si>
    <t>ORD-202451910</t>
  </si>
  <si>
    <t>2024-02-04 02:24</t>
  </si>
  <si>
    <t>Donna Cabrera</t>
  </si>
  <si>
    <t>barbara53@example.com</t>
  </si>
  <si>
    <t>ORD-202424748</t>
  </si>
  <si>
    <t>2024-07-31 04:09</t>
  </si>
  <si>
    <t>Victoria Boyd</t>
  </si>
  <si>
    <t>dturner@example.net</t>
  </si>
  <si>
    <t>ORD-202463856</t>
  </si>
  <si>
    <t>2024-05-15 12:41</t>
  </si>
  <si>
    <t>Sheryl Buck</t>
  </si>
  <si>
    <t>dpeters@example.com</t>
  </si>
  <si>
    <t>ORD-202415083</t>
  </si>
  <si>
    <t>2024-07-21 10:44</t>
  </si>
  <si>
    <t>Megan Floyd</t>
  </si>
  <si>
    <t>heather62@example.com</t>
  </si>
  <si>
    <t>ORD-202446745</t>
  </si>
  <si>
    <t>2024-09-08 22:43</t>
  </si>
  <si>
    <t>Paul Wells</t>
  </si>
  <si>
    <t>kevinzimmerman@example.com</t>
  </si>
  <si>
    <t>ORD-202434633</t>
  </si>
  <si>
    <t>2024-08-14 06:58</t>
  </si>
  <si>
    <t>Kristina Faulkner</t>
  </si>
  <si>
    <t>paulscott@example.com</t>
  </si>
  <si>
    <t>ORD-202476426</t>
  </si>
  <si>
    <t>2024-07-25 04:49</t>
  </si>
  <si>
    <t>Tammy Boone</t>
  </si>
  <si>
    <t>nicholsmaria@example.org</t>
  </si>
  <si>
    <t>ORD-202416626</t>
  </si>
  <si>
    <t>2024-07-03 22:12</t>
  </si>
  <si>
    <t>Michael Morrison</t>
  </si>
  <si>
    <t>lopezkathleen@example.net</t>
  </si>
  <si>
    <t>ORD-202474066</t>
  </si>
  <si>
    <t>2024-10-31 14:11</t>
  </si>
  <si>
    <t>Claire Clark</t>
  </si>
  <si>
    <t>kevin03@example.org</t>
  </si>
  <si>
    <t>ORD-202460667</t>
  </si>
  <si>
    <t>2024-01-26 05:54</t>
  </si>
  <si>
    <t>Autumn Key</t>
  </si>
  <si>
    <t>srocha@example.net</t>
  </si>
  <si>
    <t>ORD-202499417</t>
  </si>
  <si>
    <t>2024-01-05 15:58</t>
  </si>
  <si>
    <t>Jennifer Allen</t>
  </si>
  <si>
    <t>kimberly67@example.net</t>
  </si>
  <si>
    <t>ORD-202459345</t>
  </si>
  <si>
    <t>2024-06-27 14:16</t>
  </si>
  <si>
    <t>Elizabeth Ward</t>
  </si>
  <si>
    <t>zowens@example.net</t>
  </si>
  <si>
    <t>ORD-202483591</t>
  </si>
  <si>
    <t>2024-11-27 19:38</t>
  </si>
  <si>
    <t>Ryan Rocha</t>
  </si>
  <si>
    <t>lawrence09@example.org</t>
  </si>
  <si>
    <t>ORD-202495998</t>
  </si>
  <si>
    <t>2024-12-30 20:19</t>
  </si>
  <si>
    <t>Alexis Tran</t>
  </si>
  <si>
    <t>mphillips@example.com</t>
  </si>
  <si>
    <t>ORD-202413336</t>
  </si>
  <si>
    <t>2024-12-01 15:18</t>
  </si>
  <si>
    <t>Kelly Sanchez</t>
  </si>
  <si>
    <t>jonathan77@example.com</t>
  </si>
  <si>
    <t>ORD-202499957</t>
  </si>
  <si>
    <t>2024-09-30 20:50</t>
  </si>
  <si>
    <t>Robert Jackson</t>
  </si>
  <si>
    <t>iwhite@example.net</t>
  </si>
  <si>
    <t>ORD-202471706</t>
  </si>
  <si>
    <t>2024-03-06 23:16</t>
  </si>
  <si>
    <t>Kelly Combs</t>
  </si>
  <si>
    <t>landryelizabeth@example.org</t>
  </si>
  <si>
    <t>ORD-202453426</t>
  </si>
  <si>
    <t>2024-07-09 08:37</t>
  </si>
  <si>
    <t>Ryan Hall</t>
  </si>
  <si>
    <t>albertwagner@example.com</t>
  </si>
  <si>
    <t>ORD-202475598</t>
  </si>
  <si>
    <t>2024-03-02 21:24</t>
  </si>
  <si>
    <t>Mark Peck</t>
  </si>
  <si>
    <t>bhopkins@example.org</t>
  </si>
  <si>
    <t>ORD-202484632</t>
  </si>
  <si>
    <t>2024-08-22 04:20</t>
  </si>
  <si>
    <t>Jennifer Smith</t>
  </si>
  <si>
    <t>amanda40@example.net</t>
  </si>
  <si>
    <t>ORD-202445851</t>
  </si>
  <si>
    <t>2024-04-17 05:36</t>
  </si>
  <si>
    <t>Megan Drake</t>
  </si>
  <si>
    <t>danieldavis@example.org</t>
  </si>
  <si>
    <t>ORD-202472573</t>
  </si>
  <si>
    <t>2024-07-15 00:02</t>
  </si>
  <si>
    <t>Manuel King</t>
  </si>
  <si>
    <t>joseph61@example.com</t>
  </si>
  <si>
    <t>ORD-202492141</t>
  </si>
  <si>
    <t>2024-05-07 07:44</t>
  </si>
  <si>
    <t>Judy Sanchez</t>
  </si>
  <si>
    <t>kevinclayton@example.org</t>
  </si>
  <si>
    <t>ORD-202415992</t>
  </si>
  <si>
    <t>2024-06-01 09:29</t>
  </si>
  <si>
    <t>Shannon Malone</t>
  </si>
  <si>
    <t>sullivannicholas@example.com</t>
  </si>
  <si>
    <t>ORD-202431611</t>
  </si>
  <si>
    <t>2024-07-25 00:14</t>
  </si>
  <si>
    <t>Adam Jackson</t>
  </si>
  <si>
    <t>pbruce@example.com</t>
  </si>
  <si>
    <t>ORD-202495267</t>
  </si>
  <si>
    <t>2024-01-20 12:56</t>
  </si>
  <si>
    <t>Shannon Davis</t>
  </si>
  <si>
    <t>hallrachel@example.net</t>
  </si>
  <si>
    <t>ORD-202425176</t>
  </si>
  <si>
    <t>2024-08-01 14:24</t>
  </si>
  <si>
    <t>Karen Williams</t>
  </si>
  <si>
    <t>cohenjuan@example.net</t>
  </si>
  <si>
    <t>ORD-202496725</t>
  </si>
  <si>
    <t>2024-02-21 21:33</t>
  </si>
  <si>
    <t>Amanda Mcfarland</t>
  </si>
  <si>
    <t>alexis39@example.org</t>
  </si>
  <si>
    <t>ORD-202423928</t>
  </si>
  <si>
    <t>2024-09-11 06:38</t>
  </si>
  <si>
    <t>Michelle Sanders</t>
  </si>
  <si>
    <t>evansanne@example.net</t>
  </si>
  <si>
    <t>ORD-202415164</t>
  </si>
  <si>
    <t>2024-10-07 15:58</t>
  </si>
  <si>
    <t>Jasmine Mosley</t>
  </si>
  <si>
    <t>patrick21@example.net</t>
  </si>
  <si>
    <t>ORD-202429548</t>
  </si>
  <si>
    <t>2024-02-16 16:04</t>
  </si>
  <si>
    <t>Haley Davis</t>
  </si>
  <si>
    <t>marypeterson@example.net</t>
  </si>
  <si>
    <t>ORD-202432898</t>
  </si>
  <si>
    <t>2024-01-21 09:23</t>
  </si>
  <si>
    <t>Jennifer Ayala</t>
  </si>
  <si>
    <t>walterskristen@example.com</t>
  </si>
  <si>
    <t>ORD-202456861</t>
  </si>
  <si>
    <t>2024-08-12 19:17</t>
  </si>
  <si>
    <t>Henry Pugh MD</t>
  </si>
  <si>
    <t>nmiller@example.com</t>
  </si>
  <si>
    <t>ORD-202472684</t>
  </si>
  <si>
    <t>2024-08-03 20:56</t>
  </si>
  <si>
    <t>Michelle Miller</t>
  </si>
  <si>
    <t>normanbowers@example.org</t>
  </si>
  <si>
    <t>ORD-202484572</t>
  </si>
  <si>
    <t>2024-12-13 14:11</t>
  </si>
  <si>
    <t>Emily Rodriguez</t>
  </si>
  <si>
    <t>hahnsean@example.com</t>
  </si>
  <si>
    <t>ORD-202467761</t>
  </si>
  <si>
    <t>2024-01-24 02:16</t>
  </si>
  <si>
    <t>Brandon Jordan</t>
  </si>
  <si>
    <t>fgarcia@example.com</t>
  </si>
  <si>
    <t>ORD-202466734</t>
  </si>
  <si>
    <t>2024-12-04 23:15</t>
  </si>
  <si>
    <t>Linda Mueller</t>
  </si>
  <si>
    <t>asmith@example.com</t>
  </si>
  <si>
    <t>ORD-202476265</t>
  </si>
  <si>
    <t>2024-08-28 15:55</t>
  </si>
  <si>
    <t>Misty Hansen</t>
  </si>
  <si>
    <t>ashleyjackson@example.com</t>
  </si>
  <si>
    <t>ORD-202482154</t>
  </si>
  <si>
    <t>2024-11-25 12:25</t>
  </si>
  <si>
    <t>Derrick Adams</t>
  </si>
  <si>
    <t>bryanhamilton@example.com</t>
  </si>
  <si>
    <t>ORD-202451426</t>
  </si>
  <si>
    <t>2024-03-01 15:47</t>
  </si>
  <si>
    <t>Richard Ward</t>
  </si>
  <si>
    <t>jennifersimpson@example.net</t>
  </si>
  <si>
    <t>ORD-202476628</t>
  </si>
  <si>
    <t>2024-10-14 06:41</t>
  </si>
  <si>
    <t>Brian Torres</t>
  </si>
  <si>
    <t>ncook@example.com</t>
  </si>
  <si>
    <t>ORD-202496136</t>
  </si>
  <si>
    <t>2024-07-05 22:28</t>
  </si>
  <si>
    <t>Erin Cook</t>
  </si>
  <si>
    <t>kevinmorrison@example.net</t>
  </si>
  <si>
    <t>ORD-202423935</t>
  </si>
  <si>
    <t>2024-01-24 05:31</t>
  </si>
  <si>
    <t>Ernest Oconnell</t>
  </si>
  <si>
    <t>kelly79@example.org</t>
  </si>
  <si>
    <t>ORD-202469905</t>
  </si>
  <si>
    <t>2024-04-07 22:21</t>
  </si>
  <si>
    <t>Douglas Hartman</t>
  </si>
  <si>
    <t>daniel93@example.net</t>
  </si>
  <si>
    <t>ORD-202475382</t>
  </si>
  <si>
    <t>2024-01-03 16:47</t>
  </si>
  <si>
    <t>Catherine Saunders MD</t>
  </si>
  <si>
    <t>nhahn@example.com</t>
  </si>
  <si>
    <t>ORD-202426827</t>
  </si>
  <si>
    <t>2024-02-23 12:42</t>
  </si>
  <si>
    <t>Sandra Jones</t>
  </si>
  <si>
    <t>ichambers@example.net</t>
  </si>
  <si>
    <t>ORD-202454939</t>
  </si>
  <si>
    <t>2024-05-30 14:51</t>
  </si>
  <si>
    <t>David Moore</t>
  </si>
  <si>
    <t>emccormick@example.com</t>
  </si>
  <si>
    <t>ORD-202436330</t>
  </si>
  <si>
    <t>2024-04-17 19:45</t>
  </si>
  <si>
    <t>Karen Morales DDS</t>
  </si>
  <si>
    <t>ystephens@example.com</t>
  </si>
  <si>
    <t>ORD-202483699</t>
  </si>
  <si>
    <t>2024-09-02 18:36</t>
  </si>
  <si>
    <t>Robin Wheeler</t>
  </si>
  <si>
    <t>rodriguezjohn@example.net</t>
  </si>
  <si>
    <t>ORD-202429048</t>
  </si>
  <si>
    <t>2024-01-28 21:03</t>
  </si>
  <si>
    <t>Matthew Williams</t>
  </si>
  <si>
    <t>vrasmussen@example.com</t>
  </si>
  <si>
    <t>ORD-202480932</t>
  </si>
  <si>
    <t>2024-01-17 11:52</t>
  </si>
  <si>
    <t>Brett Walker</t>
  </si>
  <si>
    <t>seanmyers@example.net</t>
  </si>
  <si>
    <t>ORD-202497096</t>
  </si>
  <si>
    <t>2024-01-25 12:24</t>
  </si>
  <si>
    <t>Kathryn Cooper</t>
  </si>
  <si>
    <t>webbkenneth@example.org</t>
  </si>
  <si>
    <t>ORD-202487120</t>
  </si>
  <si>
    <t>2024-10-06 23:38</t>
  </si>
  <si>
    <t>Todd Thomas</t>
  </si>
  <si>
    <t>matthew38@example.com</t>
  </si>
  <si>
    <t>ORD-202459440</t>
  </si>
  <si>
    <t>2024-01-21 13:17</t>
  </si>
  <si>
    <t>Brent Bowen</t>
  </si>
  <si>
    <t>tflores@example.org</t>
  </si>
  <si>
    <t>ORD-202415235</t>
  </si>
  <si>
    <t>2024-03-19 10:38</t>
  </si>
  <si>
    <t>Ashley Sweeney</t>
  </si>
  <si>
    <t>byrdfrank@example.net</t>
  </si>
  <si>
    <t>ORD-202478864</t>
  </si>
  <si>
    <t>2024-04-22 05:33</t>
  </si>
  <si>
    <t>Christopher Moore</t>
  </si>
  <si>
    <t>omullen@example.com</t>
  </si>
  <si>
    <t>ORD-202437964</t>
  </si>
  <si>
    <t>2024-12-05 10:21</t>
  </si>
  <si>
    <t>Charlotte Sandoval</t>
  </si>
  <si>
    <t>njohnson@example.org</t>
  </si>
  <si>
    <t>ORD-202425036</t>
  </si>
  <si>
    <t>2024-12-08 11:28</t>
  </si>
  <si>
    <t>Jeffrey Smith</t>
  </si>
  <si>
    <t>jamiegoodwin@example.org</t>
  </si>
  <si>
    <t>ORD-202460577</t>
  </si>
  <si>
    <t>2024-05-11 17:46</t>
  </si>
  <si>
    <t>Rebecca Herrera</t>
  </si>
  <si>
    <t>mark71@example.com</t>
  </si>
  <si>
    <t>ORD-202448854</t>
  </si>
  <si>
    <t>2024-11-29 06:20</t>
  </si>
  <si>
    <t>Katherine Church</t>
  </si>
  <si>
    <t>candice96@example.net</t>
  </si>
  <si>
    <t>ORD-202497862</t>
  </si>
  <si>
    <t>2024-11-18 06:55</t>
  </si>
  <si>
    <t>Harold Ellis</t>
  </si>
  <si>
    <t>lisamccarthy@example.com</t>
  </si>
  <si>
    <t>ORD-202470191</t>
  </si>
  <si>
    <t>2024-06-18 01:05</t>
  </si>
  <si>
    <t>Leslie Powers</t>
  </si>
  <si>
    <t>david41@example.org</t>
  </si>
  <si>
    <t>ORD-202460860</t>
  </si>
  <si>
    <t>2024-08-18 20:25</t>
  </si>
  <si>
    <t>Charles Price</t>
  </si>
  <si>
    <t>baileyhenderson@example.com</t>
  </si>
  <si>
    <t>ORD-202486756</t>
  </si>
  <si>
    <t>2024-01-24 22:54</t>
  </si>
  <si>
    <t>Melissa Brewer</t>
  </si>
  <si>
    <t>angelaburns@example.org</t>
  </si>
  <si>
    <t>ORD-202459992</t>
  </si>
  <si>
    <t>2024-07-21 21:01</t>
  </si>
  <si>
    <t>Ryan Harvey</t>
  </si>
  <si>
    <t>stephanie72@example.org</t>
  </si>
  <si>
    <t>ORD-202498773</t>
  </si>
  <si>
    <t>2024-11-27 11:00</t>
  </si>
  <si>
    <t>Tracey Wagner</t>
  </si>
  <si>
    <t>fortiz@example.com</t>
  </si>
  <si>
    <t>ORD-202449936</t>
  </si>
  <si>
    <t>2024-04-17 23:47</t>
  </si>
  <si>
    <t>Jill Jackson</t>
  </si>
  <si>
    <t>flynnjeffrey@example.org</t>
  </si>
  <si>
    <t>ORD-202490856</t>
  </si>
  <si>
    <t>2024-05-09 06:07</t>
  </si>
  <si>
    <t>Joshua Jackson</t>
  </si>
  <si>
    <t>xcunningham@example.com</t>
  </si>
  <si>
    <t>ORD-202442858</t>
  </si>
  <si>
    <t>2024-02-20 06:46</t>
  </si>
  <si>
    <t>Ashley Wilson</t>
  </si>
  <si>
    <t>amber07@example.net</t>
  </si>
  <si>
    <t>ORD-202435362</t>
  </si>
  <si>
    <t>2024-06-11 15:28</t>
  </si>
  <si>
    <t>Jeffery Fitzgerald</t>
  </si>
  <si>
    <t>kennethkidd@example.com</t>
  </si>
  <si>
    <t>ORD-202432103</t>
  </si>
  <si>
    <t>2024-01-03 10:15</t>
  </si>
  <si>
    <t>Scott Miller</t>
  </si>
  <si>
    <t>rowejoel@example.net</t>
  </si>
  <si>
    <t>ORD-202468373</t>
  </si>
  <si>
    <t>2024-07-02 09:31</t>
  </si>
  <si>
    <t>Heather Page</t>
  </si>
  <si>
    <t>imartin@example.org</t>
  </si>
  <si>
    <t>ORD-202444502</t>
  </si>
  <si>
    <t>2024-11-16 02:46</t>
  </si>
  <si>
    <t>Renee Hudson</t>
  </si>
  <si>
    <t>candice25@example.net</t>
  </si>
  <si>
    <t>ORD-202414804</t>
  </si>
  <si>
    <t>2024-10-09 08:34</t>
  </si>
  <si>
    <t>Kenneth Farley</t>
  </si>
  <si>
    <t>taylorkaren@example.com</t>
  </si>
  <si>
    <t>ORD-202475683</t>
  </si>
  <si>
    <t>2024-09-18 02:25</t>
  </si>
  <si>
    <t>Wendy Camacho</t>
  </si>
  <si>
    <t>jacquelineanderson@example.org</t>
  </si>
  <si>
    <t>ORD-202468487</t>
  </si>
  <si>
    <t>2024-03-22 05:36</t>
  </si>
  <si>
    <t>Sandra Juarez</t>
  </si>
  <si>
    <t>kburns@example.net</t>
  </si>
  <si>
    <t>ORD-202444649</t>
  </si>
  <si>
    <t>2024-07-08 07:02</t>
  </si>
  <si>
    <t>Jason Hayes</t>
  </si>
  <si>
    <t>powellkara@example.net</t>
  </si>
  <si>
    <t>ORD-202478337</t>
  </si>
  <si>
    <t>2024-11-20 08:53</t>
  </si>
  <si>
    <t>Jackie Clements</t>
  </si>
  <si>
    <t>brandi17@example.net</t>
  </si>
  <si>
    <t>ORD-202477720</t>
  </si>
  <si>
    <t>2024-05-08 12:58</t>
  </si>
  <si>
    <t>Heather Brown</t>
  </si>
  <si>
    <t>brobinson@example.org</t>
  </si>
  <si>
    <t>ORD-202475776</t>
  </si>
  <si>
    <t>2024-03-12 14:10</t>
  </si>
  <si>
    <t>Frank Campbell MD</t>
  </si>
  <si>
    <t>ashleewashington@example.com</t>
  </si>
  <si>
    <t>ORD-202488908</t>
  </si>
  <si>
    <t>2024-03-01 21:14</t>
  </si>
  <si>
    <t>Pamela Williams</t>
  </si>
  <si>
    <t>ksmith@example.com</t>
  </si>
  <si>
    <t>ORD-202494837</t>
  </si>
  <si>
    <t>2024-07-29 00:15</t>
  </si>
  <si>
    <t>William Patterson</t>
  </si>
  <si>
    <t>nicoleturner@example.com</t>
  </si>
  <si>
    <t>ORD-202417328</t>
  </si>
  <si>
    <t>2024-03-26 08:59</t>
  </si>
  <si>
    <t>Isaac Miller</t>
  </si>
  <si>
    <t>brettgarrett@example.net</t>
  </si>
  <si>
    <t>ORD-202438389</t>
  </si>
  <si>
    <t>2024-08-17 19:30</t>
  </si>
  <si>
    <t>Cynthia Rios</t>
  </si>
  <si>
    <t>smiththomas@example.org</t>
  </si>
  <si>
    <t>ORD-202431983</t>
  </si>
  <si>
    <t>2024-12-17 10:59</t>
  </si>
  <si>
    <t>Kelly Wallace</t>
  </si>
  <si>
    <t>dominguezlisa@example.com</t>
  </si>
  <si>
    <t>ORD-202436522</t>
  </si>
  <si>
    <t>2024-09-24 16:43</t>
  </si>
  <si>
    <t>Karen Perez</t>
  </si>
  <si>
    <t>crosscurtis@example.com</t>
  </si>
  <si>
    <t>ORD-202422214</t>
  </si>
  <si>
    <t>2024-09-03 21:08</t>
  </si>
  <si>
    <t>Edwin Reyes</t>
  </si>
  <si>
    <t>darlenebyrd@example.org</t>
  </si>
  <si>
    <t>ORD-202479444</t>
  </si>
  <si>
    <t>2024-08-07 07:51</t>
  </si>
  <si>
    <t>Alejandra Santos</t>
  </si>
  <si>
    <t>nbell@example.net</t>
  </si>
  <si>
    <t>ORD-202472539</t>
  </si>
  <si>
    <t>2024-04-29 02:18</t>
  </si>
  <si>
    <t>Tamara Jensen</t>
  </si>
  <si>
    <t>fheath@example.org</t>
  </si>
  <si>
    <t>ORD-202478126</t>
  </si>
  <si>
    <t>2024-01-04 12:41</t>
  </si>
  <si>
    <t>Bryce Blair</t>
  </si>
  <si>
    <t>sylvia52@example.org</t>
  </si>
  <si>
    <t>ORD-202484012</t>
  </si>
  <si>
    <t>2024-07-06 19:17</t>
  </si>
  <si>
    <t>Bradley Tran</t>
  </si>
  <si>
    <t>kimberly04@example.org</t>
  </si>
  <si>
    <t>ORD-202443263</t>
  </si>
  <si>
    <t>2024-06-06 18:22</t>
  </si>
  <si>
    <t>Katrina Adkins</t>
  </si>
  <si>
    <t>debbie37@example.com</t>
  </si>
  <si>
    <t>ORD-202476629</t>
  </si>
  <si>
    <t>2024-07-24 10:51</t>
  </si>
  <si>
    <t>Jonathan Wheeler</t>
  </si>
  <si>
    <t>hatfieldsarah@example.org</t>
  </si>
  <si>
    <t>ORD-202421552</t>
  </si>
  <si>
    <t>2024-02-02 08:14</t>
  </si>
  <si>
    <t>Ryan Fisher</t>
  </si>
  <si>
    <t>kathrynbest@example.org</t>
  </si>
  <si>
    <t>ORD-202432973</t>
  </si>
  <si>
    <t>2024-11-23 15:28</t>
  </si>
  <si>
    <t>Austin Baker</t>
  </si>
  <si>
    <t>livingstonstacy@example.com</t>
  </si>
  <si>
    <t>ORD-202498345</t>
  </si>
  <si>
    <t>2024-01-19 11:15</t>
  </si>
  <si>
    <t>Lori Mason</t>
  </si>
  <si>
    <t>zhenderson@example.org</t>
  </si>
  <si>
    <t>ORD-202477861</t>
  </si>
  <si>
    <t>2024-01-08 23:45</t>
  </si>
  <si>
    <t>Kimberly Hernandez</t>
  </si>
  <si>
    <t>collinswilliam@example.org</t>
  </si>
  <si>
    <t>ORD-202439661</t>
  </si>
  <si>
    <t>2024-11-06 06:29</t>
  </si>
  <si>
    <t>Brittney Murphy</t>
  </si>
  <si>
    <t>collinssamuel@example.org</t>
  </si>
  <si>
    <t>ORD-202475951</t>
  </si>
  <si>
    <t>2024-05-30 10:07</t>
  </si>
  <si>
    <t>Brandon Hamilton</t>
  </si>
  <si>
    <t>dsalazar@example.com</t>
  </si>
  <si>
    <t>ORD-202441886</t>
  </si>
  <si>
    <t>2024-06-22 14:43</t>
  </si>
  <si>
    <t>Mary Thompson</t>
  </si>
  <si>
    <t>zimmermanjacqueline@example.org</t>
  </si>
  <si>
    <t>ORD-202451383</t>
  </si>
  <si>
    <t>2024-07-30 11:33</t>
  </si>
  <si>
    <t>Gregory Holmes PhD</t>
  </si>
  <si>
    <t>gary24@example.net</t>
  </si>
  <si>
    <t>ORD-202472463</t>
  </si>
  <si>
    <t>2024-06-09 11:13</t>
  </si>
  <si>
    <t>Patricia Johnson</t>
  </si>
  <si>
    <t>enelson@example.com</t>
  </si>
  <si>
    <t>ORD-202444787</t>
  </si>
  <si>
    <t>2024-04-15 07:12</t>
  </si>
  <si>
    <t>Laura Jones</t>
  </si>
  <si>
    <t>ddixon@example.com</t>
  </si>
  <si>
    <t>ORD-202480972</t>
  </si>
  <si>
    <t>2024-01-22 15:23</t>
  </si>
  <si>
    <t>Carol Moore</t>
  </si>
  <si>
    <t>shannonemily@example.org</t>
  </si>
  <si>
    <t>ORD-202462150</t>
  </si>
  <si>
    <t>2024-04-23 18:08</t>
  </si>
  <si>
    <t>Jordan Williams</t>
  </si>
  <si>
    <t>sanchezthomas@example.com</t>
  </si>
  <si>
    <t>ORD-202469925</t>
  </si>
  <si>
    <t>2024-03-02 22:33</t>
  </si>
  <si>
    <t>Cassidy Horne</t>
  </si>
  <si>
    <t>tranrobin@example.net</t>
  </si>
  <si>
    <t>ORD-202490318</t>
  </si>
  <si>
    <t>2024-05-12 05:35</t>
  </si>
  <si>
    <t>Courtney Wright</t>
  </si>
  <si>
    <t>joseph19@example.com</t>
  </si>
  <si>
    <t>ORD-202465567</t>
  </si>
  <si>
    <t>2024-04-17 13:44</t>
  </si>
  <si>
    <t>Michael Williams</t>
  </si>
  <si>
    <t>lindajarvis@example.com</t>
  </si>
  <si>
    <t>ORD-202423090</t>
  </si>
  <si>
    <t>2024-05-18 07:35</t>
  </si>
  <si>
    <t>John Campbell</t>
  </si>
  <si>
    <t>mark87@example.org</t>
  </si>
  <si>
    <t>ORD-202475483</t>
  </si>
  <si>
    <t>2024-03-09 20:33</t>
  </si>
  <si>
    <t>Eddie Mueller</t>
  </si>
  <si>
    <t>stevenvargas@example.com</t>
  </si>
  <si>
    <t>ORD-202431409</t>
  </si>
  <si>
    <t>2024-01-31 06:52</t>
  </si>
  <si>
    <t>Dr. Morgan Payne PhD</t>
  </si>
  <si>
    <t>adamortiz@example.org</t>
  </si>
  <si>
    <t>ORD-202455107</t>
  </si>
  <si>
    <t>2024-01-11 13:07</t>
  </si>
  <si>
    <t>Makayla Steele</t>
  </si>
  <si>
    <t>tapiaaaron@example.net</t>
  </si>
  <si>
    <t>ORD-202498236</t>
  </si>
  <si>
    <t>2024-09-18 15:49</t>
  </si>
  <si>
    <t>Oscar Parker</t>
  </si>
  <si>
    <t>alyssaallen@example.com</t>
  </si>
  <si>
    <t>ORD-202465288</t>
  </si>
  <si>
    <t>2024-11-19 19:36</t>
  </si>
  <si>
    <t>Valerie Thomas</t>
  </si>
  <si>
    <t>christopher38@example.com</t>
  </si>
  <si>
    <t>ORD-202489349</t>
  </si>
  <si>
    <t>2024-11-26 12:17</t>
  </si>
  <si>
    <t>Jacqueline Villegas</t>
  </si>
  <si>
    <t>carpenterwilliam@example.net</t>
  </si>
  <si>
    <t>ORD-202426389</t>
  </si>
  <si>
    <t>2024-04-30 21:16</t>
  </si>
  <si>
    <t>Angela Bradley</t>
  </si>
  <si>
    <t>ibates@example.org</t>
  </si>
  <si>
    <t>ORD-202413455</t>
  </si>
  <si>
    <t>2024-07-22 16:48</t>
  </si>
  <si>
    <t>Samuel Howe</t>
  </si>
  <si>
    <t>vhaynes@example.com</t>
  </si>
  <si>
    <t>ORD-202442426</t>
  </si>
  <si>
    <t>2024-05-25 14:40</t>
  </si>
  <si>
    <t>Dillon Jones</t>
  </si>
  <si>
    <t>derekcarrillo@example.org</t>
  </si>
  <si>
    <t>ORD-202471235</t>
  </si>
  <si>
    <t>2024-10-03 08:35</t>
  </si>
  <si>
    <t>Christopher Owens</t>
  </si>
  <si>
    <t>wmartinez@example.org</t>
  </si>
  <si>
    <t>ORD-202455504</t>
  </si>
  <si>
    <t>2024-09-03 17:14</t>
  </si>
  <si>
    <t>John Phelps</t>
  </si>
  <si>
    <t>mooregina@example.net</t>
  </si>
  <si>
    <t>ORD-202478592</t>
  </si>
  <si>
    <t>2024-03-10 11:18</t>
  </si>
  <si>
    <t>Amanda Huff</t>
  </si>
  <si>
    <t>eddie35@example.com</t>
  </si>
  <si>
    <t>ORD-202448393</t>
  </si>
  <si>
    <t>2024-11-01 07:50</t>
  </si>
  <si>
    <t>Megan Green</t>
  </si>
  <si>
    <t>anthonysullivan@example.com</t>
  </si>
  <si>
    <t>ORD-202494671</t>
  </si>
  <si>
    <t>2024-07-18 12:14</t>
  </si>
  <si>
    <t>Krista Davis</t>
  </si>
  <si>
    <t>laradonald@example.org</t>
  </si>
  <si>
    <t>ORD-202464120</t>
  </si>
  <si>
    <t>2024-04-06 02:11</t>
  </si>
  <si>
    <t>Richard Walker</t>
  </si>
  <si>
    <t>madisonwatson@example.net</t>
  </si>
  <si>
    <t>ORD-202434613</t>
  </si>
  <si>
    <t>2024-06-13 00:09</t>
  </si>
  <si>
    <t>Angela Willis</t>
  </si>
  <si>
    <t>johnsoncaleb@example.net</t>
  </si>
  <si>
    <t>ORD-202411075</t>
  </si>
  <si>
    <t>2024-04-29 02:09</t>
  </si>
  <si>
    <t>Carl Stein</t>
  </si>
  <si>
    <t>david70@example.org</t>
  </si>
  <si>
    <t>ORD-202453286</t>
  </si>
  <si>
    <t>2024-02-11 04:03</t>
  </si>
  <si>
    <t>Jessica Ramsey</t>
  </si>
  <si>
    <t>rjohnson@example.com</t>
  </si>
  <si>
    <t>ORD-202425985</t>
  </si>
  <si>
    <t>2024-05-07 12:49</t>
  </si>
  <si>
    <t>Daniel Lopez</t>
  </si>
  <si>
    <t>sean20@example.net</t>
  </si>
  <si>
    <t>ORD-202499318</t>
  </si>
  <si>
    <t>2024-06-08 10:10</t>
  </si>
  <si>
    <t>Danielle Phillips</t>
  </si>
  <si>
    <t>eandrade@example.org</t>
  </si>
  <si>
    <t>ORD-202416827</t>
  </si>
  <si>
    <t>2024-12-07 06:07</t>
  </si>
  <si>
    <t>James Barnes</t>
  </si>
  <si>
    <t>crystalpham@example.org</t>
  </si>
  <si>
    <t>ORD-202411170</t>
  </si>
  <si>
    <t>2024-01-22 18:50</t>
  </si>
  <si>
    <t>Rachael Howard DDS</t>
  </si>
  <si>
    <t>kcooper@example.net</t>
  </si>
  <si>
    <t>ORD-202499908</t>
  </si>
  <si>
    <t>2024-11-12 10:59</t>
  </si>
  <si>
    <t>Devin Johnson</t>
  </si>
  <si>
    <t>anthonycochran@example.com</t>
  </si>
  <si>
    <t>ORD-202451515</t>
  </si>
  <si>
    <t>2024-10-12 20:48</t>
  </si>
  <si>
    <t>William Moreno</t>
  </si>
  <si>
    <t>terrigarcia@example.net</t>
  </si>
  <si>
    <t>ORD-202473609</t>
  </si>
  <si>
    <t>2024-12-27 14:35</t>
  </si>
  <si>
    <t>Joseph Moody</t>
  </si>
  <si>
    <t>gallagherstacie@example.net</t>
  </si>
  <si>
    <t>ORD-202446087</t>
  </si>
  <si>
    <t>2024-11-02 17:10</t>
  </si>
  <si>
    <t>Rebecca Kelly</t>
  </si>
  <si>
    <t>gregorywatkins@example.net</t>
  </si>
  <si>
    <t>ORD-202493627</t>
  </si>
  <si>
    <t>2024-09-16 12:46</t>
  </si>
  <si>
    <t>Suzanne Johnson</t>
  </si>
  <si>
    <t>stacey92@example.net</t>
  </si>
  <si>
    <t>ORD-202434886</t>
  </si>
  <si>
    <t>2024-09-25 21:31</t>
  </si>
  <si>
    <t>Sara Cochran</t>
  </si>
  <si>
    <t>lweaver@example.com</t>
  </si>
  <si>
    <t>ORD-202478576</t>
  </si>
  <si>
    <t>2024-12-03 02:02</t>
  </si>
  <si>
    <t>Anthony Guzman</t>
  </si>
  <si>
    <t>foxaaron@example.net</t>
  </si>
  <si>
    <t>ORD-202496235</t>
  </si>
  <si>
    <t>2024-09-07 16:39</t>
  </si>
  <si>
    <t>Carlos Love</t>
  </si>
  <si>
    <t>brian29@example.net</t>
  </si>
  <si>
    <t>ORD-202495950</t>
  </si>
  <si>
    <t>2024-09-08 02:29</t>
  </si>
  <si>
    <t>Patricia Mathis</t>
  </si>
  <si>
    <t>susan56@example.net</t>
  </si>
  <si>
    <t>ORD-202479339</t>
  </si>
  <si>
    <t>2024-01-21 23:04</t>
  </si>
  <si>
    <t>Eric Taylor</t>
  </si>
  <si>
    <t>jessicakim@example.net</t>
  </si>
  <si>
    <t>ORD-202434832</t>
  </si>
  <si>
    <t>2024-04-08 16:42</t>
  </si>
  <si>
    <t>Marie Thompson</t>
  </si>
  <si>
    <t>jeffrey92@example.com</t>
  </si>
  <si>
    <t>ORD-202498407</t>
  </si>
  <si>
    <t>2024-08-22 22:42</t>
  </si>
  <si>
    <t>Michael Anderson</t>
  </si>
  <si>
    <t>rushstacy@example.com</t>
  </si>
  <si>
    <t>ORD-202456179</t>
  </si>
  <si>
    <t>2024-06-10 17:20</t>
  </si>
  <si>
    <t>Patricia Bradley</t>
  </si>
  <si>
    <t>carriemccall@example.net</t>
  </si>
  <si>
    <t>ORD-202459160</t>
  </si>
  <si>
    <t>2024-10-08 23:16</t>
  </si>
  <si>
    <t>Keith Zuniga</t>
  </si>
  <si>
    <t>markmiller@example.com</t>
  </si>
  <si>
    <t>ORD-202477844</t>
  </si>
  <si>
    <t>2024-03-10 09:00</t>
  </si>
  <si>
    <t>Mrs. Stacey Davis</t>
  </si>
  <si>
    <t>sean43@example.org</t>
  </si>
  <si>
    <t>ORD-202422358</t>
  </si>
  <si>
    <t>2024-01-20 14:22</t>
  </si>
  <si>
    <t>Hayley Buchanan</t>
  </si>
  <si>
    <t>williamssamuel@example.com</t>
  </si>
  <si>
    <t>ORD-202422046</t>
  </si>
  <si>
    <t>2024-10-19 12:36</t>
  </si>
  <si>
    <t>Stacey Snyder</t>
  </si>
  <si>
    <t>ybell@example.org</t>
  </si>
  <si>
    <t>ORD-202414898</t>
  </si>
  <si>
    <t>2024-10-22 12:05</t>
  </si>
  <si>
    <t>Rachel Lane</t>
  </si>
  <si>
    <t>franciscojones@example.org</t>
  </si>
  <si>
    <t>ORD-202493084</t>
  </si>
  <si>
    <t>2024-11-19 12:03</t>
  </si>
  <si>
    <t>Fernando Lynn</t>
  </si>
  <si>
    <t>petersonpamela@example.org</t>
  </si>
  <si>
    <t>ORD-202430079</t>
  </si>
  <si>
    <t>2024-01-26 21:46</t>
  </si>
  <si>
    <t>Kimberly Villanueva</t>
  </si>
  <si>
    <t>morgantricia@example.com</t>
  </si>
  <si>
    <t>ORD-202429400</t>
  </si>
  <si>
    <t>2024-03-08 10:05</t>
  </si>
  <si>
    <t>Jessica Valdez</t>
  </si>
  <si>
    <t>gmoore@example.com</t>
  </si>
  <si>
    <t>ORD-202427088</t>
  </si>
  <si>
    <t>2024-03-10 15:35</t>
  </si>
  <si>
    <t>Colton Terry</t>
  </si>
  <si>
    <t>donna43@example.org</t>
  </si>
  <si>
    <t>ORD-202444898</t>
  </si>
  <si>
    <t>2024-08-08 10:43</t>
  </si>
  <si>
    <t>Kenneth Larsen</t>
  </si>
  <si>
    <t>briansmith@example.org</t>
  </si>
  <si>
    <t>ORD-202455157</t>
  </si>
  <si>
    <t>2024-10-31 20:01</t>
  </si>
  <si>
    <t>Matthew Greene</t>
  </si>
  <si>
    <t>collinclark@example.net</t>
  </si>
  <si>
    <t>ORD-202440603</t>
  </si>
  <si>
    <t>2024-04-12 21:23</t>
  </si>
  <si>
    <t>Bradley Anthony</t>
  </si>
  <si>
    <t>kristen77@example.net</t>
  </si>
  <si>
    <t>ORD-202454993</t>
  </si>
  <si>
    <t>2024-12-21 03:19</t>
  </si>
  <si>
    <t>Martin Hughes</t>
  </si>
  <si>
    <t>nicole52@example.com</t>
  </si>
  <si>
    <t>ORD-202473311</t>
  </si>
  <si>
    <t>2024-11-14 23:09</t>
  </si>
  <si>
    <t>Jeremiah Baker</t>
  </si>
  <si>
    <t>anne21@example.org</t>
  </si>
  <si>
    <t>ORD-202447226</t>
  </si>
  <si>
    <t>2024-04-12 22:39</t>
  </si>
  <si>
    <t>Rhonda Gutierrez</t>
  </si>
  <si>
    <t>angelarandall@example.net</t>
  </si>
  <si>
    <t>ORD-202424141</t>
  </si>
  <si>
    <t>2024-01-10 09:55</t>
  </si>
  <si>
    <t>Joseph Camacho</t>
  </si>
  <si>
    <t>parmstrong@example.com</t>
  </si>
  <si>
    <t>ORD-202434434</t>
  </si>
  <si>
    <t>2024-04-11 16:29</t>
  </si>
  <si>
    <t>James Nash</t>
  </si>
  <si>
    <t>shawrachel@example.net</t>
  </si>
  <si>
    <t>ORD-202430578</t>
  </si>
  <si>
    <t>2024-01-10 11:43</t>
  </si>
  <si>
    <t>Lisa Martinez</t>
  </si>
  <si>
    <t>kthompson@example.org</t>
  </si>
  <si>
    <t>ORD-202413862</t>
  </si>
  <si>
    <t>2024-10-11 08:14</t>
  </si>
  <si>
    <t>Beth Henderson</t>
  </si>
  <si>
    <t>oharris@example.org</t>
  </si>
  <si>
    <t>ORD-202464700</t>
  </si>
  <si>
    <t>2024-05-03 18:09</t>
  </si>
  <si>
    <t>Deanna Bartlett</t>
  </si>
  <si>
    <t>millerangela@example.net</t>
  </si>
  <si>
    <t>ORD-202428102</t>
  </si>
  <si>
    <t>2024-06-07 22:45</t>
  </si>
  <si>
    <t>Donald Ellis</t>
  </si>
  <si>
    <t>buchanancindy@example.net</t>
  </si>
  <si>
    <t>ORD-202483051</t>
  </si>
  <si>
    <t>2024-09-29 23:07</t>
  </si>
  <si>
    <t>Ashley Hernandez</t>
  </si>
  <si>
    <t>buckleyanna@example.org</t>
  </si>
  <si>
    <t>ORD-202493472</t>
  </si>
  <si>
    <t>2024-05-20 04:49</t>
  </si>
  <si>
    <t>Sharon Beard</t>
  </si>
  <si>
    <t>pbaker@example.com</t>
  </si>
  <si>
    <t>ORD-202488166</t>
  </si>
  <si>
    <t>2024-04-28 07:43</t>
  </si>
  <si>
    <t>Kara Jackson</t>
  </si>
  <si>
    <t>mthomas@example.net</t>
  </si>
  <si>
    <t>ORD-202460785</t>
  </si>
  <si>
    <t>2024-09-08 15:08</t>
  </si>
  <si>
    <t>Amanda Preston</t>
  </si>
  <si>
    <t>hannah07@example.com</t>
  </si>
  <si>
    <t>ORD-202436812</t>
  </si>
  <si>
    <t>2024-02-03 05:59</t>
  </si>
  <si>
    <t>Alicia Roth</t>
  </si>
  <si>
    <t>larry71@example.org</t>
  </si>
  <si>
    <t>ORD-202489682</t>
  </si>
  <si>
    <t>2024-07-13 23:20</t>
  </si>
  <si>
    <t>William Ramos</t>
  </si>
  <si>
    <t>joseph69@example.net</t>
  </si>
  <si>
    <t>ORD-202469193</t>
  </si>
  <si>
    <t>2024-08-21 01:56</t>
  </si>
  <si>
    <t>Jeremy Mcintyre</t>
  </si>
  <si>
    <t>wfigueroa@example.net</t>
  </si>
  <si>
    <t>ORD-202434884</t>
  </si>
  <si>
    <t>2024-05-29 14:25</t>
  </si>
  <si>
    <t>Samantha Robertson</t>
  </si>
  <si>
    <t>cameronmckinney@example.com</t>
  </si>
  <si>
    <t>ORD-202470762</t>
  </si>
  <si>
    <t>2024-11-26 14:05</t>
  </si>
  <si>
    <t>Samuel Suarez</t>
  </si>
  <si>
    <t>thompsonnancy@example.org</t>
  </si>
  <si>
    <t>ORD-202469098</t>
  </si>
  <si>
    <t>2024-01-13 05:29</t>
  </si>
  <si>
    <t>Danielle Bryant</t>
  </si>
  <si>
    <t>janet45@example.com</t>
  </si>
  <si>
    <t>ORD-202424963</t>
  </si>
  <si>
    <t>2024-12-27 14:40</t>
  </si>
  <si>
    <t>Madison Martinez</t>
  </si>
  <si>
    <t>allentracy@example.com</t>
  </si>
  <si>
    <t>ORD-202415754</t>
  </si>
  <si>
    <t>2024-03-28 10:36</t>
  </si>
  <si>
    <t>Seth Matthews</t>
  </si>
  <si>
    <t>max41@example.com</t>
  </si>
  <si>
    <t>ORD-202447851</t>
  </si>
  <si>
    <t>2024-11-16 05:07</t>
  </si>
  <si>
    <t>Anthony Nash</t>
  </si>
  <si>
    <t>mercedesholland@example.net</t>
  </si>
  <si>
    <t>ORD-202481237</t>
  </si>
  <si>
    <t>2024-01-03 19:56</t>
  </si>
  <si>
    <t>Matthew Palmer</t>
  </si>
  <si>
    <t>wellsdavid@example.org</t>
  </si>
  <si>
    <t>ORD-202488802</t>
  </si>
  <si>
    <t>2024-11-03 00:15</t>
  </si>
  <si>
    <t>Alejandra King</t>
  </si>
  <si>
    <t>jennifer46@example.com</t>
  </si>
  <si>
    <t>ORD-202495626</t>
  </si>
  <si>
    <t>2024-06-27 01:09</t>
  </si>
  <si>
    <t>Judy Robinson</t>
  </si>
  <si>
    <t>erica96@example.net</t>
  </si>
  <si>
    <t>ORD-202431146</t>
  </si>
  <si>
    <t>2024-12-10 09:39</t>
  </si>
  <si>
    <t>Jorge Bates</t>
  </si>
  <si>
    <t>anna99@example.com</t>
  </si>
  <si>
    <t>ORD-202449229</t>
  </si>
  <si>
    <t>2024-06-14 11:57</t>
  </si>
  <si>
    <t>Brian Brown</t>
  </si>
  <si>
    <t>danielle44@example.net</t>
  </si>
  <si>
    <t>ORD-202445968</t>
  </si>
  <si>
    <t>2024-06-17 16:26</t>
  </si>
  <si>
    <t>Stephanie Evans</t>
  </si>
  <si>
    <t>zacharyallen@example.org</t>
  </si>
  <si>
    <t>ORD-202465974</t>
  </si>
  <si>
    <t>2024-11-07 10:16</t>
  </si>
  <si>
    <t>Rebekah Greene</t>
  </si>
  <si>
    <t>erin07@example.com</t>
  </si>
  <si>
    <t>ORD-202474553</t>
  </si>
  <si>
    <t>2024-04-02 19:14</t>
  </si>
  <si>
    <t>Jason Price</t>
  </si>
  <si>
    <t>aguilarwanda@example.org</t>
  </si>
  <si>
    <t>ORD-202464269</t>
  </si>
  <si>
    <t>2024-01-24 10:22</t>
  </si>
  <si>
    <t>Micheal Parks</t>
  </si>
  <si>
    <t>qknox@example.com</t>
  </si>
  <si>
    <t>ORD-202476412</t>
  </si>
  <si>
    <t>2024-10-08 10:49</t>
  </si>
  <si>
    <t>Sarah Pittman</t>
  </si>
  <si>
    <t>kellyruiz@example.net</t>
  </si>
  <si>
    <t>ORD-202453321</t>
  </si>
  <si>
    <t>2024-06-22 21:30</t>
  </si>
  <si>
    <t>Robert Hines</t>
  </si>
  <si>
    <t>staceylam@example.net</t>
  </si>
  <si>
    <t>ORD-202417342</t>
  </si>
  <si>
    <t>2024-09-23 09:36</t>
  </si>
  <si>
    <t>Henry Garner</t>
  </si>
  <si>
    <t>robert55@example.com</t>
  </si>
  <si>
    <t>ORD-202429569</t>
  </si>
  <si>
    <t>2024-05-23 00:21</t>
  </si>
  <si>
    <t>Julie Wilson</t>
  </si>
  <si>
    <t>delacruzbrandy@example.net</t>
  </si>
  <si>
    <t>ORD-202414145</t>
  </si>
  <si>
    <t>2024-05-19 13:05</t>
  </si>
  <si>
    <t>Steve Mason</t>
  </si>
  <si>
    <t>amoreno@example.org</t>
  </si>
  <si>
    <t>ORD-202459049</t>
  </si>
  <si>
    <t>2024-01-20 06:58</t>
  </si>
  <si>
    <t>Brittany Gay</t>
  </si>
  <si>
    <t>robert97@example.org</t>
  </si>
  <si>
    <t>ORD-202473369</t>
  </si>
  <si>
    <t>2024-09-25 09:49</t>
  </si>
  <si>
    <t>Mike Maxwell</t>
  </si>
  <si>
    <t>lcook@example.com</t>
  </si>
  <si>
    <t>ORD-202470210</t>
  </si>
  <si>
    <t>2024-07-17 22:55</t>
  </si>
  <si>
    <t>Abigail Hill</t>
  </si>
  <si>
    <t>barbaramoore@example.org</t>
  </si>
  <si>
    <t>ORD-202416047</t>
  </si>
  <si>
    <t>2024-02-22 16:49</t>
  </si>
  <si>
    <t>Jeffrey Jordan</t>
  </si>
  <si>
    <t>ysanford@example.org</t>
  </si>
  <si>
    <t>ORD-202446261</t>
  </si>
  <si>
    <t>2024-09-29 10:49</t>
  </si>
  <si>
    <t>Curtis Watson</t>
  </si>
  <si>
    <t>mcclainkatherine@example.net</t>
  </si>
  <si>
    <t>ORD-202437076</t>
  </si>
  <si>
    <t>2024-10-04 11:35</t>
  </si>
  <si>
    <t>Michael Sims</t>
  </si>
  <si>
    <t>jeremywiley@example.com</t>
  </si>
  <si>
    <t>ORD-202450812</t>
  </si>
  <si>
    <t>2024-11-09 10:34</t>
  </si>
  <si>
    <t>James Chapman</t>
  </si>
  <si>
    <t>cameronwilliams@example.com</t>
  </si>
  <si>
    <t>ORD-202465897</t>
  </si>
  <si>
    <t>2024-07-19 05:45</t>
  </si>
  <si>
    <t>Joseph Warren</t>
  </si>
  <si>
    <t>ibarron@example.com</t>
  </si>
  <si>
    <t>ORD-202471039</t>
  </si>
  <si>
    <t>2024-10-17 04:05</t>
  </si>
  <si>
    <t>Katherine Christensen MD</t>
  </si>
  <si>
    <t>osmith@example.net</t>
  </si>
  <si>
    <t>ORD-202490863</t>
  </si>
  <si>
    <t>2024-05-12 11:25</t>
  </si>
  <si>
    <t>Mrs. Alison Wagner</t>
  </si>
  <si>
    <t>richardsondebra@example.org</t>
  </si>
  <si>
    <t>ORD-202472737</t>
  </si>
  <si>
    <t>2024-08-24 05:18</t>
  </si>
  <si>
    <t>Martin Wise</t>
  </si>
  <si>
    <t>wheelerbrandon@example.org</t>
  </si>
  <si>
    <t>ORD-202449599</t>
  </si>
  <si>
    <t>2024-09-29 14:25</t>
  </si>
  <si>
    <t>Alicia Norris</t>
  </si>
  <si>
    <t>hwallace@example.net</t>
  </si>
  <si>
    <t>ORD-202454658</t>
  </si>
  <si>
    <t>2024-04-16 22:37</t>
  </si>
  <si>
    <t>Michael Harris</t>
  </si>
  <si>
    <t>turnerdorothy@example.net</t>
  </si>
  <si>
    <t>ORD-202485260</t>
  </si>
  <si>
    <t>2024-09-06 03:37</t>
  </si>
  <si>
    <t>Lisa Haynes</t>
  </si>
  <si>
    <t>grivas@example.net</t>
  </si>
  <si>
    <t>ORD-202488415</t>
  </si>
  <si>
    <t>2024-02-25 21:52</t>
  </si>
  <si>
    <t>Autumn Wilson</t>
  </si>
  <si>
    <t>jimenezchelsea@example.com</t>
  </si>
  <si>
    <t>ORD-202429231</t>
  </si>
  <si>
    <t>2024-12-04 04:28</t>
  </si>
  <si>
    <t>Valerie Howard</t>
  </si>
  <si>
    <t>cphillips@example.net</t>
  </si>
  <si>
    <t>ORD-202484747</t>
  </si>
  <si>
    <t>2024-12-13 09:58</t>
  </si>
  <si>
    <t>Daniel Fitzpatrick MD</t>
  </si>
  <si>
    <t>smithchristopher@example.org</t>
  </si>
  <si>
    <t>ORD-202418180</t>
  </si>
  <si>
    <t>2024-07-08 17:03</t>
  </si>
  <si>
    <t>Maureen Hernandez</t>
  </si>
  <si>
    <t>chancharles@example.net</t>
  </si>
  <si>
    <t>ORD-202491948</t>
  </si>
  <si>
    <t>2024-06-11 22:24</t>
  </si>
  <si>
    <t>David Hall</t>
  </si>
  <si>
    <t>joseph01@example.org</t>
  </si>
  <si>
    <t>ORD-202457223</t>
  </si>
  <si>
    <t>2024-08-01 04:18</t>
  </si>
  <si>
    <t>Sarah Ward</t>
  </si>
  <si>
    <t>ronald11@example.org</t>
  </si>
  <si>
    <t>ORD-202421097</t>
  </si>
  <si>
    <t>2024-03-11 20:51</t>
  </si>
  <si>
    <t>Charles Holland</t>
  </si>
  <si>
    <t>michael79@example.com</t>
  </si>
  <si>
    <t>ORD-202482358</t>
  </si>
  <si>
    <t>2024-08-18 12:22</t>
  </si>
  <si>
    <t>Anna Briggs</t>
  </si>
  <si>
    <t>danielross@example.com</t>
  </si>
  <si>
    <t>ORD-202463849</t>
  </si>
  <si>
    <t>2024-10-06 18:23</t>
  </si>
  <si>
    <t>James Jefferson</t>
  </si>
  <si>
    <t>zbanks@example.org</t>
  </si>
  <si>
    <t>ORD-202478997</t>
  </si>
  <si>
    <t>2024-05-23 14:33</t>
  </si>
  <si>
    <t>Michael Brown</t>
  </si>
  <si>
    <t>dalepruitt@example.com</t>
  </si>
  <si>
    <t>ORD-202490352</t>
  </si>
  <si>
    <t>2024-01-28 10:34</t>
  </si>
  <si>
    <t>Meghan White</t>
  </si>
  <si>
    <t>nmaxwell@example.org</t>
  </si>
  <si>
    <t>ORD-202448616</t>
  </si>
  <si>
    <t>2024-05-28 05:02</t>
  </si>
  <si>
    <t>Sheryl Acosta</t>
  </si>
  <si>
    <t>timothyfreeman@example.com</t>
  </si>
  <si>
    <t>ORD-202496025</t>
  </si>
  <si>
    <t>2024-05-29 23:39</t>
  </si>
  <si>
    <t>Arthur Pena</t>
  </si>
  <si>
    <t>busherica@example.net</t>
  </si>
  <si>
    <t>ORD-202490713</t>
  </si>
  <si>
    <t>2024-05-23 08:54</t>
  </si>
  <si>
    <t>Krystal Levine</t>
  </si>
  <si>
    <t>april91@example.com</t>
  </si>
  <si>
    <t>ORD-202432989</t>
  </si>
  <si>
    <t>2024-05-13 22:15</t>
  </si>
  <si>
    <t>Danielle Reed</t>
  </si>
  <si>
    <t>jhernandez@example.net</t>
  </si>
  <si>
    <t>ORD-202475004</t>
  </si>
  <si>
    <t>2024-07-30 12:15</t>
  </si>
  <si>
    <t>Mason Moore</t>
  </si>
  <si>
    <t>kchristian@example.org</t>
  </si>
  <si>
    <t>ORD-202431967</t>
  </si>
  <si>
    <t>2024-08-25 12:30</t>
  </si>
  <si>
    <t>Erica Rivera</t>
  </si>
  <si>
    <t>brent38@example.net</t>
  </si>
  <si>
    <t>ORD-202411554</t>
  </si>
  <si>
    <t>2024-05-27 14:24</t>
  </si>
  <si>
    <t>Robert Miller</t>
  </si>
  <si>
    <t>csolis@example.org</t>
  </si>
  <si>
    <t>ORD-202453904</t>
  </si>
  <si>
    <t>2024-05-18 08:51</t>
  </si>
  <si>
    <t>Jillian Wilson</t>
  </si>
  <si>
    <t>bmcgee@example.org</t>
  </si>
  <si>
    <t>ORD-202498829</t>
  </si>
  <si>
    <t>2024-12-19 05:20</t>
  </si>
  <si>
    <t>Andrew Dunn</t>
  </si>
  <si>
    <t>connersylvia@example.net</t>
  </si>
  <si>
    <t>ORD-202499849</t>
  </si>
  <si>
    <t>2024-08-16 11:14</t>
  </si>
  <si>
    <t>Jordan Clark</t>
  </si>
  <si>
    <t>xclements@example.org</t>
  </si>
  <si>
    <t>ORD-202488562</t>
  </si>
  <si>
    <t>2024-11-22 03:45</t>
  </si>
  <si>
    <t>Sarah Rivera</t>
  </si>
  <si>
    <t>xmoran@example.net</t>
  </si>
  <si>
    <t>ORD-202448609</t>
  </si>
  <si>
    <t>2024-08-27 21:59</t>
  </si>
  <si>
    <t>Brent Hopkins</t>
  </si>
  <si>
    <t>petersonmaria@example.com</t>
  </si>
  <si>
    <t>ORD-202418177</t>
  </si>
  <si>
    <t>2024-07-14 12:21</t>
  </si>
  <si>
    <t>Jacqueline Rodriguez</t>
  </si>
  <si>
    <t>travisunderwood@example.net</t>
  </si>
  <si>
    <t>ORD-202433388</t>
  </si>
  <si>
    <t>2024-11-26 15:06</t>
  </si>
  <si>
    <t>Ashley Carr</t>
  </si>
  <si>
    <t>davidphelps@example.org</t>
  </si>
  <si>
    <t>ORD-202419557</t>
  </si>
  <si>
    <t>2024-02-06 18:46</t>
  </si>
  <si>
    <t>Richard Love</t>
  </si>
  <si>
    <t>shermanbrandon@example.net</t>
  </si>
  <si>
    <t>ORD-202444922</t>
  </si>
  <si>
    <t>2024-03-18 22:21</t>
  </si>
  <si>
    <t>Leah Barton</t>
  </si>
  <si>
    <t>lellis@example.net</t>
  </si>
  <si>
    <t>ORD-202480795</t>
  </si>
  <si>
    <t>2024-04-25 00:24</t>
  </si>
  <si>
    <t>Jonathan Moreno</t>
  </si>
  <si>
    <t>tranryan@example.net</t>
  </si>
  <si>
    <t>ORD-202492873</t>
  </si>
  <si>
    <t>2024-11-27 02:23</t>
  </si>
  <si>
    <t>Mr. Thomas Thompson</t>
  </si>
  <si>
    <t>jessicaanderson@example.com</t>
  </si>
  <si>
    <t>ORD-202460353</t>
  </si>
  <si>
    <t>2024-12-04 06:19</t>
  </si>
  <si>
    <t>Lisa Morris</t>
  </si>
  <si>
    <t>mbarnes@example.net</t>
  </si>
  <si>
    <t>ORD-202435309</t>
  </si>
  <si>
    <t>2024-01-13 23:37</t>
  </si>
  <si>
    <t>Denise Stuart</t>
  </si>
  <si>
    <t>shawn22@example.com</t>
  </si>
  <si>
    <t>ORD-202412151</t>
  </si>
  <si>
    <t>2024-01-19 10:03</t>
  </si>
  <si>
    <t>Stacey Hunt</t>
  </si>
  <si>
    <t>jennifer83@example.org</t>
  </si>
  <si>
    <t>ORD-202419441</t>
  </si>
  <si>
    <t>2024-01-19 23:09</t>
  </si>
  <si>
    <t>Miguel Parks</t>
  </si>
  <si>
    <t>tinasantos@example.org</t>
  </si>
  <si>
    <t>ORD-202432577</t>
  </si>
  <si>
    <t>2024-11-19 01:57</t>
  </si>
  <si>
    <t>Melissa Morris</t>
  </si>
  <si>
    <t>hodgesanna@example.net</t>
  </si>
  <si>
    <t>ORD-202487984</t>
  </si>
  <si>
    <t>2024-11-11 07:04</t>
  </si>
  <si>
    <t>Mary Butler</t>
  </si>
  <si>
    <t>natalie60@example.net</t>
  </si>
  <si>
    <t>ORD-202452151</t>
  </si>
  <si>
    <t>2024-04-19 01:37</t>
  </si>
  <si>
    <t>James Brown</t>
  </si>
  <si>
    <t>gonzalezkaren@example.org</t>
  </si>
  <si>
    <t>ORD-202467496</t>
  </si>
  <si>
    <t>2024-05-04 18:02</t>
  </si>
  <si>
    <t>Miss Brianna Brown</t>
  </si>
  <si>
    <t>james80@example.com</t>
  </si>
  <si>
    <t>ORD-202410946</t>
  </si>
  <si>
    <t>2024-04-01 02:45</t>
  </si>
  <si>
    <t>Ashley Parrish</t>
  </si>
  <si>
    <t>juliahoffman@example.org</t>
  </si>
  <si>
    <t>ORD-202493863</t>
  </si>
  <si>
    <t>2024-05-18 16:28</t>
  </si>
  <si>
    <t>Rebecca Horton</t>
  </si>
  <si>
    <t>housepaul@example.net</t>
  </si>
  <si>
    <t>ORD-202492207</t>
  </si>
  <si>
    <t>2024-06-03 11:26</t>
  </si>
  <si>
    <t>Juan Smith</t>
  </si>
  <si>
    <t>james73@example.net</t>
  </si>
  <si>
    <t>ORD-202470845</t>
  </si>
  <si>
    <t>2024-11-16 21:13</t>
  </si>
  <si>
    <t>Maria Fischer</t>
  </si>
  <si>
    <t>kimberlybrandt@example.com</t>
  </si>
  <si>
    <t>ORD-202430940</t>
  </si>
  <si>
    <t>2024-12-09 01:03</t>
  </si>
  <si>
    <t>William Jones</t>
  </si>
  <si>
    <t>jillwilson@example.org</t>
  </si>
  <si>
    <t>ORD-202416875</t>
  </si>
  <si>
    <t>2024-10-02 05:10</t>
  </si>
  <si>
    <t>Justin Anderson</t>
  </si>
  <si>
    <t>adam72@example.org</t>
  </si>
  <si>
    <t>ORD-202464927</t>
  </si>
  <si>
    <t>2024-04-11 23:43</t>
  </si>
  <si>
    <t>Frank Williams</t>
  </si>
  <si>
    <t>tracy98@example.com</t>
  </si>
  <si>
    <t>ORD-202438922</t>
  </si>
  <si>
    <t>2024-02-07 15:37</t>
  </si>
  <si>
    <t>Michael Fox</t>
  </si>
  <si>
    <t>abigailhartman@example.org</t>
  </si>
  <si>
    <t>ORD-202427878</t>
  </si>
  <si>
    <t>2024-08-22 23:12</t>
  </si>
  <si>
    <t>Joshua Davis</t>
  </si>
  <si>
    <t>nicolealvarado@example.com</t>
  </si>
  <si>
    <t>ORD-202424563</t>
  </si>
  <si>
    <t>2024-08-26 14:26</t>
  </si>
  <si>
    <t>Daniel Goodwin</t>
  </si>
  <si>
    <t>wbarajas@example.net</t>
  </si>
  <si>
    <t>ORD-202421334</t>
  </si>
  <si>
    <t>2024-07-29 16:31</t>
  </si>
  <si>
    <t>Michael Griffin</t>
  </si>
  <si>
    <t>susanfleming@example.com</t>
  </si>
  <si>
    <t>ORD-202452899</t>
  </si>
  <si>
    <t>2024-08-10 18:14</t>
  </si>
  <si>
    <t>Robert Wilson</t>
  </si>
  <si>
    <t>amber40@example.net</t>
  </si>
  <si>
    <t>ORD-202465797</t>
  </si>
  <si>
    <t>2024-09-28 12:30</t>
  </si>
  <si>
    <t>Jaime Lang</t>
  </si>
  <si>
    <t>stucker@example.net</t>
  </si>
  <si>
    <t>ORD-202456976</t>
  </si>
  <si>
    <t>2024-05-31 07:41</t>
  </si>
  <si>
    <t>Jose Vaughan</t>
  </si>
  <si>
    <t>teresaayala@example.net</t>
  </si>
  <si>
    <t>ORD-202469616</t>
  </si>
  <si>
    <t>2024-08-25 04:55</t>
  </si>
  <si>
    <t>Austin Santiago</t>
  </si>
  <si>
    <t>michellecoleman@example.org</t>
  </si>
  <si>
    <t>ORD-202479588</t>
  </si>
  <si>
    <t>2024-01-17 09:27</t>
  </si>
  <si>
    <t>Ronald Johns</t>
  </si>
  <si>
    <t>elucas@example.net</t>
  </si>
  <si>
    <t>ORD-202417184</t>
  </si>
  <si>
    <t>2024-09-20 21:23</t>
  </si>
  <si>
    <t>Allison Love</t>
  </si>
  <si>
    <t>millerbrian@example.com</t>
  </si>
  <si>
    <t>ORD-202494957</t>
  </si>
  <si>
    <t>2024-10-13 22:04</t>
  </si>
  <si>
    <t>Laura Perez</t>
  </si>
  <si>
    <t>rickey76@example.com</t>
  </si>
  <si>
    <t>ORD-202439548</t>
  </si>
  <si>
    <t>2024-06-13 11:57</t>
  </si>
  <si>
    <t>James Wilson</t>
  </si>
  <si>
    <t>maychristine@example.net</t>
  </si>
  <si>
    <t>ORD-202475726</t>
  </si>
  <si>
    <t>2024-09-26 03:30</t>
  </si>
  <si>
    <t>Mercedes Jones</t>
  </si>
  <si>
    <t>robertsgina@example.net</t>
  </si>
  <si>
    <t>ORD-202421443</t>
  </si>
  <si>
    <t>2024-02-11 12:57</t>
  </si>
  <si>
    <t>Preston Kim</t>
  </si>
  <si>
    <t>bshort@example.com</t>
  </si>
  <si>
    <t>ORD-202436772</t>
  </si>
  <si>
    <t>2024-09-23 20:01</t>
  </si>
  <si>
    <t>Daniel Francis</t>
  </si>
  <si>
    <t>susan24@example.net</t>
  </si>
  <si>
    <t>ORD-202448209</t>
  </si>
  <si>
    <t>2024-04-06 02:01</t>
  </si>
  <si>
    <t>Traci Camacho</t>
  </si>
  <si>
    <t>susan08@example.net</t>
  </si>
  <si>
    <t>ORD-202470031</t>
  </si>
  <si>
    <t>2024-06-04 18:08</t>
  </si>
  <si>
    <t>Andrew Armstrong</t>
  </si>
  <si>
    <t>fmedina@example.com</t>
  </si>
  <si>
    <t>ORD-202447274</t>
  </si>
  <si>
    <t>2024-08-21 05:39</t>
  </si>
  <si>
    <t>Patrick Swanson</t>
  </si>
  <si>
    <t>robertbrewer@example.net</t>
  </si>
  <si>
    <t>ORD-202425324</t>
  </si>
  <si>
    <t>2024-01-22 10:36</t>
  </si>
  <si>
    <t>Clinton Jensen</t>
  </si>
  <si>
    <t>james29@example.org</t>
  </si>
  <si>
    <t>ORD-202429391</t>
  </si>
  <si>
    <t>2024-07-09 14:34</t>
  </si>
  <si>
    <t>Tara Gamble</t>
  </si>
  <si>
    <t>enewman@example.com</t>
  </si>
  <si>
    <t>ORD-202451971</t>
  </si>
  <si>
    <t>2024-03-20 00:47</t>
  </si>
  <si>
    <t>Danielle Gonzalez</t>
  </si>
  <si>
    <t>wlynn@example.org</t>
  </si>
  <si>
    <t>ORD-202484086</t>
  </si>
  <si>
    <t>2024-08-14 10:44</t>
  </si>
  <si>
    <t>Cynthia Mitchell</t>
  </si>
  <si>
    <t>mcculloughlouis@example.com</t>
  </si>
  <si>
    <t>ORD-202490939</t>
  </si>
  <si>
    <t>2024-04-22 14:22</t>
  </si>
  <si>
    <t>Matthew Steele</t>
  </si>
  <si>
    <t>arianadiaz@example.com</t>
  </si>
  <si>
    <t>ORD-202412955</t>
  </si>
  <si>
    <t>2024-02-12 17:54</t>
  </si>
  <si>
    <t>Caroline Edwards</t>
  </si>
  <si>
    <t>jenniferdavidson@example.com</t>
  </si>
  <si>
    <t>ORD-202466051</t>
  </si>
  <si>
    <t>2024-07-08 12:23</t>
  </si>
  <si>
    <t>Brandy Quinn</t>
  </si>
  <si>
    <t>wford@example.com</t>
  </si>
  <si>
    <t>ORD-202464474</t>
  </si>
  <si>
    <t>2024-08-14 09:10</t>
  </si>
  <si>
    <t>Mr. Matthew Miller</t>
  </si>
  <si>
    <t>michele28@example.org</t>
  </si>
  <si>
    <t>ORD-202472208</t>
  </si>
  <si>
    <t>2024-09-25 10:04</t>
  </si>
  <si>
    <t>mcclainmelissa@example.net</t>
  </si>
  <si>
    <t>ORD-202484437</t>
  </si>
  <si>
    <t>2024-03-11 06:11</t>
  </si>
  <si>
    <t>Kevin Sullivan</t>
  </si>
  <si>
    <t>rebeccaarnold@example.net</t>
  </si>
  <si>
    <t>ORD-202439428</t>
  </si>
  <si>
    <t>2024-01-14 00:09</t>
  </si>
  <si>
    <t>Kimberly Valdez</t>
  </si>
  <si>
    <t>michaelwalker@example.net</t>
  </si>
  <si>
    <t>ORD-202413728</t>
  </si>
  <si>
    <t>2024-03-02 08:31</t>
  </si>
  <si>
    <t>Donna Marshall</t>
  </si>
  <si>
    <t>sanderswayne@example.net</t>
  </si>
  <si>
    <t>ORD-202458916</t>
  </si>
  <si>
    <t>2024-09-19 23:36</t>
  </si>
  <si>
    <t>Victor Holden</t>
  </si>
  <si>
    <t>katherinetaylor@example.org</t>
  </si>
  <si>
    <t>ORD-202431405</t>
  </si>
  <si>
    <t>2024-01-28 08:23</t>
  </si>
  <si>
    <t>Travis Hopkins</t>
  </si>
  <si>
    <t>jillwebb@example.com</t>
  </si>
  <si>
    <t>ORD-202492317</t>
  </si>
  <si>
    <t>2024-04-03 03:38</t>
  </si>
  <si>
    <t>Philip Hall</t>
  </si>
  <si>
    <t>mike03@example.net</t>
  </si>
  <si>
    <t>ORD-202428837</t>
  </si>
  <si>
    <t>2024-01-07 04:33</t>
  </si>
  <si>
    <t>Heather Harrison</t>
  </si>
  <si>
    <t>ckeith@example.net</t>
  </si>
  <si>
    <t>ORD-202434696</t>
  </si>
  <si>
    <t>2024-10-13 19:44</t>
  </si>
  <si>
    <t>Michael Boyd</t>
  </si>
  <si>
    <t>mary49@example.net</t>
  </si>
  <si>
    <t>ORD-202427200</t>
  </si>
  <si>
    <t>2024-01-09 15:22</t>
  </si>
  <si>
    <t>Jamie Gray</t>
  </si>
  <si>
    <t>blacknicholas@example.org</t>
  </si>
  <si>
    <t>ORD-202413769</t>
  </si>
  <si>
    <t>2024-03-01 07:08</t>
  </si>
  <si>
    <t>Heather Parrish</t>
  </si>
  <si>
    <t>msparks@example.org</t>
  </si>
  <si>
    <t>ORD-202412464</t>
  </si>
  <si>
    <t>2024-09-04 13:02</t>
  </si>
  <si>
    <t>Brenda Martin</t>
  </si>
  <si>
    <t>robertsonjuan@example.org</t>
  </si>
  <si>
    <t>ORD-202443162</t>
  </si>
  <si>
    <t>2024-01-23 02:19</t>
  </si>
  <si>
    <t>Jack Love</t>
  </si>
  <si>
    <t>guerrerorobert@example.com</t>
  </si>
  <si>
    <t>ORD-202413835</t>
  </si>
  <si>
    <t>2024-02-16 04:54</t>
  </si>
  <si>
    <t>Karen Mendoza</t>
  </si>
  <si>
    <t>brittanyholland@example.com</t>
  </si>
  <si>
    <t>ORD-202422989</t>
  </si>
  <si>
    <t>2024-10-23 00:33</t>
  </si>
  <si>
    <t>Andrew Berry</t>
  </si>
  <si>
    <t>dennishunt@example.net</t>
  </si>
  <si>
    <t>ORD-202458033</t>
  </si>
  <si>
    <t>2024-12-23 18:11</t>
  </si>
  <si>
    <t>Christopher Nielsen</t>
  </si>
  <si>
    <t>kgreene@example.net</t>
  </si>
  <si>
    <t>ORD-202463422</t>
  </si>
  <si>
    <t>2024-02-27 10:07</t>
  </si>
  <si>
    <t>Nathan Stanley</t>
  </si>
  <si>
    <t>stacey37@example.net</t>
  </si>
  <si>
    <t>ORD-202420780</t>
  </si>
  <si>
    <t>2024-06-16 15:07</t>
  </si>
  <si>
    <t>Sharon Jackson DVM</t>
  </si>
  <si>
    <t>laurahoover@example.org</t>
  </si>
  <si>
    <t>ORD-202448088</t>
  </si>
  <si>
    <t>2024-08-07 06:54</t>
  </si>
  <si>
    <t>Kayla Jackson</t>
  </si>
  <si>
    <t>sandra99@example.org</t>
  </si>
  <si>
    <t>ORD-202478506</t>
  </si>
  <si>
    <t>2024-12-03 21:05</t>
  </si>
  <si>
    <t>James Rodriguez</t>
  </si>
  <si>
    <t>alexandrablankenship@example.net</t>
  </si>
  <si>
    <t>ORD-202436094</t>
  </si>
  <si>
    <t>2024-06-22 06:38</t>
  </si>
  <si>
    <t>Chase Davis</t>
  </si>
  <si>
    <t>mvalenzuela@example.org</t>
  </si>
  <si>
    <t>ORD-202472367</t>
  </si>
  <si>
    <t>2024-12-07 19:25</t>
  </si>
  <si>
    <t>Kim Goodwin</t>
  </si>
  <si>
    <t>olsondavid@example.net</t>
  </si>
  <si>
    <t>ORD-202475178</t>
  </si>
  <si>
    <t>2024-04-28 20:08</t>
  </si>
  <si>
    <t>April Pace</t>
  </si>
  <si>
    <t>xboyd@example.org</t>
  </si>
  <si>
    <t>ORD-202489244</t>
  </si>
  <si>
    <t>2024-12-13 10:09</t>
  </si>
  <si>
    <t>Jessica Mays</t>
  </si>
  <si>
    <t>yclarke@example.com</t>
  </si>
  <si>
    <t>ORD-202448477</t>
  </si>
  <si>
    <t>2024-12-04 15:31</t>
  </si>
  <si>
    <t>Natalie Juarez</t>
  </si>
  <si>
    <t>colemanjonathan@example.org</t>
  </si>
  <si>
    <t>ORD-202425615</t>
  </si>
  <si>
    <t>2024-07-15 14:20</t>
  </si>
  <si>
    <t>Angela George</t>
  </si>
  <si>
    <t>ascott@example.net</t>
  </si>
  <si>
    <t>ORD-202466450</t>
  </si>
  <si>
    <t>2024-03-09 09:45</t>
  </si>
  <si>
    <t>Adrienne Mills</t>
  </si>
  <si>
    <t>brooksjamie@example.com</t>
  </si>
  <si>
    <t>ORD-202417305</t>
  </si>
  <si>
    <t>2024-07-19 08:31</t>
  </si>
  <si>
    <t>Brian Simmons</t>
  </si>
  <si>
    <t>jose86@example.net</t>
  </si>
  <si>
    <t>ORD-202426803</t>
  </si>
  <si>
    <t>2024-07-06 11:51</t>
  </si>
  <si>
    <t>Donald Becker</t>
  </si>
  <si>
    <t>robertbowers@example.com</t>
  </si>
  <si>
    <t>ORD-202417398</t>
  </si>
  <si>
    <t>2024-12-04 07:15</t>
  </si>
  <si>
    <t>Justin Webb</t>
  </si>
  <si>
    <t>becky62@example.net</t>
  </si>
  <si>
    <t>ORD-202412583</t>
  </si>
  <si>
    <t>2024-10-02 10:02</t>
  </si>
  <si>
    <t>David Logan</t>
  </si>
  <si>
    <t>craigromero@example.com</t>
  </si>
  <si>
    <t>ORD-202451486</t>
  </si>
  <si>
    <t>2024-07-12 18:24</t>
  </si>
  <si>
    <t>Lisa Cohen</t>
  </si>
  <si>
    <t>martintamara@example.org</t>
  </si>
  <si>
    <t>ORD-202475898</t>
  </si>
  <si>
    <t>2024-12-07 10:10</t>
  </si>
  <si>
    <t>Samantha Ruiz</t>
  </si>
  <si>
    <t>qdavis@example.org</t>
  </si>
  <si>
    <t>ORD-202447664</t>
  </si>
  <si>
    <t>2024-05-15 01:19</t>
  </si>
  <si>
    <t>Lee Ramsey</t>
  </si>
  <si>
    <t>hmendez@example.com</t>
  </si>
  <si>
    <t>ORD-202445830</t>
  </si>
  <si>
    <t>2024-02-04 18:51</t>
  </si>
  <si>
    <t>Linda Bautista</t>
  </si>
  <si>
    <t>daniellegonzales@example.org</t>
  </si>
  <si>
    <t>ORD-202466742</t>
  </si>
  <si>
    <t>2024-12-05 17:20</t>
  </si>
  <si>
    <t>Tara Holmes</t>
  </si>
  <si>
    <t>arthurgreene@example.net</t>
  </si>
  <si>
    <t>ORD-202485608</t>
  </si>
  <si>
    <t>2024-09-12 06:42</t>
  </si>
  <si>
    <t>Lisa Craig</t>
  </si>
  <si>
    <t>john02@example.org</t>
  </si>
  <si>
    <t>ORD-202457746</t>
  </si>
  <si>
    <t>2024-08-24 04:15</t>
  </si>
  <si>
    <t>Penny Gomez MD</t>
  </si>
  <si>
    <t>aprilmclaughlin@example.org</t>
  </si>
  <si>
    <t>ORD-202447623</t>
  </si>
  <si>
    <t>2024-11-26 05:16</t>
  </si>
  <si>
    <t>Krista Barber</t>
  </si>
  <si>
    <t>michael43@example.net</t>
  </si>
  <si>
    <t>ORD-202470838</t>
  </si>
  <si>
    <t>2024-09-05 17:27</t>
  </si>
  <si>
    <t>Jordan Powell</t>
  </si>
  <si>
    <t>greenrichard@example.org</t>
  </si>
  <si>
    <t>ORD-202494448</t>
  </si>
  <si>
    <t>2024-01-22 23:31</t>
  </si>
  <si>
    <t>Kathy Morgan</t>
  </si>
  <si>
    <t>prattsue@example.net</t>
  </si>
  <si>
    <t>ORD-202462021</t>
  </si>
  <si>
    <t>2024-03-12 07:07</t>
  </si>
  <si>
    <t>Laura Benson</t>
  </si>
  <si>
    <t>xhart@example.org</t>
  </si>
  <si>
    <t>ORD-202441205</t>
  </si>
  <si>
    <t>2024-11-03 03:49</t>
  </si>
  <si>
    <t>Tonya Ellis</t>
  </si>
  <si>
    <t>bmosley@example.com</t>
  </si>
  <si>
    <t>ORD-202432957</t>
  </si>
  <si>
    <t>2024-04-19 08:28</t>
  </si>
  <si>
    <t>Austin Schultz</t>
  </si>
  <si>
    <t>ericahall@example.com</t>
  </si>
  <si>
    <t>ORD-202472240</t>
  </si>
  <si>
    <t>2024-12-15 07:17</t>
  </si>
  <si>
    <t>Harry Nichols</t>
  </si>
  <si>
    <t>john16@example.net</t>
  </si>
  <si>
    <t>ORD-202443158</t>
  </si>
  <si>
    <t>2024-10-09 12:19</t>
  </si>
  <si>
    <t>Gloria Spencer</t>
  </si>
  <si>
    <t>thomasgomez@example.net</t>
  </si>
  <si>
    <t>ORD-202449438</t>
  </si>
  <si>
    <t>2024-02-16 07:19</t>
  </si>
  <si>
    <t>Travis Vega</t>
  </si>
  <si>
    <t>victorgonzalez@example.net</t>
  </si>
  <si>
    <t>ORD-202471746</t>
  </si>
  <si>
    <t>2024-07-30 10:45</t>
  </si>
  <si>
    <t>Derek Perez</t>
  </si>
  <si>
    <t>marykelly@example.org</t>
  </si>
  <si>
    <t>ORD-202469409</t>
  </si>
  <si>
    <t>2024-12-21 00:48</t>
  </si>
  <si>
    <t>Blake Sosa</t>
  </si>
  <si>
    <t>waustin@example.net</t>
  </si>
  <si>
    <t>ORD-202451120</t>
  </si>
  <si>
    <t>2024-10-21 02:07</t>
  </si>
  <si>
    <t>Sarah Watson</t>
  </si>
  <si>
    <t>travis94@example.com</t>
  </si>
  <si>
    <t>ORD-202472700</t>
  </si>
  <si>
    <t>2024-03-09 08:11</t>
  </si>
  <si>
    <t>Phillip Dixon</t>
  </si>
  <si>
    <t>kwalker@example.org</t>
  </si>
  <si>
    <t>ORD-202484762</t>
  </si>
  <si>
    <t>2024-04-24 00:01</t>
  </si>
  <si>
    <t>Robert Mendoza</t>
  </si>
  <si>
    <t>shawphillip@example.net</t>
  </si>
  <si>
    <t>ORD-202462564</t>
  </si>
  <si>
    <t>2024-11-12 13:38</t>
  </si>
  <si>
    <t>Joyce Martinez</t>
  </si>
  <si>
    <t>astewart@example.org</t>
  </si>
  <si>
    <t>ORD-202469468</t>
  </si>
  <si>
    <t>2024-12-10 15:07</t>
  </si>
  <si>
    <t>Jamie Garcia</t>
  </si>
  <si>
    <t>chloe42@example.net</t>
  </si>
  <si>
    <t>ORD-202466532</t>
  </si>
  <si>
    <t>2024-04-15 19:13</t>
  </si>
  <si>
    <t>Derrick Mullen</t>
  </si>
  <si>
    <t>michael76@example.org</t>
  </si>
  <si>
    <t>ORD-202490960</t>
  </si>
  <si>
    <t>2024-08-18 07:23</t>
  </si>
  <si>
    <t>Paul Diaz</t>
  </si>
  <si>
    <t>lramirez@example.net</t>
  </si>
  <si>
    <t>ORD-202465481</t>
  </si>
  <si>
    <t>2024-11-01 08:04</t>
  </si>
  <si>
    <t>Kenneth Perez</t>
  </si>
  <si>
    <t>lelinda@example.net</t>
  </si>
  <si>
    <t>ORD-202410702</t>
  </si>
  <si>
    <t>2024-05-09 16:39</t>
  </si>
  <si>
    <t>thomassmith@example.com</t>
  </si>
  <si>
    <t>ORD-202444116</t>
  </si>
  <si>
    <t>2024-03-27 16:31</t>
  </si>
  <si>
    <t>Dr. Samuel Holmes DDS</t>
  </si>
  <si>
    <t>jevans@example.net</t>
  </si>
  <si>
    <t>ORD-202451060</t>
  </si>
  <si>
    <t>2024-01-23 04:31</t>
  </si>
  <si>
    <t>Brett Martin</t>
  </si>
  <si>
    <t>lisawoods@example.net</t>
  </si>
  <si>
    <t>ORD-202467117</t>
  </si>
  <si>
    <t>2024-03-25 10:47</t>
  </si>
  <si>
    <t>Patrick Green</t>
  </si>
  <si>
    <t>ann45@example.org</t>
  </si>
  <si>
    <t>ORD-202440128</t>
  </si>
  <si>
    <t>2024-04-03 01:30</t>
  </si>
  <si>
    <t>Gregory Frazier</t>
  </si>
  <si>
    <t>barbarasantos@example.net</t>
  </si>
  <si>
    <t>ORD-202469999</t>
  </si>
  <si>
    <t>2024-09-09 03:54</t>
  </si>
  <si>
    <t>Richard Kelly</t>
  </si>
  <si>
    <t>champton@example.org</t>
  </si>
  <si>
    <t>ORD-202483825</t>
  </si>
  <si>
    <t>2024-12-05 18:13</t>
  </si>
  <si>
    <t>Dustin Welch</t>
  </si>
  <si>
    <t>mirandadavidson@example.com</t>
  </si>
  <si>
    <t>ORD-202498723</t>
  </si>
  <si>
    <t>2024-02-18 10:01</t>
  </si>
  <si>
    <t>Logan Sullivan</t>
  </si>
  <si>
    <t>millermatthew@example.com</t>
  </si>
  <si>
    <t>ORD-202470323</t>
  </si>
  <si>
    <t>2024-12-28 21:30</t>
  </si>
  <si>
    <t>Eddie Adams</t>
  </si>
  <si>
    <t>cnelson@example.com</t>
  </si>
  <si>
    <t>ORD-202437704</t>
  </si>
  <si>
    <t>2024-01-25 20:18</t>
  </si>
  <si>
    <t>Kelly Cole</t>
  </si>
  <si>
    <t>ivanjohnson@example.net</t>
  </si>
  <si>
    <t>ORD-202433332</t>
  </si>
  <si>
    <t>2024-05-02 12:05</t>
  </si>
  <si>
    <t>David Manning</t>
  </si>
  <si>
    <t>clarkrandy@example.org</t>
  </si>
  <si>
    <t>ORD-202474336</t>
  </si>
  <si>
    <t>2024-08-09 23:51</t>
  </si>
  <si>
    <t>Shawn Kelley</t>
  </si>
  <si>
    <t>wisealexandria@example.org</t>
  </si>
  <si>
    <t>ORD-202460867</t>
  </si>
  <si>
    <t>2024-08-31 08:36</t>
  </si>
  <si>
    <t>Luke Miller</t>
  </si>
  <si>
    <t>pparker@example.net</t>
  </si>
  <si>
    <t>ORD-202422182</t>
  </si>
  <si>
    <t>2024-01-21 16:21</t>
  </si>
  <si>
    <t>Mark Anderson</t>
  </si>
  <si>
    <t>anthonyalvarado@example.com</t>
  </si>
  <si>
    <t>ORD-202467325</t>
  </si>
  <si>
    <t>2024-02-10 15:19</t>
  </si>
  <si>
    <t>Julie Pitts</t>
  </si>
  <si>
    <t>amy28@example.org</t>
  </si>
  <si>
    <t>ORD-202482219</t>
  </si>
  <si>
    <t>2024-02-09 01:32</t>
  </si>
  <si>
    <t>Joyce Curry</t>
  </si>
  <si>
    <t>omills@example.net</t>
  </si>
  <si>
    <t>ORD-202486751</t>
  </si>
  <si>
    <t>2024-02-11 16:01</t>
  </si>
  <si>
    <t>Gregory Fernandez</t>
  </si>
  <si>
    <t>ramosmichael@example.com</t>
  </si>
  <si>
    <t>ORD-202451149</t>
  </si>
  <si>
    <t>2024-10-27 23:29</t>
  </si>
  <si>
    <t>Adam Mills</t>
  </si>
  <si>
    <t>mauriceharrison@example.org</t>
  </si>
  <si>
    <t>ORD-202498265</t>
  </si>
  <si>
    <t>2024-02-24 13:34</t>
  </si>
  <si>
    <t>Katherine Campos</t>
  </si>
  <si>
    <t>albert64@example.net</t>
  </si>
  <si>
    <t>ORD-202496208</t>
  </si>
  <si>
    <t>2024-11-04 23:31</t>
  </si>
  <si>
    <t>Adam Brooks</t>
  </si>
  <si>
    <t>bkhan@example.com</t>
  </si>
  <si>
    <t>ORD-202411818</t>
  </si>
  <si>
    <t>2024-04-07 03:52</t>
  </si>
  <si>
    <t>Miguel Brewer</t>
  </si>
  <si>
    <t>fwalker@example.com</t>
  </si>
  <si>
    <t>ORD-202421284</t>
  </si>
  <si>
    <t>2024-06-03 14:09</t>
  </si>
  <si>
    <t>Kellie Marsh</t>
  </si>
  <si>
    <t>justin84@example.com</t>
  </si>
  <si>
    <t>ORD-202412572</t>
  </si>
  <si>
    <t>2024-08-18 18:15</t>
  </si>
  <si>
    <t>Barry Taylor</t>
  </si>
  <si>
    <t>walshchristine@example.com</t>
  </si>
  <si>
    <t>ORD-202492629</t>
  </si>
  <si>
    <t>2024-08-09 13:54</t>
  </si>
  <si>
    <t>Katherine Flores</t>
  </si>
  <si>
    <t>brandonnichols@example.org</t>
  </si>
  <si>
    <t>ORD-202477286</t>
  </si>
  <si>
    <t>2024-10-29 23:39</t>
  </si>
  <si>
    <t>Diane Martinez</t>
  </si>
  <si>
    <t>oacosta@example.org</t>
  </si>
  <si>
    <t>ORD-202445107</t>
  </si>
  <si>
    <t>2024-11-27 13:56</t>
  </si>
  <si>
    <t>Johnny Peterson</t>
  </si>
  <si>
    <t>kristi75@example.com</t>
  </si>
  <si>
    <t>ORD-202447750</t>
  </si>
  <si>
    <t>2024-04-08 15:22</t>
  </si>
  <si>
    <t>Amanda Miller</t>
  </si>
  <si>
    <t>brianrowe@example.org</t>
  </si>
  <si>
    <t>ORD-202461166</t>
  </si>
  <si>
    <t>2024-08-01 21:41</t>
  </si>
  <si>
    <t>Catherine Huang</t>
  </si>
  <si>
    <t>lisa01@example.net</t>
  </si>
  <si>
    <t>ORD-202432713</t>
  </si>
  <si>
    <t>2024-04-12 05:38</t>
  </si>
  <si>
    <t>Ray Ramos</t>
  </si>
  <si>
    <t>gonzalezjill@example.org</t>
  </si>
  <si>
    <t>ORD-202412376</t>
  </si>
  <si>
    <t>2024-07-02 08:22</t>
  </si>
  <si>
    <t>Vickie Kennedy</t>
  </si>
  <si>
    <t>sharon20@example.net</t>
  </si>
  <si>
    <t>ORD-202425818</t>
  </si>
  <si>
    <t>2024-10-14 07:31</t>
  </si>
  <si>
    <t>Kelly King</t>
  </si>
  <si>
    <t>james03@example.org</t>
  </si>
  <si>
    <t>ORD-202416608</t>
  </si>
  <si>
    <t>2024-08-12 14:53</t>
  </si>
  <si>
    <t>brenda63@example.org</t>
  </si>
  <si>
    <t>ORD-202431895</t>
  </si>
  <si>
    <t>2024-11-18 03:55</t>
  </si>
  <si>
    <t>Lauren Vazquez</t>
  </si>
  <si>
    <t>nathandavis@example.org</t>
  </si>
  <si>
    <t>ORD-202494815</t>
  </si>
  <si>
    <t>2024-07-05 10:52</t>
  </si>
  <si>
    <t>Mr. George Booker DDS</t>
  </si>
  <si>
    <t>browndeanna@example.net</t>
  </si>
  <si>
    <t>ORD-202447585</t>
  </si>
  <si>
    <t>2024-09-15 05:05</t>
  </si>
  <si>
    <t>Ashley Freeman</t>
  </si>
  <si>
    <t>tina57@example.net</t>
  </si>
  <si>
    <t>ORD-202466206</t>
  </si>
  <si>
    <t>2024-07-30 13:57</t>
  </si>
  <si>
    <t>Michael Howard</t>
  </si>
  <si>
    <t>johnwilliams@example.net</t>
  </si>
  <si>
    <t>ORD-202421112</t>
  </si>
  <si>
    <t>2024-06-22 10:25</t>
  </si>
  <si>
    <t>Edward Terry</t>
  </si>
  <si>
    <t>ashleystephens@example.com</t>
  </si>
  <si>
    <t>ORD-202492786</t>
  </si>
  <si>
    <t>2024-12-04 16:18</t>
  </si>
  <si>
    <t>Denise Guerra</t>
  </si>
  <si>
    <t>caseymoore@example.com</t>
  </si>
  <si>
    <t>ORD-202462944</t>
  </si>
  <si>
    <t>2024-08-16 20:13</t>
  </si>
  <si>
    <t>bgross@example.net</t>
  </si>
  <si>
    <t>ORD-202421046</t>
  </si>
  <si>
    <t>2024-01-19 17:21</t>
  </si>
  <si>
    <t>Patty Allen</t>
  </si>
  <si>
    <t>barrettamber@example.com</t>
  </si>
  <si>
    <t>ORD-202478332</t>
  </si>
  <si>
    <t>2024-06-23 20:10</t>
  </si>
  <si>
    <t>Michael Cannon</t>
  </si>
  <si>
    <t>chloemorris@example.net</t>
  </si>
  <si>
    <t>ORD-202417857</t>
  </si>
  <si>
    <t>2024-07-09 08:40</t>
  </si>
  <si>
    <t>conleydavid@example.org</t>
  </si>
  <si>
    <t>ORD-202469394</t>
  </si>
  <si>
    <t>2024-06-22 07:51</t>
  </si>
  <si>
    <t>John Garcia</t>
  </si>
  <si>
    <t>hbarrett@example.net</t>
  </si>
  <si>
    <t>ORD-202459501</t>
  </si>
  <si>
    <t>2024-09-23 23:15</t>
  </si>
  <si>
    <t>Dawn Diaz</t>
  </si>
  <si>
    <t>smithsamantha@example.net</t>
  </si>
  <si>
    <t>ORD-202464008</t>
  </si>
  <si>
    <t>2024-02-11 02:03</t>
  </si>
  <si>
    <t>Steve Miller PhD</t>
  </si>
  <si>
    <t>wardjulia@example.com</t>
  </si>
  <si>
    <t>ORD-202444562</t>
  </si>
  <si>
    <t>2024-10-26 15:40</t>
  </si>
  <si>
    <t>Rebecca Brown</t>
  </si>
  <si>
    <t>allison14@example.org</t>
  </si>
  <si>
    <t>ORD-202473539</t>
  </si>
  <si>
    <t>2024-12-30 14:08</t>
  </si>
  <si>
    <t>Toni Davis</t>
  </si>
  <si>
    <t>amandalopez@example.net</t>
  </si>
  <si>
    <t>ORD-202425566</t>
  </si>
  <si>
    <t>2024-11-04 13:07</t>
  </si>
  <si>
    <t>Laura Meza</t>
  </si>
  <si>
    <t>xreese@example.net</t>
  </si>
  <si>
    <t>ORD-202459081</t>
  </si>
  <si>
    <t>2024-06-04 09:31</t>
  </si>
  <si>
    <t>Megan Park</t>
  </si>
  <si>
    <t>kandrade@example.org</t>
  </si>
  <si>
    <t>ORD-202433996</t>
  </si>
  <si>
    <t>2024-09-07 00:07</t>
  </si>
  <si>
    <t>Kathy Sandoval</t>
  </si>
  <si>
    <t>umahoney@example.net</t>
  </si>
  <si>
    <t>ORD-202454279</t>
  </si>
  <si>
    <t>2024-07-12 15:53</t>
  </si>
  <si>
    <t>Erika Watson PhD</t>
  </si>
  <si>
    <t>umckenzie@example.net</t>
  </si>
  <si>
    <t>ORD-202421706</t>
  </si>
  <si>
    <t>2024-11-15 21:39</t>
  </si>
  <si>
    <t>Joshua Brooks</t>
  </si>
  <si>
    <t>michael77@example.com</t>
  </si>
  <si>
    <t>ORD-202494661</t>
  </si>
  <si>
    <t>2024-02-15 05:45</t>
  </si>
  <si>
    <t>Andrew Mitchell</t>
  </si>
  <si>
    <t>holmesvictoria@example.com</t>
  </si>
  <si>
    <t>ORD-202484743</t>
  </si>
  <si>
    <t>2024-09-24 06:48</t>
  </si>
  <si>
    <t>William Lewis</t>
  </si>
  <si>
    <t>andrew48@example.net</t>
  </si>
  <si>
    <t>ORD-202442150</t>
  </si>
  <si>
    <t>2024-12-27 18:28</t>
  </si>
  <si>
    <t>Tammy Moore</t>
  </si>
  <si>
    <t>stevenseric@example.com</t>
  </si>
  <si>
    <t>ORD-202467280</t>
  </si>
  <si>
    <t>2024-04-02 13:01</t>
  </si>
  <si>
    <t>Kevin Hall</t>
  </si>
  <si>
    <t>christopher69@example.org</t>
  </si>
  <si>
    <t>ORD-202433942</t>
  </si>
  <si>
    <t>2024-05-10 02:09</t>
  </si>
  <si>
    <t>Misty Mcguire</t>
  </si>
  <si>
    <t>tracynolan@example.net</t>
  </si>
  <si>
    <t>ORD-202461110</t>
  </si>
  <si>
    <t>2024-02-20 10:09</t>
  </si>
  <si>
    <t>Susan Larson</t>
  </si>
  <si>
    <t>benjamin96@example.org</t>
  </si>
  <si>
    <t>ORD-202474615</t>
  </si>
  <si>
    <t>2024-09-17 16:24</t>
  </si>
  <si>
    <t>Tammy Cook</t>
  </si>
  <si>
    <t>hbutler@example.org</t>
  </si>
  <si>
    <t>ORD-202463411</t>
  </si>
  <si>
    <t>2024-11-20 07:58</t>
  </si>
  <si>
    <t>Sarah Mcfarland</t>
  </si>
  <si>
    <t>hbrown@example.org</t>
  </si>
  <si>
    <t>ORD-202468455</t>
  </si>
  <si>
    <t>2024-02-12 20:32</t>
  </si>
  <si>
    <t>Karl Murphy</t>
  </si>
  <si>
    <t>ericnunez@example.com</t>
  </si>
  <si>
    <t>ORD-202415477</t>
  </si>
  <si>
    <t>2024-01-01 14:53</t>
  </si>
  <si>
    <t>Nicole Johnston</t>
  </si>
  <si>
    <t>walkerkeith@example.com</t>
  </si>
  <si>
    <t>ORD-202492864</t>
  </si>
  <si>
    <t>2024-04-18 18:53</t>
  </si>
  <si>
    <t>George Alvarez</t>
  </si>
  <si>
    <t>kelleyjose@example.com</t>
  </si>
  <si>
    <t>ORD-202461813</t>
  </si>
  <si>
    <t>2024-12-23 03:53</t>
  </si>
  <si>
    <t>Patricia Anderson</t>
  </si>
  <si>
    <t>timothygonzalez@example.com</t>
  </si>
  <si>
    <t>ORD-202469338</t>
  </si>
  <si>
    <t>2024-05-19 07:42</t>
  </si>
  <si>
    <t>Christina Gilbert</t>
  </si>
  <si>
    <t>johnadams@example.com</t>
  </si>
  <si>
    <t>ORD-202489794</t>
  </si>
  <si>
    <t>2024-08-31 00:57</t>
  </si>
  <si>
    <t>Thomas Davis</t>
  </si>
  <si>
    <t>whenderson@example.org</t>
  </si>
  <si>
    <t>ORD-202498029</t>
  </si>
  <si>
    <t>2024-08-15 21:07</t>
  </si>
  <si>
    <t>Kirk Johnson</t>
  </si>
  <si>
    <t>gary59@example.com</t>
  </si>
  <si>
    <t>ORD-202458559</t>
  </si>
  <si>
    <t>2024-04-08 14:00</t>
  </si>
  <si>
    <t>Jessica Glass</t>
  </si>
  <si>
    <t>jamesbrooks@example.net</t>
  </si>
  <si>
    <t>ORD-202438986</t>
  </si>
  <si>
    <t>2024-04-29 15:23</t>
  </si>
  <si>
    <t>Ashley Brown</t>
  </si>
  <si>
    <t>mistywilkins@example.org</t>
  </si>
  <si>
    <t>ORD-202424541</t>
  </si>
  <si>
    <t>2024-05-22 18:32</t>
  </si>
  <si>
    <t>Robert Torres</t>
  </si>
  <si>
    <t>njohnson@example.net</t>
  </si>
  <si>
    <t>ORD-202418526</t>
  </si>
  <si>
    <t>2024-03-06 08:59</t>
  </si>
  <si>
    <t>Christina Mills</t>
  </si>
  <si>
    <t>ana92@example.net</t>
  </si>
  <si>
    <t>ORD-202499218</t>
  </si>
  <si>
    <t>2024-10-13 14:00</t>
  </si>
  <si>
    <t>Alicia Aguilar</t>
  </si>
  <si>
    <t>scottbrian@example.org</t>
  </si>
  <si>
    <t>ORD-202474955</t>
  </si>
  <si>
    <t>2024-07-04 16:48</t>
  </si>
  <si>
    <t>Lisa Brown</t>
  </si>
  <si>
    <t>jonesdonna@example.net</t>
  </si>
  <si>
    <t>ORD-202461361</t>
  </si>
  <si>
    <t>2024-04-09 10:05</t>
  </si>
  <si>
    <t>Mary Lin</t>
  </si>
  <si>
    <t>carternicole@example.com</t>
  </si>
  <si>
    <t>ORD-202453152</t>
  </si>
  <si>
    <t>2024-06-08 02:40</t>
  </si>
  <si>
    <t>James Bray</t>
  </si>
  <si>
    <t>mckeetodd@example.net</t>
  </si>
  <si>
    <t>ORD-202424134</t>
  </si>
  <si>
    <t>2024-08-30 07:21</t>
  </si>
  <si>
    <t>Charlotte Mason</t>
  </si>
  <si>
    <t>tcastro@example.org</t>
  </si>
  <si>
    <t>ORD-202485882</t>
  </si>
  <si>
    <t>2024-03-04 02:03</t>
  </si>
  <si>
    <t>Thomas Torres</t>
  </si>
  <si>
    <t>klong@example.org</t>
  </si>
  <si>
    <t>ORD-202449514</t>
  </si>
  <si>
    <t>2024-11-08 20:27</t>
  </si>
  <si>
    <t>Harold Garrett</t>
  </si>
  <si>
    <t>wendyirwin@example.com</t>
  </si>
  <si>
    <t>ORD-202440554</t>
  </si>
  <si>
    <t>2024-11-02 21:39</t>
  </si>
  <si>
    <t>Lori Johns</t>
  </si>
  <si>
    <t>raymondstacy@example.org</t>
  </si>
  <si>
    <t>ORD-202469516</t>
  </si>
  <si>
    <t>2024-09-21 10:37</t>
  </si>
  <si>
    <t>Steven Sandoval</t>
  </si>
  <si>
    <t>blairabigail@example.net</t>
  </si>
  <si>
    <t>ORD-202493540</t>
  </si>
  <si>
    <t>2024-09-17 08:22</t>
  </si>
  <si>
    <t>Lori Perez</t>
  </si>
  <si>
    <t>ashleysimmons@example.com</t>
  </si>
  <si>
    <t>ORD-202450850</t>
  </si>
  <si>
    <t>2024-10-26 13:32</t>
  </si>
  <si>
    <t>Erin Daniels</t>
  </si>
  <si>
    <t>denisecarpenter@example.net</t>
  </si>
  <si>
    <t>ORD-202448150</t>
  </si>
  <si>
    <t>2024-07-07 00:33</t>
  </si>
  <si>
    <t>Shari Parker</t>
  </si>
  <si>
    <t>russellstout@example.org</t>
  </si>
  <si>
    <t>ORD-202436263</t>
  </si>
  <si>
    <t>2024-11-23 06:50</t>
  </si>
  <si>
    <t>Krystal Moore</t>
  </si>
  <si>
    <t>grantstacy@example.org</t>
  </si>
  <si>
    <t>ORD-202490753</t>
  </si>
  <si>
    <t>2024-06-02 13:21</t>
  </si>
  <si>
    <t>Ryan Thomas</t>
  </si>
  <si>
    <t>cannonnicole@example.com</t>
  </si>
  <si>
    <t>ORD-202440182</t>
  </si>
  <si>
    <t>2024-08-26 19:13</t>
  </si>
  <si>
    <t>Elizabeth Reese</t>
  </si>
  <si>
    <t>edwin31@example.org</t>
  </si>
  <si>
    <t>ORD-202457555</t>
  </si>
  <si>
    <t>2024-01-06 02:22</t>
  </si>
  <si>
    <t>Phillip Salazar</t>
  </si>
  <si>
    <t>catherine93@example.net</t>
  </si>
  <si>
    <t>ORD-202436099</t>
  </si>
  <si>
    <t>2024-04-11 09:11</t>
  </si>
  <si>
    <t>manderson@example.com</t>
  </si>
  <si>
    <t>ORD-202433078</t>
  </si>
  <si>
    <t>2024-05-14 03:01</t>
  </si>
  <si>
    <t>Jacqueline Christian</t>
  </si>
  <si>
    <t>kwells@example.org</t>
  </si>
  <si>
    <t>ORD-202458804</t>
  </si>
  <si>
    <t>2024-12-04 05:33</t>
  </si>
  <si>
    <t>Jason Novak</t>
  </si>
  <si>
    <t>stephanie33@example.org</t>
  </si>
  <si>
    <t>ORD-202459054</t>
  </si>
  <si>
    <t>2024-06-11 19:27</t>
  </si>
  <si>
    <t>Timothy Duke</t>
  </si>
  <si>
    <t>dwatts@example.org</t>
  </si>
  <si>
    <t>ORD-202416980</t>
  </si>
  <si>
    <t>2024-11-18 08:55</t>
  </si>
  <si>
    <t>Ricardo Franklin</t>
  </si>
  <si>
    <t>zcortez@example.net</t>
  </si>
  <si>
    <t>ORD-202431945</t>
  </si>
  <si>
    <t>2024-09-17 12:48</t>
  </si>
  <si>
    <t>Laura Herrera</t>
  </si>
  <si>
    <t>meyershannon@example.org</t>
  </si>
  <si>
    <t>ORD-202474853</t>
  </si>
  <si>
    <t>2024-08-30 08:37</t>
  </si>
  <si>
    <t>Danielle Medina</t>
  </si>
  <si>
    <t>grantzachary@example.net</t>
  </si>
  <si>
    <t>ORD-202450107</t>
  </si>
  <si>
    <t>2024-08-05 12:36</t>
  </si>
  <si>
    <t>Cheryl Gonzales</t>
  </si>
  <si>
    <t>kim47@example.org</t>
  </si>
  <si>
    <t>ORD-202440169</t>
  </si>
  <si>
    <t>2024-10-25 01:29</t>
  </si>
  <si>
    <t>Louis Brown</t>
  </si>
  <si>
    <t>stevenlucas@example.org</t>
  </si>
  <si>
    <t>ORD-202451552</t>
  </si>
  <si>
    <t>2024-05-19 12:01</t>
  </si>
  <si>
    <t>Ashley Osborne</t>
  </si>
  <si>
    <t>phillipmorris@example.org</t>
  </si>
  <si>
    <t>ORD-202446231</t>
  </si>
  <si>
    <t>2024-04-26 03:07</t>
  </si>
  <si>
    <t>Kevin Marquez</t>
  </si>
  <si>
    <t>nicoledavis@example.com</t>
  </si>
  <si>
    <t>ORD-202499592</t>
  </si>
  <si>
    <t>2024-05-20 06:45</t>
  </si>
  <si>
    <t>Susan Hogan</t>
  </si>
  <si>
    <t>davisjasmin@example.net</t>
  </si>
  <si>
    <t>ORD-202463183</t>
  </si>
  <si>
    <t>2024-10-23 20:00</t>
  </si>
  <si>
    <t>Joseph Cruz</t>
  </si>
  <si>
    <t>nicholasjames@example.org</t>
  </si>
  <si>
    <t>ORD-202477610</t>
  </si>
  <si>
    <t>2024-10-27 17:48</t>
  </si>
  <si>
    <t>Krystal Keller</t>
  </si>
  <si>
    <t>fernandothomas@example.net</t>
  </si>
  <si>
    <t>ORD-202467498</t>
  </si>
  <si>
    <t>2024-08-18 17:01</t>
  </si>
  <si>
    <t>Eric Cross</t>
  </si>
  <si>
    <t>lroberts@example.org</t>
  </si>
  <si>
    <t>ORD-202454541</t>
  </si>
  <si>
    <t>2024-04-25 13:27</t>
  </si>
  <si>
    <t>Toni Smith</t>
  </si>
  <si>
    <t>alexander77@example.net</t>
  </si>
  <si>
    <t>ORD-202484473</t>
  </si>
  <si>
    <t>2024-11-18 19:58</t>
  </si>
  <si>
    <t>Lisa Snyder</t>
  </si>
  <si>
    <t>briannaalvarez@example.com</t>
  </si>
  <si>
    <t>ORD-202434685</t>
  </si>
  <si>
    <t>2024-08-31 03:21</t>
  </si>
  <si>
    <t>Kyle Smith</t>
  </si>
  <si>
    <t>christine83@example.org</t>
  </si>
  <si>
    <t>ORD-202413517</t>
  </si>
  <si>
    <t>2024-04-05 06:04</t>
  </si>
  <si>
    <t>Anthony Bailey</t>
  </si>
  <si>
    <t>melissaestrada@example.net</t>
  </si>
  <si>
    <t>ORD-202477964</t>
  </si>
  <si>
    <t>2024-01-06 05:20</t>
  </si>
  <si>
    <t>Thomas Williams</t>
  </si>
  <si>
    <t>kchaney@example.net</t>
  </si>
  <si>
    <t>ORD-202460986</t>
  </si>
  <si>
    <t>2024-04-15 04:55</t>
  </si>
  <si>
    <t>Matthew Graves</t>
  </si>
  <si>
    <t>tammycurry@example.com</t>
  </si>
  <si>
    <t>ORD-202475860</t>
  </si>
  <si>
    <t>2024-12-16 14:17</t>
  </si>
  <si>
    <t>Anna Evans</t>
  </si>
  <si>
    <t>priscilla16@example.net</t>
  </si>
  <si>
    <t>ORD-202484609</t>
  </si>
  <si>
    <t>2024-09-08 14:29</t>
  </si>
  <si>
    <t>John Martinez</t>
  </si>
  <si>
    <t>mark68@example.org</t>
  </si>
  <si>
    <t>ORD-202464401</t>
  </si>
  <si>
    <t>2024-05-07 05:57</t>
  </si>
  <si>
    <t>Lisa Rodriguez</t>
  </si>
  <si>
    <t>webbhaley@example.net</t>
  </si>
  <si>
    <t>ORD-202441417</t>
  </si>
  <si>
    <t>2024-03-21 08:56</t>
  </si>
  <si>
    <t>Lee Stewart</t>
  </si>
  <si>
    <t>sara99@example.com</t>
  </si>
  <si>
    <t>ORD-202458330</t>
  </si>
  <si>
    <t>2024-02-09 03:32</t>
  </si>
  <si>
    <t>Lynn Vasquez</t>
  </si>
  <si>
    <t>nicolehall@example.com</t>
  </si>
  <si>
    <t>ORD-202419593</t>
  </si>
  <si>
    <t>2024-11-23 22:43</t>
  </si>
  <si>
    <t>April Johnson</t>
  </si>
  <si>
    <t>mclaughlinjared@example.net</t>
  </si>
  <si>
    <t>ORD-202425031</t>
  </si>
  <si>
    <t>2024-12-29 04:20</t>
  </si>
  <si>
    <t>Mrs. Felicia Castro DDS</t>
  </si>
  <si>
    <t>davidsonhannah@example.com</t>
  </si>
  <si>
    <t>ORD-202471707</t>
  </si>
  <si>
    <t>2024-05-22 05:10</t>
  </si>
  <si>
    <t>Elizabeth Hunter</t>
  </si>
  <si>
    <t>katie15@example.com</t>
  </si>
  <si>
    <t>ORD-202498000</t>
  </si>
  <si>
    <t>2024-01-06 21:17</t>
  </si>
  <si>
    <t>Keith Choi</t>
  </si>
  <si>
    <t>jamesbass@example.net</t>
  </si>
  <si>
    <t>ORD-202493203</t>
  </si>
  <si>
    <t>2024-09-24 20:42</t>
  </si>
  <si>
    <t>John Johnson</t>
  </si>
  <si>
    <t>timothyburton@example.net</t>
  </si>
  <si>
    <t>ORD-202442728</t>
  </si>
  <si>
    <t>2024-07-10 07:12</t>
  </si>
  <si>
    <t>Julia Olsen</t>
  </si>
  <si>
    <t>conleykevin@example.net</t>
  </si>
  <si>
    <t>ORD-202422661</t>
  </si>
  <si>
    <t>2024-12-06 05:46</t>
  </si>
  <si>
    <t>Kristen Smith</t>
  </si>
  <si>
    <t>lauren51@example.org</t>
  </si>
  <si>
    <t>ORD-202481002</t>
  </si>
  <si>
    <t>2024-07-21 13:07</t>
  </si>
  <si>
    <t>Andre Terrell</t>
  </si>
  <si>
    <t>ashleyprice@example.net</t>
  </si>
  <si>
    <t>ORD-202461011</t>
  </si>
  <si>
    <t>2024-04-18 14:14</t>
  </si>
  <si>
    <t>Richard Parker</t>
  </si>
  <si>
    <t>jennifer46@example.org</t>
  </si>
  <si>
    <t>ORD-202423344</t>
  </si>
  <si>
    <t>2024-12-30 17:50</t>
  </si>
  <si>
    <t>David Hayes DVM</t>
  </si>
  <si>
    <t>aliciathompson@example.com</t>
  </si>
  <si>
    <t>ORD-202432980</t>
  </si>
  <si>
    <t>2024-11-21 22:20</t>
  </si>
  <si>
    <t>Paula Gentry</t>
  </si>
  <si>
    <t>zhunter@example.com</t>
  </si>
  <si>
    <t>ORD-202475984</t>
  </si>
  <si>
    <t>2024-10-27 22:00</t>
  </si>
  <si>
    <t>Brittany Peterson</t>
  </si>
  <si>
    <t>hoconnor@example.com</t>
  </si>
  <si>
    <t>ORD-202491233</t>
  </si>
  <si>
    <t>2024-02-10 01:08</t>
  </si>
  <si>
    <t>Briana Wiggins</t>
  </si>
  <si>
    <t>jamiejohnson@example.com</t>
  </si>
  <si>
    <t>ORD-202453082</t>
  </si>
  <si>
    <t>2024-03-09 08:20</t>
  </si>
  <si>
    <t>Kelly Smith</t>
  </si>
  <si>
    <t>mcdanielbrooke@example.org</t>
  </si>
  <si>
    <t>ORD-202441752</t>
  </si>
  <si>
    <t>2024-04-15 17:03</t>
  </si>
  <si>
    <t>Stephen Garcia</t>
  </si>
  <si>
    <t>andrew43@example.com</t>
  </si>
  <si>
    <t>ORD-202418469</t>
  </si>
  <si>
    <t>2024-09-08 02:12</t>
  </si>
  <si>
    <t>Dustin Patel</t>
  </si>
  <si>
    <t>rlambert@example.org</t>
  </si>
  <si>
    <t>ORD-202465868</t>
  </si>
  <si>
    <t>2024-08-27 09:10</t>
  </si>
  <si>
    <t>Brian Mullen</t>
  </si>
  <si>
    <t>clarkmichael@example.com</t>
  </si>
  <si>
    <t>ORD-202493309</t>
  </si>
  <si>
    <t>2024-04-13 08:55</t>
  </si>
  <si>
    <t>Tony Brock</t>
  </si>
  <si>
    <t>georgecollins@example.com</t>
  </si>
  <si>
    <t>ORD-202430431</t>
  </si>
  <si>
    <t>2024-09-03 00:48</t>
  </si>
  <si>
    <t>Amber Johnson</t>
  </si>
  <si>
    <t>rodriguezbrian@example.com</t>
  </si>
  <si>
    <t>ORD-202443723</t>
  </si>
  <si>
    <t>2024-07-13 14:19</t>
  </si>
  <si>
    <t>Michael Vance</t>
  </si>
  <si>
    <t>tjensen@example.com</t>
  </si>
  <si>
    <t>ORD-202435652</t>
  </si>
  <si>
    <t>2024-03-20 06:00</t>
  </si>
  <si>
    <t>Michelle Lambert</t>
  </si>
  <si>
    <t>beltrankatelyn@example.com</t>
  </si>
  <si>
    <t>ORD-202450345</t>
  </si>
  <si>
    <t>2024-11-24 18:04</t>
  </si>
  <si>
    <t>Anna Lang</t>
  </si>
  <si>
    <t>tdavis@example.net</t>
  </si>
  <si>
    <t>ORD-202455688</t>
  </si>
  <si>
    <t>2024-09-17 22:31</t>
  </si>
  <si>
    <t>Pamela Ruiz</t>
  </si>
  <si>
    <t>douglashuang@example.com</t>
  </si>
  <si>
    <t>ORD-202492700</t>
  </si>
  <si>
    <t>2024-12-27 21:01</t>
  </si>
  <si>
    <t>Jenna Lyons</t>
  </si>
  <si>
    <t>kristina57@example.com</t>
  </si>
  <si>
    <t>ORD-202411617</t>
  </si>
  <si>
    <t>2024-02-29 02:41</t>
  </si>
  <si>
    <t>John Bell</t>
  </si>
  <si>
    <t>ssingleton@example.com</t>
  </si>
  <si>
    <t>ORD-202465950</t>
  </si>
  <si>
    <t>2024-05-09 22:19</t>
  </si>
  <si>
    <t>Bethany Garcia</t>
  </si>
  <si>
    <t>nguyendebra@example.com</t>
  </si>
  <si>
    <t>ORD-202428705</t>
  </si>
  <si>
    <t>2024-05-17 23:13</t>
  </si>
  <si>
    <t>Jennifer Gutierrez</t>
  </si>
  <si>
    <t>amydickson@example.com</t>
  </si>
  <si>
    <t>ORD-202478807</t>
  </si>
  <si>
    <t>2024-08-01 20:18</t>
  </si>
  <si>
    <t>Daniel Benson</t>
  </si>
  <si>
    <t>bmueller@example.net</t>
  </si>
  <si>
    <t>ORD-202469069</t>
  </si>
  <si>
    <t>2024-10-17 06:11</t>
  </si>
  <si>
    <t>Kimberly Young</t>
  </si>
  <si>
    <t>stevensonjennifer@example.com</t>
  </si>
  <si>
    <t>ORD-202493418</t>
  </si>
  <si>
    <t>2024-03-26 02:18</t>
  </si>
  <si>
    <t>Kyle Nguyen</t>
  </si>
  <si>
    <t>shortgregory@example.com</t>
  </si>
  <si>
    <t>ORD-202498185</t>
  </si>
  <si>
    <t>2024-02-21 00:03</t>
  </si>
  <si>
    <t>Brian Cervantes</t>
  </si>
  <si>
    <t>pmurphy@example.net</t>
  </si>
  <si>
    <t>ORD-202459239</t>
  </si>
  <si>
    <t>2024-11-04 16:48</t>
  </si>
  <si>
    <t>Daniel Taylor</t>
  </si>
  <si>
    <t>shermandonna@example.com</t>
  </si>
  <si>
    <t>ORD-202451317</t>
  </si>
  <si>
    <t>2024-05-02 11:42</t>
  </si>
  <si>
    <t>Jean Lane</t>
  </si>
  <si>
    <t>jamierich@example.com</t>
  </si>
  <si>
    <t>ORD-202462665</t>
  </si>
  <si>
    <t>2024-03-12 00:38</t>
  </si>
  <si>
    <t>Susan Torres</t>
  </si>
  <si>
    <t>wrobbins@example.org</t>
  </si>
  <si>
    <t>ORD-202477490</t>
  </si>
  <si>
    <t>2024-07-30 21:12</t>
  </si>
  <si>
    <t>Lisa Dixon</t>
  </si>
  <si>
    <t>melissabrown@example.net</t>
  </si>
  <si>
    <t>ORD-202489529</t>
  </si>
  <si>
    <t>2024-09-05 12:47</t>
  </si>
  <si>
    <t>April Castro</t>
  </si>
  <si>
    <t>daniel40@example.org</t>
  </si>
  <si>
    <t>ORD-202489583</t>
  </si>
  <si>
    <t>2024-04-09 22:09</t>
  </si>
  <si>
    <t>Kevin Garrett</t>
  </si>
  <si>
    <t>bsullivan@example.net</t>
  </si>
  <si>
    <t>ORD-202432027</t>
  </si>
  <si>
    <t>2024-08-16 03:30</t>
  </si>
  <si>
    <t>Christopher Taylor</t>
  </si>
  <si>
    <t>xbridges@example.com</t>
  </si>
  <si>
    <t>ORD-202452795</t>
  </si>
  <si>
    <t>2024-07-15 08:14</t>
  </si>
  <si>
    <t>Zachary Santiago</t>
  </si>
  <si>
    <t>alexanderwong@example.org</t>
  </si>
  <si>
    <t>ORD-202439334</t>
  </si>
  <si>
    <t>2024-10-21 19:04</t>
  </si>
  <si>
    <t>Katelyn Kim</t>
  </si>
  <si>
    <t>christophermay@example.com</t>
  </si>
  <si>
    <t>ORD-202425163</t>
  </si>
  <si>
    <t>2024-05-28 02:07</t>
  </si>
  <si>
    <t>Stephanie Dominguez</t>
  </si>
  <si>
    <t>dhanson@example.net</t>
  </si>
  <si>
    <t>ORD-202459832</t>
  </si>
  <si>
    <t>2024-10-22 23:00</t>
  </si>
  <si>
    <t>Robert Cruz</t>
  </si>
  <si>
    <t>jacobjacobs@example.net</t>
  </si>
  <si>
    <t>ORD-202478124</t>
  </si>
  <si>
    <t>2024-12-05 19:37</t>
  </si>
  <si>
    <t>Dr. Michael Adams DVM</t>
  </si>
  <si>
    <t>arthur09@example.com</t>
  </si>
  <si>
    <t>ORD-202475514</t>
  </si>
  <si>
    <t>2024-12-14 14:09</t>
  </si>
  <si>
    <t>Ashley Olson</t>
  </si>
  <si>
    <t>thomasjessica@example.com</t>
  </si>
  <si>
    <t>ORD-202445841</t>
  </si>
  <si>
    <t>2024-12-27 18:30</t>
  </si>
  <si>
    <t>Blake Wu</t>
  </si>
  <si>
    <t>sanchezcrystal@example.net</t>
  </si>
  <si>
    <t>ORD-202439500</t>
  </si>
  <si>
    <t>2024-12-24 23:03</t>
  </si>
  <si>
    <t>Angela Schultz</t>
  </si>
  <si>
    <t>chloe58@example.org</t>
  </si>
  <si>
    <t>ORD-202498853</t>
  </si>
  <si>
    <t>2024-08-30 11:48</t>
  </si>
  <si>
    <t>Jose Harrison</t>
  </si>
  <si>
    <t>robert44@example.org</t>
  </si>
  <si>
    <t>ORD-202422755</t>
  </si>
  <si>
    <t>2024-03-08 10:48</t>
  </si>
  <si>
    <t>Thomas Curry</t>
  </si>
  <si>
    <t>bryan79@example.org</t>
  </si>
  <si>
    <t>ORD-202448152</t>
  </si>
  <si>
    <t>2024-03-15 06:13</t>
  </si>
  <si>
    <t>Mary Carter</t>
  </si>
  <si>
    <t>mitchellchristopher@example.net</t>
  </si>
  <si>
    <t>ORD-202499056</t>
  </si>
  <si>
    <t>2024-03-27 01:06</t>
  </si>
  <si>
    <t>Richard King</t>
  </si>
  <si>
    <t>joshua40@example.net</t>
  </si>
  <si>
    <t>ORD-202429473</t>
  </si>
  <si>
    <t>2024-11-17 23:25</t>
  </si>
  <si>
    <t>Christopher Vargas</t>
  </si>
  <si>
    <t>donnawood@example.org</t>
  </si>
  <si>
    <t>ORD-202470774</t>
  </si>
  <si>
    <t>2024-11-28 12:17</t>
  </si>
  <si>
    <t>Michael Washington</t>
  </si>
  <si>
    <t>cooperchristopher@example.org</t>
  </si>
  <si>
    <t>ORD-202413018</t>
  </si>
  <si>
    <t>2024-10-27 18:36</t>
  </si>
  <si>
    <t>Samantha Monroe</t>
  </si>
  <si>
    <t>ptownsend@example.net</t>
  </si>
  <si>
    <t>ORD-202484897</t>
  </si>
  <si>
    <t>2024-03-05 03:20</t>
  </si>
  <si>
    <t>Mark Clark</t>
  </si>
  <si>
    <t>brian41@example.org</t>
  </si>
  <si>
    <t>ORD-202437192</t>
  </si>
  <si>
    <t>2024-12-03 03:11</t>
  </si>
  <si>
    <t>James Turner</t>
  </si>
  <si>
    <t>noahthornton@example.com</t>
  </si>
  <si>
    <t>ORD-202495542</t>
  </si>
  <si>
    <t>2024-03-23 02:35</t>
  </si>
  <si>
    <t>Joseph Graham</t>
  </si>
  <si>
    <t>sara76@example.net</t>
  </si>
  <si>
    <t>ORD-202465450</t>
  </si>
  <si>
    <t>2024-12-02 00:15</t>
  </si>
  <si>
    <t>Joseph Blanchard</t>
  </si>
  <si>
    <t>hardindana@example.com</t>
  </si>
  <si>
    <t>ORD-202451017</t>
  </si>
  <si>
    <t>2024-09-24 11:38</t>
  </si>
  <si>
    <t>Marissa Nelson</t>
  </si>
  <si>
    <t>joseph14@example.net</t>
  </si>
  <si>
    <t>ORD-202449283</t>
  </si>
  <si>
    <t>2024-04-20 04:38</t>
  </si>
  <si>
    <t>Julia Leonard</t>
  </si>
  <si>
    <t>jessicachapman@example.org</t>
  </si>
  <si>
    <t>ORD-202444167</t>
  </si>
  <si>
    <t>2024-07-14 20:57</t>
  </si>
  <si>
    <t>Megan Kaiser</t>
  </si>
  <si>
    <t>amy01@example.org</t>
  </si>
  <si>
    <t>ORD-202419248</t>
  </si>
  <si>
    <t>2024-11-18 23:17</t>
  </si>
  <si>
    <t>Joseph Jennings</t>
  </si>
  <si>
    <t>jeffrey44@example.org</t>
  </si>
  <si>
    <t>ORD-202451465</t>
  </si>
  <si>
    <t>2024-08-10 12:01</t>
  </si>
  <si>
    <t>Manuel Brown</t>
  </si>
  <si>
    <t>stephanielittle@example.net</t>
  </si>
  <si>
    <t>ORD-202493909</t>
  </si>
  <si>
    <t>2024-02-15 11:58</t>
  </si>
  <si>
    <t>Angelica Jacobs</t>
  </si>
  <si>
    <t>pdouglas@example.net</t>
  </si>
  <si>
    <t>ORD-202439127</t>
  </si>
  <si>
    <t>2024-07-12 03:50</t>
  </si>
  <si>
    <t>Cathy Rodriguez</t>
  </si>
  <si>
    <t>jonowens@example.org</t>
  </si>
  <si>
    <t>ORD-202484993</t>
  </si>
  <si>
    <t>2024-05-24 17:17</t>
  </si>
  <si>
    <t>Tammy Hill</t>
  </si>
  <si>
    <t>qschwartz@example.com</t>
  </si>
  <si>
    <t>ORD-202472503</t>
  </si>
  <si>
    <t>2024-10-30 04:16</t>
  </si>
  <si>
    <t>Richard Ramirez</t>
  </si>
  <si>
    <t>reyesmarvin@example.org</t>
  </si>
  <si>
    <t>ORD-202442651</t>
  </si>
  <si>
    <t>2024-12-13 19:26</t>
  </si>
  <si>
    <t>Robert Thompson</t>
  </si>
  <si>
    <t>vasquezsarah@example.net</t>
  </si>
  <si>
    <t>ORD-202478235</t>
  </si>
  <si>
    <t>2024-04-27 09:40</t>
  </si>
  <si>
    <t>Matthew Rodriguez</t>
  </si>
  <si>
    <t>probinson@example.org</t>
  </si>
  <si>
    <t>ORD-202422272</t>
  </si>
  <si>
    <t>2024-03-25 18:03</t>
  </si>
  <si>
    <t>Michelle Garcia</t>
  </si>
  <si>
    <t>jonesjessica@example.com</t>
  </si>
  <si>
    <t>ORD-202477503</t>
  </si>
  <si>
    <t>2024-12-16 21:56</t>
  </si>
  <si>
    <t>Jonathan Delgado</t>
  </si>
  <si>
    <t>fitzpatrickelizabeth@example.com</t>
  </si>
  <si>
    <t>ORD-202442011</t>
  </si>
  <si>
    <t>2024-12-04 16:43</t>
  </si>
  <si>
    <t>Gary Myers</t>
  </si>
  <si>
    <t>robertsonshelby@example.com</t>
  </si>
  <si>
    <t>ORD-202458110</t>
  </si>
  <si>
    <t>2024-03-09 16:22</t>
  </si>
  <si>
    <t>Jared Luna</t>
  </si>
  <si>
    <t>fernandezaaron@example.net</t>
  </si>
  <si>
    <t>ORD-202448019</t>
  </si>
  <si>
    <t>2024-06-02 15:18</t>
  </si>
  <si>
    <t>Karen Bradley</t>
  </si>
  <si>
    <t>mathew46@example.org</t>
  </si>
  <si>
    <t>ORD-202470693</t>
  </si>
  <si>
    <t>2024-11-12 15:03</t>
  </si>
  <si>
    <t>Tina Davis</t>
  </si>
  <si>
    <t>christopher74@example.net</t>
  </si>
  <si>
    <t>ORD-202434400</t>
  </si>
  <si>
    <t>2024-07-24 11:00</t>
  </si>
  <si>
    <t>Julian Ponce</t>
  </si>
  <si>
    <t>kentprice@example.org</t>
  </si>
  <si>
    <t>ORD-202473886</t>
  </si>
  <si>
    <t>2024-01-04 04:49</t>
  </si>
  <si>
    <t>Heather Miller</t>
  </si>
  <si>
    <t>imoss@example.org</t>
  </si>
  <si>
    <t>ORD-202424246</t>
  </si>
  <si>
    <t>2024-08-12 21:53</t>
  </si>
  <si>
    <t>Nathan Watkins</t>
  </si>
  <si>
    <t>yprice@example.net</t>
  </si>
  <si>
    <t>ORD-202434846</t>
  </si>
  <si>
    <t>2024-05-25 01:08</t>
  </si>
  <si>
    <t>Kathryn Hanna</t>
  </si>
  <si>
    <t>blevy@example.org</t>
  </si>
  <si>
    <t>ORD-202425570</t>
  </si>
  <si>
    <t>2024-08-03 15:35</t>
  </si>
  <si>
    <t>George Le</t>
  </si>
  <si>
    <t>zwilson@example.net</t>
  </si>
  <si>
    <t>ORD-202424139</t>
  </si>
  <si>
    <t>2024-01-11 04:09</t>
  </si>
  <si>
    <t>Judy Gregory</t>
  </si>
  <si>
    <t>joycehall@example.org</t>
  </si>
  <si>
    <t>ORD-202466928</t>
  </si>
  <si>
    <t>2024-09-02 09:18</t>
  </si>
  <si>
    <t>Charles Valdez</t>
  </si>
  <si>
    <t>nmeadows@example.org</t>
  </si>
  <si>
    <t>ORD-202425075</t>
  </si>
  <si>
    <t>2024-05-14 22:15</t>
  </si>
  <si>
    <t>conwaylori@example.org</t>
  </si>
  <si>
    <t>ORD-202440065</t>
  </si>
  <si>
    <t>2024-03-02 04:25</t>
  </si>
  <si>
    <t>Christopher Garza</t>
  </si>
  <si>
    <t>wilsonbrooke@example.net</t>
  </si>
  <si>
    <t>ORD-202459853</t>
  </si>
  <si>
    <t>2024-07-27 16:19</t>
  </si>
  <si>
    <t>Robert Simmons</t>
  </si>
  <si>
    <t>rnguyen@example.net</t>
  </si>
  <si>
    <t>ORD-202424425</t>
  </si>
  <si>
    <t>2024-05-17 11:17</t>
  </si>
  <si>
    <t>Erica Oconnell</t>
  </si>
  <si>
    <t>kathrynwatkins@example.com</t>
  </si>
  <si>
    <t>ORD-202496563</t>
  </si>
  <si>
    <t>2024-06-13 06:18</t>
  </si>
  <si>
    <t>Donald Todd</t>
  </si>
  <si>
    <t>heathertran@example.com</t>
  </si>
  <si>
    <t>ORD-202449892</t>
  </si>
  <si>
    <t>2024-02-27 03:42</t>
  </si>
  <si>
    <t>Kevin Anderson</t>
  </si>
  <si>
    <t>bstrickland@example.com</t>
  </si>
  <si>
    <t>ORD-202437529</t>
  </si>
  <si>
    <t>2024-10-26 12:05</t>
  </si>
  <si>
    <t>Adam Howe</t>
  </si>
  <si>
    <t>robert72@example.org</t>
  </si>
  <si>
    <t>ORD-202422928</t>
  </si>
  <si>
    <t>2024-02-08 17:39</t>
  </si>
  <si>
    <t>Devin Cole</t>
  </si>
  <si>
    <t>sharonbishop@example.org</t>
  </si>
  <si>
    <t>ORD-202435127</t>
  </si>
  <si>
    <t>2024-08-02 17:45</t>
  </si>
  <si>
    <t>Michelle Salazar</t>
  </si>
  <si>
    <t>burtonkimberly@example.com</t>
  </si>
  <si>
    <t>ORD-202473284</t>
  </si>
  <si>
    <t>2024-08-02 16:59</t>
  </si>
  <si>
    <t>Justin Lee</t>
  </si>
  <si>
    <t>montgomerymichelle@example.net</t>
  </si>
  <si>
    <t>ORD-202434928</t>
  </si>
  <si>
    <t>2024-07-22 15:43</t>
  </si>
  <si>
    <t>Julie Sims</t>
  </si>
  <si>
    <t>joshualee@example.org</t>
  </si>
  <si>
    <t>ORD-202437122</t>
  </si>
  <si>
    <t>2024-04-04 00:10</t>
  </si>
  <si>
    <t>Tracy Wells</t>
  </si>
  <si>
    <t>ernestlivingston@example.org</t>
  </si>
  <si>
    <t>ORD-202448844</t>
  </si>
  <si>
    <t>2024-12-28 08:35</t>
  </si>
  <si>
    <t>Dominique Hamilton</t>
  </si>
  <si>
    <t>christina70@example.org</t>
  </si>
  <si>
    <t>ORD-202427428</t>
  </si>
  <si>
    <t>2024-05-18 01:41</t>
  </si>
  <si>
    <t>Tammy Thompson</t>
  </si>
  <si>
    <t>washingtondarren@example.org</t>
  </si>
  <si>
    <t>ORD-202481994</t>
  </si>
  <si>
    <t>2024-05-15 23:08</t>
  </si>
  <si>
    <t>Leslie Nguyen</t>
  </si>
  <si>
    <t>julievillanueva@example.org</t>
  </si>
  <si>
    <t>ORD-202446659</t>
  </si>
  <si>
    <t>2024-03-31 08:01</t>
  </si>
  <si>
    <t>Erika Garcia</t>
  </si>
  <si>
    <t>ykane@example.org</t>
  </si>
  <si>
    <t>ORD-202467958</t>
  </si>
  <si>
    <t>2024-04-22 10:17</t>
  </si>
  <si>
    <t>Kevin Brown</t>
  </si>
  <si>
    <t>nthomas@example.com</t>
  </si>
  <si>
    <t>ORD-202472784</t>
  </si>
  <si>
    <t>2024-02-17 15:11</t>
  </si>
  <si>
    <t>James Ellis</t>
  </si>
  <si>
    <t>crystalcantrell@example.org</t>
  </si>
  <si>
    <t>ORD-202450653</t>
  </si>
  <si>
    <t>2024-03-24 05:52</t>
  </si>
  <si>
    <t>Andrew Carroll</t>
  </si>
  <si>
    <t>derek77@example.com</t>
  </si>
  <si>
    <t>ORD-202423137</t>
  </si>
  <si>
    <t>2024-09-26 04:46</t>
  </si>
  <si>
    <t>Greg Tanner</t>
  </si>
  <si>
    <t>kristinelittle@example.net</t>
  </si>
  <si>
    <t>ORD-202442550</t>
  </si>
  <si>
    <t>2024-02-12 08:09</t>
  </si>
  <si>
    <t>Laura Tran</t>
  </si>
  <si>
    <t>christophervincent@example.com</t>
  </si>
  <si>
    <t>ORD-202428249</t>
  </si>
  <si>
    <t>2024-09-02 18:57</t>
  </si>
  <si>
    <t>Cindy Wells</t>
  </si>
  <si>
    <t>uramirez@example.com</t>
  </si>
  <si>
    <t>ORD-202492245</t>
  </si>
  <si>
    <t>2024-10-05 03:01</t>
  </si>
  <si>
    <t>Danielle Murphy</t>
  </si>
  <si>
    <t>patriciavargas@example.org</t>
  </si>
  <si>
    <t>ORD-202413145</t>
  </si>
  <si>
    <t>2024-04-26 13:24</t>
  </si>
  <si>
    <t>Stephanie Butler</t>
  </si>
  <si>
    <t>williamsthomas@example.net</t>
  </si>
  <si>
    <t>ORD-202424435</t>
  </si>
  <si>
    <t>2024-04-24 03:18</t>
  </si>
  <si>
    <t>Joseph Mendoza</t>
  </si>
  <si>
    <t>chavezjohn@example.net</t>
  </si>
  <si>
    <t>ORD-202433339</t>
  </si>
  <si>
    <t>2024-08-07 16:21</t>
  </si>
  <si>
    <t>Melissa Russell</t>
  </si>
  <si>
    <t>davidphillips@example.net</t>
  </si>
  <si>
    <t>ORD-202475437</t>
  </si>
  <si>
    <t>2024-12-04 11:59</t>
  </si>
  <si>
    <t>Mrs. Maureen Martin DDS</t>
  </si>
  <si>
    <t>braysteven@example.org</t>
  </si>
  <si>
    <t>ORD-202461196</t>
  </si>
  <si>
    <t>2024-08-16 23:50</t>
  </si>
  <si>
    <t>Jennifer Clarke</t>
  </si>
  <si>
    <t>courtney01@example.com</t>
  </si>
  <si>
    <t>ORD-202433838</t>
  </si>
  <si>
    <t>2024-07-16 11:20</t>
  </si>
  <si>
    <t>Faith Johnson</t>
  </si>
  <si>
    <t>smullins@example.net</t>
  </si>
  <si>
    <t>ORD-202460224</t>
  </si>
  <si>
    <t>2024-08-02 17:31</t>
  </si>
  <si>
    <t>Rebecca French</t>
  </si>
  <si>
    <t>olivermatthew@example.org</t>
  </si>
  <si>
    <t>ORD-202479067</t>
  </si>
  <si>
    <t>2024-10-22 22:51</t>
  </si>
  <si>
    <t>Susan Cox</t>
  </si>
  <si>
    <t>rodriguezmichael@example.net</t>
  </si>
  <si>
    <t>ORD-202427510</t>
  </si>
  <si>
    <t>2024-02-26 01:58</t>
  </si>
  <si>
    <t>Jacob Wong</t>
  </si>
  <si>
    <t>castrokim@example.org</t>
  </si>
  <si>
    <t>ORD-202439437</t>
  </si>
  <si>
    <t>2024-01-29 23:08</t>
  </si>
  <si>
    <t>Mrs. Ashley Mendoza</t>
  </si>
  <si>
    <t>karenhodges@example.com</t>
  </si>
  <si>
    <t>ORD-202472498</t>
  </si>
  <si>
    <t>2024-10-31 05:01</t>
  </si>
  <si>
    <t>Derek Frazier</t>
  </si>
  <si>
    <t>brian55@example.com</t>
  </si>
  <si>
    <t>ORD-202471573</t>
  </si>
  <si>
    <t>2024-03-12 23:33</t>
  </si>
  <si>
    <t>Mr. Bryan Mckinney</t>
  </si>
  <si>
    <t>shannon51@example.org</t>
  </si>
  <si>
    <t>ORD-202430432</t>
  </si>
  <si>
    <t>2024-01-31 20:02</t>
  </si>
  <si>
    <t>Judith Miller</t>
  </si>
  <si>
    <t>keithfrye@example.org</t>
  </si>
  <si>
    <t>ORD-202484981</t>
  </si>
  <si>
    <t>2024-09-13 09:45</t>
  </si>
  <si>
    <t>Brian Hernandez</t>
  </si>
  <si>
    <t>nancymeyer@example.net</t>
  </si>
  <si>
    <t>ORD-202462481</t>
  </si>
  <si>
    <t>2024-11-12 01:14</t>
  </si>
  <si>
    <t>Jason Fleming</t>
  </si>
  <si>
    <t>thomasfisher@example.net</t>
  </si>
  <si>
    <t>ORD-202495550</t>
  </si>
  <si>
    <t>2024-11-24 12:52</t>
  </si>
  <si>
    <t>Dorothy Brown</t>
  </si>
  <si>
    <t>marystone@example.com</t>
  </si>
  <si>
    <t>ORD-202420198</t>
  </si>
  <si>
    <t>2024-07-04 19:49</t>
  </si>
  <si>
    <t>Grant Lucas</t>
  </si>
  <si>
    <t>todd88@example.com</t>
  </si>
  <si>
    <t>ORD-202450516</t>
  </si>
  <si>
    <t>2024-04-06 17:12</t>
  </si>
  <si>
    <t>Keith Villanueva</t>
  </si>
  <si>
    <t>george43@example.com</t>
  </si>
  <si>
    <t>ORD-202415987</t>
  </si>
  <si>
    <t>2024-01-25 10:05</t>
  </si>
  <si>
    <t>Dwayne Bruce</t>
  </si>
  <si>
    <t>michaelbryant@example.org</t>
  </si>
  <si>
    <t>ORD-202456640</t>
  </si>
  <si>
    <t>2024-03-07 22:43</t>
  </si>
  <si>
    <t>Caitlyn Nichols</t>
  </si>
  <si>
    <t>teresafranco@example.net</t>
  </si>
  <si>
    <t>ORD-202472515</t>
  </si>
  <si>
    <t>2024-10-27 01:18</t>
  </si>
  <si>
    <t>Rebecca Martin</t>
  </si>
  <si>
    <t>williamsleslie@example.org</t>
  </si>
  <si>
    <t>ORD-202431108</t>
  </si>
  <si>
    <t>2024-09-13 16:46</t>
  </si>
  <si>
    <t>Jacob Harris</t>
  </si>
  <si>
    <t>wadetiffany@example.org</t>
  </si>
  <si>
    <t>ORD-202415244</t>
  </si>
  <si>
    <t>2024-12-30 21:24</t>
  </si>
  <si>
    <t>Joshua Martin</t>
  </si>
  <si>
    <t>david06@example.com</t>
  </si>
  <si>
    <t>ORD-202428693</t>
  </si>
  <si>
    <t>2024-06-07 17:55</t>
  </si>
  <si>
    <t>Theresa Reilly</t>
  </si>
  <si>
    <t>adamrodgers@example.net</t>
  </si>
  <si>
    <t>ORD-202485564</t>
  </si>
  <si>
    <t>2024-07-05 11:05</t>
  </si>
  <si>
    <t>Michael Wells</t>
  </si>
  <si>
    <t>tara92@example.net</t>
  </si>
  <si>
    <t>ORD-202484545</t>
  </si>
  <si>
    <t>2024-09-06 01:23</t>
  </si>
  <si>
    <t>Tammy Morgan</t>
  </si>
  <si>
    <t>dennisrachel@example.org</t>
  </si>
  <si>
    <t>ORD-202458979</t>
  </si>
  <si>
    <t>2024-02-12 21:26</t>
  </si>
  <si>
    <t>Audrey Johnson</t>
  </si>
  <si>
    <t>seandavis@example.org</t>
  </si>
  <si>
    <t>ORD-202430258</t>
  </si>
  <si>
    <t>2024-02-23 09:24</t>
  </si>
  <si>
    <t>Christie Fox</t>
  </si>
  <si>
    <t>james18@example.com</t>
  </si>
  <si>
    <t>ORD-202471063</t>
  </si>
  <si>
    <t>2024-08-27 20:34</t>
  </si>
  <si>
    <t>Tina Daugherty</t>
  </si>
  <si>
    <t>ulee@example.net</t>
  </si>
  <si>
    <t>ORD-202453086</t>
  </si>
  <si>
    <t>2024-02-03 10:21</t>
  </si>
  <si>
    <t>Terri Kerr</t>
  </si>
  <si>
    <t>raymond65@example.com</t>
  </si>
  <si>
    <t>ORD-202481444</t>
  </si>
  <si>
    <t>2024-03-20 15:09</t>
  </si>
  <si>
    <t>Dustin Bell</t>
  </si>
  <si>
    <t>fsawyer@example.org</t>
  </si>
  <si>
    <t>ORD-202472050</t>
  </si>
  <si>
    <t>2024-04-19 01:13</t>
  </si>
  <si>
    <t>Jill Riddle</t>
  </si>
  <si>
    <t>ORD-202463093</t>
  </si>
  <si>
    <t>2024-02-11 09:55</t>
  </si>
  <si>
    <t>Jessica Mosley</t>
  </si>
  <si>
    <t>maryharper@example.org</t>
  </si>
  <si>
    <t>ORD-202454829</t>
  </si>
  <si>
    <t>2024-06-01 05:12</t>
  </si>
  <si>
    <t>John Dillon</t>
  </si>
  <si>
    <t>carl96@example.org</t>
  </si>
  <si>
    <t>ORD-202411301</t>
  </si>
  <si>
    <t>2024-10-14 19:12</t>
  </si>
  <si>
    <t>Mark Nelson</t>
  </si>
  <si>
    <t>angelapage@example.org</t>
  </si>
  <si>
    <t>ORD-202475463</t>
  </si>
  <si>
    <t>2024-06-11 03:50</t>
  </si>
  <si>
    <t>Ronnie Roberts</t>
  </si>
  <si>
    <t>twilliams@example.net</t>
  </si>
  <si>
    <t>ORD-202414782</t>
  </si>
  <si>
    <t>2024-04-21 23:12</t>
  </si>
  <si>
    <t>Justin Ford</t>
  </si>
  <si>
    <t>moodyeric@example.com</t>
  </si>
  <si>
    <t>ORD-202458530</t>
  </si>
  <si>
    <t>2024-07-05 00:19</t>
  </si>
  <si>
    <t>Sandra Kennedy</t>
  </si>
  <si>
    <t>robert73@example.org</t>
  </si>
  <si>
    <t>ORD-202481102</t>
  </si>
  <si>
    <t>2024-08-06 16:48</t>
  </si>
  <si>
    <t>Donald Gamble</t>
  </si>
  <si>
    <t>georgemichael@example.com</t>
  </si>
  <si>
    <t>ORD-202460012</t>
  </si>
  <si>
    <t>2024-05-25 21:44</t>
  </si>
  <si>
    <t>Sheena Burton</t>
  </si>
  <si>
    <t>hmccann@example.com</t>
  </si>
  <si>
    <t>ORD-202490774</t>
  </si>
  <si>
    <t>2024-07-29 03:31</t>
  </si>
  <si>
    <t>Laura Bruce</t>
  </si>
  <si>
    <t>bonniethomas@example.com</t>
  </si>
  <si>
    <t>ORD-202437770</t>
  </si>
  <si>
    <t>2024-04-24 14:35</t>
  </si>
  <si>
    <t>Brandy Martin</t>
  </si>
  <si>
    <t>michael50@example.com</t>
  </si>
  <si>
    <t>ORD-202410996</t>
  </si>
  <si>
    <t>2024-07-10 07:32</t>
  </si>
  <si>
    <t>Mark Jones</t>
  </si>
  <si>
    <t>katiewhite@example.org</t>
  </si>
  <si>
    <t>ORD-202414282</t>
  </si>
  <si>
    <t>2024-01-08 00:09</t>
  </si>
  <si>
    <t>Carol Morris</t>
  </si>
  <si>
    <t>margaret44@example.net</t>
  </si>
  <si>
    <t>ORD-202435252</t>
  </si>
  <si>
    <t>2024-11-11 20:25</t>
  </si>
  <si>
    <t>Heidi Ferguson</t>
  </si>
  <si>
    <t>madeline02@example.net</t>
  </si>
  <si>
    <t>ORD-202477800</t>
  </si>
  <si>
    <t>2024-03-22 13:14</t>
  </si>
  <si>
    <t>Richard Jenkins</t>
  </si>
  <si>
    <t>curtismoore@example.org</t>
  </si>
  <si>
    <t>ORD-202452258</t>
  </si>
  <si>
    <t>2024-04-14 02:05</t>
  </si>
  <si>
    <t>Rebecca Hansen</t>
  </si>
  <si>
    <t>butlersabrina@example.org</t>
  </si>
  <si>
    <t>ORD-202484946</t>
  </si>
  <si>
    <t>2024-07-14 00:47</t>
  </si>
  <si>
    <t>Tammy Mendoza</t>
  </si>
  <si>
    <t>hannah27@example.net</t>
  </si>
  <si>
    <t>ORD-202459559</t>
  </si>
  <si>
    <t>2024-05-13 21:03</t>
  </si>
  <si>
    <t>Tracy Jackson</t>
  </si>
  <si>
    <t>anthony13@example.org</t>
  </si>
  <si>
    <t>ORD-202424034</t>
  </si>
  <si>
    <t>2024-03-13 09:16</t>
  </si>
  <si>
    <t>Brenda Perez</t>
  </si>
  <si>
    <t>jasonzavala@example.com</t>
  </si>
  <si>
    <t>ORD-202412877</t>
  </si>
  <si>
    <t>2024-07-30 02:31</t>
  </si>
  <si>
    <t>Rachel Jones</t>
  </si>
  <si>
    <t>ctodd@example.org</t>
  </si>
  <si>
    <t>ORD-202449158</t>
  </si>
  <si>
    <t>2024-01-06 05:42</t>
  </si>
  <si>
    <t>Ricky Palmer</t>
  </si>
  <si>
    <t>harrisonrebekah@example.org</t>
  </si>
  <si>
    <t>ORD-202430760</t>
  </si>
  <si>
    <t>2024-09-24 23:16</t>
  </si>
  <si>
    <t>Michael Webster</t>
  </si>
  <si>
    <t>morajamie@example.org</t>
  </si>
  <si>
    <t>ORD-202425045</t>
  </si>
  <si>
    <t>2024-04-21 00:20</t>
  </si>
  <si>
    <t>Gregory Davis</t>
  </si>
  <si>
    <t>stacy55@example.org</t>
  </si>
  <si>
    <t>ORD-202422054</t>
  </si>
  <si>
    <t>2024-06-27 22:35</t>
  </si>
  <si>
    <t>Phyllis Austin</t>
  </si>
  <si>
    <t>garciabelinda@example.org</t>
  </si>
  <si>
    <t>ORD-202446842</t>
  </si>
  <si>
    <t>2024-07-20 03:37</t>
  </si>
  <si>
    <t>Michelle Brandt</t>
  </si>
  <si>
    <t>rachelmedina@example.net</t>
  </si>
  <si>
    <t>ORD-202451779</t>
  </si>
  <si>
    <t>2024-11-14 03:38</t>
  </si>
  <si>
    <t>Daniel Gordon</t>
  </si>
  <si>
    <t>lrichardson@example.org</t>
  </si>
  <si>
    <t>ORD-202414424</t>
  </si>
  <si>
    <t>2024-09-18 08:37</t>
  </si>
  <si>
    <t>Tyler White</t>
  </si>
  <si>
    <t>tina63@example.net</t>
  </si>
  <si>
    <t>ORD-202433580</t>
  </si>
  <si>
    <t>2024-06-14 13:50</t>
  </si>
  <si>
    <t>Brian Rollins</t>
  </si>
  <si>
    <t>owensapril@example.com</t>
  </si>
  <si>
    <t>ORD-202411262</t>
  </si>
  <si>
    <t>2024-06-12 22:00</t>
  </si>
  <si>
    <t>Michele Hawkins</t>
  </si>
  <si>
    <t>millertristan@example.com</t>
  </si>
  <si>
    <t>ORD-202488879</t>
  </si>
  <si>
    <t>2024-04-18 16:13</t>
  </si>
  <si>
    <t>Kyle Collins</t>
  </si>
  <si>
    <t>aperez@example.com</t>
  </si>
  <si>
    <t>ORD-202451958</t>
  </si>
  <si>
    <t>2024-04-11 06:03</t>
  </si>
  <si>
    <t>Mrs. Shannon Jacobson</t>
  </si>
  <si>
    <t>xcrosby@example.org</t>
  </si>
  <si>
    <t>ORD-202488830</t>
  </si>
  <si>
    <t>2024-06-16 18:24</t>
  </si>
  <si>
    <t>Michael Powers</t>
  </si>
  <si>
    <t>qkim@example.net</t>
  </si>
  <si>
    <t>ORD-202462797</t>
  </si>
  <si>
    <t>2024-01-19 17:58</t>
  </si>
  <si>
    <t>Charles Morales</t>
  </si>
  <si>
    <t>figueroapatricia@example.org</t>
  </si>
  <si>
    <t>ORD-202446002</t>
  </si>
  <si>
    <t>2024-06-11 11:25</t>
  </si>
  <si>
    <t>William Morgan</t>
  </si>
  <si>
    <t>bmartinez@example.net</t>
  </si>
  <si>
    <t>ORD-202494029</t>
  </si>
  <si>
    <t>2024-03-03 11:39</t>
  </si>
  <si>
    <t>Dr. Ralph Wheeler DDS</t>
  </si>
  <si>
    <t>qkelly@example.net</t>
  </si>
  <si>
    <t>ORD-202439667</t>
  </si>
  <si>
    <t>2024-03-28 02:12</t>
  </si>
  <si>
    <t>Victoria Dixon</t>
  </si>
  <si>
    <t>katrinarodriguez@example.com</t>
  </si>
  <si>
    <t>ORD-202449883</t>
  </si>
  <si>
    <t>2024-02-08 08:21</t>
  </si>
  <si>
    <t>David Dunlap Jr.</t>
  </si>
  <si>
    <t>greertyrone@example.org</t>
  </si>
  <si>
    <t>ORD-202451855</t>
  </si>
  <si>
    <t>2024-03-16 18:56</t>
  </si>
  <si>
    <t>Janet Shelton</t>
  </si>
  <si>
    <t>kevinhanson@example.org</t>
  </si>
  <si>
    <t>ORD-202452193</t>
  </si>
  <si>
    <t>2024-09-04 07:05</t>
  </si>
  <si>
    <t>Kelly Vasquez</t>
  </si>
  <si>
    <t>qharris@example.com</t>
  </si>
  <si>
    <t>ORD-202474828</t>
  </si>
  <si>
    <t>2024-01-31 06:00</t>
  </si>
  <si>
    <t>Dennis Cooper PhD</t>
  </si>
  <si>
    <t>cisnerosanthony@example.com</t>
  </si>
  <si>
    <t>ORD-202450871</t>
  </si>
  <si>
    <t>2024-12-28 14:41</t>
  </si>
  <si>
    <t>Barbara Cole</t>
  </si>
  <si>
    <t>cramos@example.org</t>
  </si>
  <si>
    <t>ORD-202462455</t>
  </si>
  <si>
    <t>2024-04-06 02:17</t>
  </si>
  <si>
    <t>Matthew Chan</t>
  </si>
  <si>
    <t>travistaylor@example.net</t>
  </si>
  <si>
    <t>ORD-202424047</t>
  </si>
  <si>
    <t>2024-02-26 07:01</t>
  </si>
  <si>
    <t>Phillip Carroll</t>
  </si>
  <si>
    <t>rkeller@example.net</t>
  </si>
  <si>
    <t>ORD-202482129</t>
  </si>
  <si>
    <t>2024-02-13 11:27</t>
  </si>
  <si>
    <t>Karen Dickerson</t>
  </si>
  <si>
    <t>myerstroy@example.com</t>
  </si>
  <si>
    <t>ORD-202458467</t>
  </si>
  <si>
    <t>2024-02-20 01:41</t>
  </si>
  <si>
    <t>Heather Levine</t>
  </si>
  <si>
    <t>bryan90@example.org</t>
  </si>
  <si>
    <t>ORD-202477976</t>
  </si>
  <si>
    <t>2024-08-09 03:43</t>
  </si>
  <si>
    <t>Hannah Harmon</t>
  </si>
  <si>
    <t>hubbardcolleen@example.com</t>
  </si>
  <si>
    <t>ORD-202479747</t>
  </si>
  <si>
    <t>2024-02-21 08:14</t>
  </si>
  <si>
    <t>Gregory Howard</t>
  </si>
  <si>
    <t>brian33@example.org</t>
  </si>
  <si>
    <t>ORD-202432417</t>
  </si>
  <si>
    <t>2024-04-14 11:40</t>
  </si>
  <si>
    <t>Leslie Lozano</t>
  </si>
  <si>
    <t>meltondanny@example.org</t>
  </si>
  <si>
    <t>ORD-202432312</t>
  </si>
  <si>
    <t>2024-06-10 21:04</t>
  </si>
  <si>
    <t>Gabriel Murray</t>
  </si>
  <si>
    <t>abradley@example.com</t>
  </si>
  <si>
    <t>ORD-202412729</t>
  </si>
  <si>
    <t>2024-03-31 08:56</t>
  </si>
  <si>
    <t>nicholas65@example.net</t>
  </si>
  <si>
    <t>ORD-202471940</t>
  </si>
  <si>
    <t>2024-02-26 01:52</t>
  </si>
  <si>
    <t>John Vazquez</t>
  </si>
  <si>
    <t>matthewshaw@example.net</t>
  </si>
  <si>
    <t>ORD-202423106</t>
  </si>
  <si>
    <t>2024-06-04 23:21</t>
  </si>
  <si>
    <t>Lucas Cox</t>
  </si>
  <si>
    <t>ORD-202470129</t>
  </si>
  <si>
    <t>2024-01-07 11:19</t>
  </si>
  <si>
    <t>Kimberly Mitchell</t>
  </si>
  <si>
    <t>evansashley@example.org</t>
  </si>
  <si>
    <t>ORD-202438869</t>
  </si>
  <si>
    <t>2024-12-03 04:22</t>
  </si>
  <si>
    <t>Tina Robbins</t>
  </si>
  <si>
    <t>vargasjoshua@example.net</t>
  </si>
  <si>
    <t>ORD-202459516</t>
  </si>
  <si>
    <t>2024-11-23 03:17</t>
  </si>
  <si>
    <t>Karen Clark</t>
  </si>
  <si>
    <t>pearsonkevin@example.com</t>
  </si>
  <si>
    <t>ORD-202446208</t>
  </si>
  <si>
    <t>2024-06-07 06:02</t>
  </si>
  <si>
    <t>Joshua Gonzalez</t>
  </si>
  <si>
    <t>gking@example.com</t>
  </si>
  <si>
    <t>ORD-202447802</t>
  </si>
  <si>
    <t>2024-02-26 00:31</t>
  </si>
  <si>
    <t>Kimberly Ibarra</t>
  </si>
  <si>
    <t>barbaralewis@example.net</t>
  </si>
  <si>
    <t>ORD-202447782</t>
  </si>
  <si>
    <t>2024-02-03 09:00</t>
  </si>
  <si>
    <t>Debra Little</t>
  </si>
  <si>
    <t>umichael@example.net</t>
  </si>
  <si>
    <t>ORD-202410667</t>
  </si>
  <si>
    <t>2024-08-08 11:42</t>
  </si>
  <si>
    <t>Curtis Ford</t>
  </si>
  <si>
    <t>edwardjennings@example.com</t>
  </si>
  <si>
    <t>ORD-202428696</t>
  </si>
  <si>
    <t>2024-04-10 13:37</t>
  </si>
  <si>
    <t>Jennifer Dalton</t>
  </si>
  <si>
    <t>waltersmeghan@example.com</t>
  </si>
  <si>
    <t>ORD-202422863</t>
  </si>
  <si>
    <t>2024-05-13 09:38</t>
  </si>
  <si>
    <t>Maria Scott</t>
  </si>
  <si>
    <t>richardwilson@example.org</t>
  </si>
  <si>
    <t>ORD-202427785</t>
  </si>
  <si>
    <t>2024-08-01 17:12</t>
  </si>
  <si>
    <t>Robert Collins</t>
  </si>
  <si>
    <t>bcastro@example.com</t>
  </si>
  <si>
    <t>ORD-202422588</t>
  </si>
  <si>
    <t>2024-03-11 16:28</t>
  </si>
  <si>
    <t>Amanda Moore</t>
  </si>
  <si>
    <t>anthonyclarke@example.com</t>
  </si>
  <si>
    <t>ORD-202413627</t>
  </si>
  <si>
    <t>2024-10-13 00:49</t>
  </si>
  <si>
    <t>Casey Phelps</t>
  </si>
  <si>
    <t>dcasey@example.org</t>
  </si>
  <si>
    <t>ORD-202417017</t>
  </si>
  <si>
    <t>2024-07-20 04:25</t>
  </si>
  <si>
    <t>Edward Brown</t>
  </si>
  <si>
    <t>qmosley@example.net</t>
  </si>
  <si>
    <t>ORD-202453710</t>
  </si>
  <si>
    <t>2024-10-31 03:52</t>
  </si>
  <si>
    <t>Jennifer Larsen</t>
  </si>
  <si>
    <t>joelduncan@example.net</t>
  </si>
  <si>
    <t>ORD-202483668</t>
  </si>
  <si>
    <t>2024-09-10 04:14</t>
  </si>
  <si>
    <t>Kelly Calderon</t>
  </si>
  <si>
    <t>tyler13@example.net</t>
  </si>
  <si>
    <t>ORD-202410004</t>
  </si>
  <si>
    <t>2024-03-19 19:56</t>
  </si>
  <si>
    <t>Robert Murphy</t>
  </si>
  <si>
    <t>vshaffer@example.org</t>
  </si>
  <si>
    <t>ORD-202461211</t>
  </si>
  <si>
    <t>2024-01-29 03:19</t>
  </si>
  <si>
    <t>Claudia Rodriguez</t>
  </si>
  <si>
    <t>taragonzales@example.com</t>
  </si>
  <si>
    <t>ORD-202466669</t>
  </si>
  <si>
    <t>2024-03-15 20:01</t>
  </si>
  <si>
    <t>Amy Ferguson</t>
  </si>
  <si>
    <t>stewartrodney@example.net</t>
  </si>
  <si>
    <t>ORD-202447938</t>
  </si>
  <si>
    <t>2024-12-07 03:37</t>
  </si>
  <si>
    <t>Donald Mueller</t>
  </si>
  <si>
    <t>michaelbaldwin@example.com</t>
  </si>
  <si>
    <t>ORD-202413666</t>
  </si>
  <si>
    <t>2024-05-25 14:07</t>
  </si>
  <si>
    <t>Walter Obrien</t>
  </si>
  <si>
    <t>vazquezkristina@example.org</t>
  </si>
  <si>
    <t>ORD-202428258</t>
  </si>
  <si>
    <t>2024-08-27 23:29</t>
  </si>
  <si>
    <t>James Fowler</t>
  </si>
  <si>
    <t>rebecca18@example.org</t>
  </si>
  <si>
    <t>ORD-202477245</t>
  </si>
  <si>
    <t>2024-02-02 05:41</t>
  </si>
  <si>
    <t>Jasmine Browning</t>
  </si>
  <si>
    <t>qpennington@example.com</t>
  </si>
  <si>
    <t>ORD-202494559</t>
  </si>
  <si>
    <t>2024-09-04 12:30</t>
  </si>
  <si>
    <t>Rodney Young</t>
  </si>
  <si>
    <t>michelemartin@example.com</t>
  </si>
  <si>
    <t>ORD-202486116</t>
  </si>
  <si>
    <t>2024-06-27 18:39</t>
  </si>
  <si>
    <t>Sherry Wang</t>
  </si>
  <si>
    <t>rmccormick@example.org</t>
  </si>
  <si>
    <t>ORD-202499040</t>
  </si>
  <si>
    <t>2024-08-31 10:48</t>
  </si>
  <si>
    <t>Teresa Ruiz</t>
  </si>
  <si>
    <t>vhouse@example.net</t>
  </si>
  <si>
    <t>ORD-202418116</t>
  </si>
  <si>
    <t>2024-11-09 08:07</t>
  </si>
  <si>
    <t>Thomas Garcia</t>
  </si>
  <si>
    <t>hollyhunter@example.com</t>
  </si>
  <si>
    <t>ORD-202424111</t>
  </si>
  <si>
    <t>2024-12-23 14:24</t>
  </si>
  <si>
    <t>Nicholas Kelley</t>
  </si>
  <si>
    <t>shawn00@example.net</t>
  </si>
  <si>
    <t>ORD-202436370</t>
  </si>
  <si>
    <t>2024-03-23 13:52</t>
  </si>
  <si>
    <t>Lorraine Gibbs</t>
  </si>
  <si>
    <t>aarongonzalez@example.com</t>
  </si>
  <si>
    <t>ORD-202457128</t>
  </si>
  <si>
    <t>2024-07-27 18:34</t>
  </si>
  <si>
    <t>Bradley Moore</t>
  </si>
  <si>
    <t>melaniejennings@example.com</t>
  </si>
  <si>
    <t>ORD-202475647</t>
  </si>
  <si>
    <t>2024-06-29 11:39</t>
  </si>
  <si>
    <t>Shane Anderson</t>
  </si>
  <si>
    <t>graceserrano@example.com</t>
  </si>
  <si>
    <t>ORD-202423226</t>
  </si>
  <si>
    <t>2024-03-01 15:14</t>
  </si>
  <si>
    <t>Jason White</t>
  </si>
  <si>
    <t>kduffy@example.org</t>
  </si>
  <si>
    <t>ORD-202418906</t>
  </si>
  <si>
    <t>2024-03-21 09:04</t>
  </si>
  <si>
    <t>Alexander Hansen</t>
  </si>
  <si>
    <t>rebeccamccann@example.org</t>
  </si>
  <si>
    <t>ORD-202481557</t>
  </si>
  <si>
    <t>2024-12-23 03:37</t>
  </si>
  <si>
    <t>Samuel Williams</t>
  </si>
  <si>
    <t>jburke@example.org</t>
  </si>
  <si>
    <t>ORD-202428256</t>
  </si>
  <si>
    <t>2024-04-14 17:52</t>
  </si>
  <si>
    <t>Carolyn Bradley</t>
  </si>
  <si>
    <t>higginsryan@example.com</t>
  </si>
  <si>
    <t>ORD-202464557</t>
  </si>
  <si>
    <t>2024-11-02 23:39</t>
  </si>
  <si>
    <t>Kathleen Walker</t>
  </si>
  <si>
    <t>jamesatkins@example.com</t>
  </si>
  <si>
    <t>ORD-202475089</t>
  </si>
  <si>
    <t>2024-09-16 07:41</t>
  </si>
  <si>
    <t>Johnny Anderson</t>
  </si>
  <si>
    <t>carolcarney@example.com</t>
  </si>
  <si>
    <t>ORD-202480016</t>
  </si>
  <si>
    <t>2024-11-07 12:43</t>
  </si>
  <si>
    <t>Chelsey White</t>
  </si>
  <si>
    <t>anthonycherry@example.org</t>
  </si>
  <si>
    <t>ORD-202482029</t>
  </si>
  <si>
    <t>2024-03-11 03:28</t>
  </si>
  <si>
    <t>Susan Wood</t>
  </si>
  <si>
    <t>emiller@example.org</t>
  </si>
  <si>
    <t>ORD-202422057</t>
  </si>
  <si>
    <t>2024-10-28 00:14</t>
  </si>
  <si>
    <t>Valerie Sanders</t>
  </si>
  <si>
    <t>jennifererickson@example.net</t>
  </si>
  <si>
    <t>ORD-202417425</t>
  </si>
  <si>
    <t>2024-03-05 14:11</t>
  </si>
  <si>
    <t>Angel Hawkins</t>
  </si>
  <si>
    <t>cookjimmy@example.com</t>
  </si>
  <si>
    <t>ORD-202472744</t>
  </si>
  <si>
    <t>2024-12-02 03:42</t>
  </si>
  <si>
    <t>Teresa Coffey DDS</t>
  </si>
  <si>
    <t>smithwilliam@example.com</t>
  </si>
  <si>
    <t>ORD-202449677</t>
  </si>
  <si>
    <t>2024-07-06 17:18</t>
  </si>
  <si>
    <t>James Wood</t>
  </si>
  <si>
    <t>carpenterjorge@example.net</t>
  </si>
  <si>
    <t>ORD-202463848</t>
  </si>
  <si>
    <t>2024-12-27 19:31</t>
  </si>
  <si>
    <t>Gerald Mcdonald Jr.</t>
  </si>
  <si>
    <t>hthomas@example.com</t>
  </si>
  <si>
    <t>ORD-202426088</t>
  </si>
  <si>
    <t>2024-07-09 23:52</t>
  </si>
  <si>
    <t>Carl Savage</t>
  </si>
  <si>
    <t>julie64@example.com</t>
  </si>
  <si>
    <t>ORD-202445428</t>
  </si>
  <si>
    <t>2024-05-22 18:24</t>
  </si>
  <si>
    <t>Pam Baker</t>
  </si>
  <si>
    <t>ryan25@example.net</t>
  </si>
  <si>
    <t>ORD-202460418</t>
  </si>
  <si>
    <t>2024-08-15 01:14</t>
  </si>
  <si>
    <t>Pamela Hernandez DVM</t>
  </si>
  <si>
    <t>jbrown@example.org</t>
  </si>
  <si>
    <t>ORD-202413406</t>
  </si>
  <si>
    <t>2024-11-07 10:59</t>
  </si>
  <si>
    <t>Andrew Green</t>
  </si>
  <si>
    <t>fgraham@example.org</t>
  </si>
  <si>
    <t>ORD-202424314</t>
  </si>
  <si>
    <t>2024-10-10 12:46</t>
  </si>
  <si>
    <t>William Hoffman</t>
  </si>
  <si>
    <t>uvasquez@example.org</t>
  </si>
  <si>
    <t>ORD-202471254</t>
  </si>
  <si>
    <t>2024-05-01 04:58</t>
  </si>
  <si>
    <t>Brandon Oneill</t>
  </si>
  <si>
    <t>marybrady@example.com</t>
  </si>
  <si>
    <t>ORD-202415060</t>
  </si>
  <si>
    <t>2024-11-11 08:23</t>
  </si>
  <si>
    <t>Mary Lewis</t>
  </si>
  <si>
    <t>foxashley@example.com</t>
  </si>
  <si>
    <t>ORD-202468170</t>
  </si>
  <si>
    <t>2024-08-24 00:28</t>
  </si>
  <si>
    <t>Danielle Jimenez</t>
  </si>
  <si>
    <t>clayanthony@example.net</t>
  </si>
  <si>
    <t>ORD-202485965</t>
  </si>
  <si>
    <t>2024-02-10 08:57</t>
  </si>
  <si>
    <t>Mrs. Jacqueline Hickman</t>
  </si>
  <si>
    <t>hooderic@example.org</t>
  </si>
  <si>
    <t>ORD-202474871</t>
  </si>
  <si>
    <t>2024-03-06 07:40</t>
  </si>
  <si>
    <t>Michael Castillo</t>
  </si>
  <si>
    <t>brooke05@example.org</t>
  </si>
  <si>
    <t>ORD-202486007</t>
  </si>
  <si>
    <t>2024-06-11 01:35</t>
  </si>
  <si>
    <t>Tiffany Nguyen</t>
  </si>
  <si>
    <t>jasonwilliams@example.net</t>
  </si>
  <si>
    <t>ORD-202488719</t>
  </si>
  <si>
    <t>2024-04-30 11:06</t>
  </si>
  <si>
    <t>Robert Manning</t>
  </si>
  <si>
    <t>ORD-202499262</t>
  </si>
  <si>
    <t>2024-07-31 02:41</t>
  </si>
  <si>
    <t>Randy Ross</t>
  </si>
  <si>
    <t>phelpsfrank@example.com</t>
  </si>
  <si>
    <t>ORD-202471693</t>
  </si>
  <si>
    <t>2024-05-30 19:01</t>
  </si>
  <si>
    <t>Paul Valdez</t>
  </si>
  <si>
    <t>evanslaurie@example.net</t>
  </si>
  <si>
    <t>ORD-202451039</t>
  </si>
  <si>
    <t>2024-09-18 22:49</t>
  </si>
  <si>
    <t>Emily Cohen</t>
  </si>
  <si>
    <t>michaeldavis@example.com</t>
  </si>
  <si>
    <t>ORD-202495093</t>
  </si>
  <si>
    <t>2024-02-10 02:59</t>
  </si>
  <si>
    <t>Katherine Mcclure</t>
  </si>
  <si>
    <t>madams@example.com</t>
  </si>
  <si>
    <t>ORD-202479174</t>
  </si>
  <si>
    <t>2024-01-27 19:30</t>
  </si>
  <si>
    <t>Jay Richardson</t>
  </si>
  <si>
    <t>ryansimmons@example.org</t>
  </si>
  <si>
    <t>ORD-202441860</t>
  </si>
  <si>
    <t>2024-07-04 07:29</t>
  </si>
  <si>
    <t>Valerie Rhodes</t>
  </si>
  <si>
    <t>sarahrose@example.net</t>
  </si>
  <si>
    <t>ORD-202457486</t>
  </si>
  <si>
    <t>2024-11-30 15:38</t>
  </si>
  <si>
    <t>Donna Kim</t>
  </si>
  <si>
    <t>ievans@example.net</t>
  </si>
  <si>
    <t>ORD-202489370</t>
  </si>
  <si>
    <t>2024-05-13 09:21</t>
  </si>
  <si>
    <t>Sarah Mills</t>
  </si>
  <si>
    <t>ashley81@example.org</t>
  </si>
  <si>
    <t>ORD-202469515</t>
  </si>
  <si>
    <t>2024-01-08 05:07</t>
  </si>
  <si>
    <t>Kayla Gutierrez</t>
  </si>
  <si>
    <t>kguerrero@example.com</t>
  </si>
  <si>
    <t>ORD-202466547</t>
  </si>
  <si>
    <t>2024-01-13 22:10</t>
  </si>
  <si>
    <t>Kevin Mack</t>
  </si>
  <si>
    <t>wilsondorothy@example.org</t>
  </si>
  <si>
    <t>ORD-202482999</t>
  </si>
  <si>
    <t>2024-05-03 22:18</t>
  </si>
  <si>
    <t>Sarah Williams</t>
  </si>
  <si>
    <t>tmcdowell@example.com</t>
  </si>
  <si>
    <t>ORD-202468837</t>
  </si>
  <si>
    <t>2024-07-28 20:28</t>
  </si>
  <si>
    <t>Jordan Santiago</t>
  </si>
  <si>
    <t>matthew23@example.org</t>
  </si>
  <si>
    <t>ORD-202487798</t>
  </si>
  <si>
    <t>2024-10-30 11:43</t>
  </si>
  <si>
    <t>William Green</t>
  </si>
  <si>
    <t>hamiltonandrew@example.com</t>
  </si>
  <si>
    <t>Southeast Asia</t>
  </si>
  <si>
    <t>ID</t>
  </si>
  <si>
    <t>MY</t>
  </si>
  <si>
    <t>SG</t>
  </si>
  <si>
    <t>TH</t>
  </si>
  <si>
    <t>VN</t>
  </si>
  <si>
    <t>PH</t>
  </si>
  <si>
    <t>East Asia</t>
  </si>
  <si>
    <t>JP</t>
  </si>
  <si>
    <t>KR</t>
  </si>
  <si>
    <t>Oceania</t>
  </si>
  <si>
    <t>AU</t>
  </si>
  <si>
    <t>South Asia</t>
  </si>
  <si>
    <t>IN</t>
  </si>
  <si>
    <t>Q1_Target</t>
  </si>
  <si>
    <t>Q2_Target</t>
  </si>
  <si>
    <t>Q3_Target</t>
  </si>
  <si>
    <t>Q4_Target</t>
  </si>
  <si>
    <t>Cost_Per_Unit</t>
  </si>
  <si>
    <t>LANGKAH</t>
  </si>
  <si>
    <t>1. Sheet RAW_DATA = data mentah (kolom kosong diisi pakai rumus)</t>
  </si>
  <si>
    <t>2. REF_Country → sumber VLOOKUP (Region, Country_Code, Tax_Rate)</t>
  </si>
  <si>
    <t>3. REF_Target  → sumber HLOOKUP (Target Q1-Q4)</t>
  </si>
  <si>
    <t>4. REF_Cost    → sumber VLOOKUP buat Total_Cost</t>
  </si>
  <si>
    <t>5. Buat sheet ANALYSIS + PIVOT</t>
  </si>
  <si>
    <t>6. Kerjakan task di dokumen instruksi</t>
  </si>
  <si>
    <t>Row Labels</t>
  </si>
  <si>
    <t>Grand Total</t>
  </si>
  <si>
    <t>Sum of Net_Sales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</si>
  <si>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</si>
  <si>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</si>
  <si>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</si>
  <si>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</si>
  <si>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</si>
  <si>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</si>
  <si>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</si>
  <si>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</si>
  <si>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</si>
  <si>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</si>
  <si>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</si>
  <si>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</si>
  <si>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</si>
  <si>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</si>
  <si>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Sum of Quantity</t>
  </si>
  <si>
    <t>Average of Discount_Rate</t>
  </si>
  <si>
    <t>Global Retail Performance Dashboard 2024</t>
  </si>
  <si>
    <t>Net Sales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</si>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</sst>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0" fillId="0" borderId="0" xfId="0" applyFill="1" applyBorder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[Global_Retail_Sales_Raw.xlsx]Pivot_1!PivotTable7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Pivot_1!$A$4:$A$14</c:f>
              <c:strCache>
                <c:ptCount val="10"/>
                <c:pt idx="0">
                  <c:v>Australia</c:v>
                </c:pt>
                <c:pt idx="1">
                  <c:v>India</c:v>
                </c:pt>
                <c:pt idx="2">
                  <c:v>Indonesia</c:v>
                </c:pt>
                <c:pt idx="3">
                  <c:v>Japan</c:v>
                </c:pt>
                <c:pt idx="4">
                  <c:v>Malaysia</c:v>
                </c:pt>
                <c:pt idx="5">
                  <c:v>Philippines</c:v>
                </c:pt>
                <c:pt idx="6">
                  <c:v>Singapore</c:v>
                </c:pt>
                <c:pt idx="7">
                  <c:v>South Korea</c:v>
                </c:pt>
                <c:pt idx="8">
                  <c:v>Thailand</c:v>
                </c:pt>
                <c:pt idx="9">
                  <c:v>Vietnam</c:v>
                </c:pt>
              </c:strCache>
            </c:strRef>
          </c:cat>
          <c:val>
            <c:numRef>
              <c:f>Pivot_1!$B$4:$B$14</c:f>
              <c:numCache>
                <c:formatCode>General</c:formatCode>
                <c:ptCount val="10"/>
                <c:pt idx="0">
                  <c:v>343314.4755</c:v>
                </c:pt>
                <c:pt idx="1">
                  <c:v>374220.47050000005</c:v>
                </c:pt>
                <c:pt idx="2">
                  <c:v>384871.13700000005</c:v>
                </c:pt>
                <c:pt idx="3">
                  <c:v>462404.77650000004</c:v>
                </c:pt>
                <c:pt idx="4">
                  <c:v>362018.07200000022</c:v>
                </c:pt>
                <c:pt idx="5">
                  <c:v>339717.75050000014</c:v>
                </c:pt>
                <c:pt idx="6">
                  <c:v>303589.77600000001</c:v>
                </c:pt>
                <c:pt idx="7">
                  <c:v>480979.85099999985</c:v>
                </c:pt>
                <c:pt idx="8">
                  <c:v>392704.79899999994</c:v>
                </c:pt>
                <c:pt idx="9">
                  <c:v>452884.45150000014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1-48CD-894E-CD6FF22B0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2962863"/>
        <c:axId val="1672961615"/>
      </c:barChart>
      <c:catAx>
        <c:axId val="167296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961615"/>
        <c:crosses val="autoZero"/>
        <c:auto val="1"/>
        <c:lblAlgn val="ctr"/>
        <c:lblOffset val="100"/>
        <c:noMultiLvlLbl val="0"/>
      </c:catAx>
      <c:valAx>
        <c:axId val="167296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96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[Global_Retail_Sales_Raw.xlsx]Pivot_2!PivotTable8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Pivot_2!$B$4:$B$16</c:f>
              <c:numCache>
                <c:formatCode>General</c:formatCode>
                <c:ptCount val="12"/>
                <c:pt idx="0">
                  <c:v>346159.76800000021</c:v>
                </c:pt>
                <c:pt idx="1">
                  <c:v>295062.40550000005</c:v>
                </c:pt>
                <c:pt idx="2">
                  <c:v>320397.62650000019</c:v>
                </c:pt>
                <c:pt idx="3">
                  <c:v>374506.6129999999</c:v>
                </c:pt>
                <c:pt idx="4">
                  <c:v>313658.78149999998</c:v>
                </c:pt>
                <c:pt idx="5">
                  <c:v>305800.72599999997</c:v>
                </c:pt>
                <c:pt idx="6">
                  <c:v>346638.43449999992</c:v>
                </c:pt>
                <c:pt idx="7">
                  <c:v>330882.5425000001</c:v>
                </c:pt>
                <c:pt idx="8">
                  <c:v>328789.65200000012</c:v>
                </c:pt>
                <c:pt idx="9">
                  <c:v>261367.73599999998</c:v>
                </c:pt>
                <c:pt idx="10">
                  <c:v>338561.63750000007</c:v>
                </c:pt>
                <c:pt idx="11">
                  <c:v>334879.63649999996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2-4CED-9133-1403A43FC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632669071"/>
        <c:axId val="1632664911"/>
      </c:lineChart>
      <c:catAx>
        <c:axId val="163266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664911"/>
        <c:crosses val="autoZero"/>
        <c:auto val="1"/>
        <c:lblAlgn val="ctr"/>
        <c:lblOffset val="100"/>
        <c:noMultiLvlLbl val="0"/>
      </c:catAx>
      <c:valAx>
        <c:axId val="16326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Net_Sales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66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[Global_Retail_Sales_Raw.xlsx]Pivot_3!PivotTable9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Pivot_3!$B$3:$B$4</c:f>
              <c:strCache>
                <c:ptCount val="1"/>
                <c:pt idx="0">
                  <c:v>Distributor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Pivot_3!$A$5:$A$10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Pivot_3!$B$5:$B$10</c:f>
              <c:numCache>
                <c:formatCode>General</c:formatCode>
                <c:ptCount val="5"/>
                <c:pt idx="0">
                  <c:v>199124.56200000003</c:v>
                </c:pt>
                <c:pt idx="1">
                  <c:v>202621.24700000003</c:v>
                </c:pt>
                <c:pt idx="2">
                  <c:v>221851.50099999999</c:v>
                </c:pt>
                <c:pt idx="3">
                  <c:v>153175.22549999997</c:v>
                </c:pt>
                <c:pt idx="4">
                  <c:v>157340.72299999997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8-4960-93CC-19E173EFB692}"/>
            </c:ext>
          </c:extLst>
        </c:ser>
        <c:ser>
          <c:idx val="1"/>
          <c:order val="1"/>
          <c:tx>
            <c:strRef>
              <c:f>Pivot_3!$C$3:$C$4</c:f>
              <c:strCache>
                <c:ptCount val="1"/>
                <c:pt idx="0">
                  <c:v>Marketplace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Pivot_3!$A$5:$A$10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Pivot_3!$C$5:$C$10</c:f>
              <c:numCache>
                <c:formatCode>General</c:formatCode>
                <c:ptCount val="5"/>
                <c:pt idx="0">
                  <c:v>198298.45199999996</c:v>
                </c:pt>
                <c:pt idx="1">
                  <c:v>154935.26450000002</c:v>
                </c:pt>
                <c:pt idx="2">
                  <c:v>183327.60349999988</c:v>
                </c:pt>
                <c:pt idx="3">
                  <c:v>245208.94700000001</c:v>
                </c:pt>
                <c:pt idx="4">
                  <c:v>193380.9595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8-4960-93CC-19E173EFB692}"/>
            </c:ext>
          </c:extLst>
        </c:ser>
        <c:ser>
          <c:idx val="2"/>
          <c:order val="2"/>
          <c:tx>
            <c:strRef>
              <c:f>Pivot_3!$D$3:$D$4</c:f>
              <c:strCache>
                <c:ptCount val="1"/>
                <c:pt idx="0">
                  <c:v>Online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Pivot_3!$A$5:$A$10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Pivot_3!$D$5:$D$10</c:f>
              <c:numCache>
                <c:formatCode>General</c:formatCode>
                <c:ptCount val="5"/>
                <c:pt idx="0">
                  <c:v>238495.01149999996</c:v>
                </c:pt>
                <c:pt idx="1">
                  <c:v>230138.01150000005</c:v>
                </c:pt>
                <c:pt idx="2">
                  <c:v>167735.88450000001</c:v>
                </c:pt>
                <c:pt idx="3">
                  <c:v>197257.37500000003</c:v>
                </c:pt>
                <c:pt idx="4">
                  <c:v>213661.505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8-4960-93CC-19E173EFB692}"/>
            </c:ext>
          </c:extLst>
        </c:ser>
        <c:ser>
          <c:idx val="3"/>
          <c:order val="3"/>
          <c:tx>
            <c:strRef>
              <c:f>Pivot_3!$E$3:$E$4</c:f>
              <c:strCache>
                <c:ptCount val="1"/>
                <c:pt idx="0">
                  <c:v>Retail Store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Pivot_3!$A$5:$A$10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Pivot_3!$E$5:$E$10</c:f>
              <c:numCache>
                <c:formatCode>General</c:formatCode>
                <c:ptCount val="5"/>
                <c:pt idx="0">
                  <c:v>110307.33100000001</c:v>
                </c:pt>
                <c:pt idx="1">
                  <c:v>262718.76299999998</c:v>
                </c:pt>
                <c:pt idx="2">
                  <c:v>186526.46999999994</c:v>
                </c:pt>
                <c:pt idx="3">
                  <c:v>176861.96699999998</c:v>
                </c:pt>
                <c:pt idx="4">
                  <c:v>203738.75600000008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A8-4960-93CC-19E173EFB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[Global_Retail_Sales_Raw.xlsx]pivot_4!PivotTable10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 5</a:t>
            </a:r>
            <a:r>
              <a:rPr lang="en-ID" baseline="0"/>
              <a:t> </a:t>
            </a:r>
            <a:r>
              <a:rPr lang="en-ID"/>
              <a:t>Products by Net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pivot_4!$B$3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pivot_4!$A$4:$A$9</c:f>
              <c:strCache>
                <c:ptCount val="5"/>
                <c:pt idx="0">
                  <c:v>Smartphone</c:v>
                </c:pt>
                <c:pt idx="1">
                  <c:v>Chair</c:v>
                </c:pt>
                <c:pt idx="2">
                  <c:v>Face Wash</c:v>
                </c:pt>
                <c:pt idx="3">
                  <c:v>Headphone</c:v>
                </c:pt>
                <c:pt idx="4">
                  <c:v>Lipstick</c:v>
                </c:pt>
              </c:strCache>
            </c:strRef>
          </c:cat>
          <c:val>
            <c:numRef>
              <c:f>pivot_4!$B$4:$B$9</c:f>
              <c:numCache>
                <c:formatCode>General</c:formatCode>
                <c:ptCount val="5"/>
                <c:pt idx="0">
                  <c:v>307</c:v>
                </c:pt>
                <c:pt idx="1">
                  <c:v>297</c:v>
                </c:pt>
                <c:pt idx="2">
                  <c:v>269</c:v>
                </c:pt>
                <c:pt idx="3">
                  <c:v>259</c:v>
                </c:pt>
                <c:pt idx="4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F-4A59-8C2B-A23E6E38D1FD}"/>
            </c:ext>
          </c:extLst>
        </c:ser>
        <c:ser>
          <c:idx val="1"/>
          <c:order val="1"/>
          <c:tx>
            <c:strRef>
              <c:f>pivot_4!$C$3</c:f>
              <c:strCache>
                <c:ptCount val="1"/>
                <c:pt idx="0">
                  <c:v>Sum of Net_Sales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pivot_4!$A$4:$A$9</c:f>
              <c:strCache>
                <c:ptCount val="5"/>
                <c:pt idx="0">
                  <c:v>Smartphone</c:v>
                </c:pt>
                <c:pt idx="1">
                  <c:v>Chair</c:v>
                </c:pt>
                <c:pt idx="2">
                  <c:v>Face Wash</c:v>
                </c:pt>
                <c:pt idx="3">
                  <c:v>Headphone</c:v>
                </c:pt>
                <c:pt idx="4">
                  <c:v>Lipstick</c:v>
                </c:pt>
              </c:strCache>
            </c:strRef>
          </c:cat>
          <c:val>
            <c:numRef>
              <c:f>pivot_4!$C$4:$C$9</c:f>
              <c:numCache>
                <c:formatCode>General</c:formatCode>
                <c:ptCount val="5"/>
                <c:pt idx="0">
                  <c:v>248515.57600000003</c:v>
                </c:pt>
                <c:pt idx="1">
                  <c:v>217453.79099999994</c:v>
                </c:pt>
                <c:pt idx="2">
                  <c:v>194423.66600000003</c:v>
                </c:pt>
                <c:pt idx="3">
                  <c:v>186949.6875</c:v>
                </c:pt>
                <c:pt idx="4">
                  <c:v>170436.54749999999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F-4A59-8C2B-A23E6E38D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[Global_Retail_Sales_Raw.xlsx]Pivot_5!PivotTable11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Profit Share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Pivot_5!$B$3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Pivot_5!$A$4:$A$8</c:f>
              <c:strCache>
                <c:ptCount val="4"/>
                <c:pt idx="0">
                  <c:v>East Asia</c:v>
                </c:pt>
                <c:pt idx="1">
                  <c:v>Oceania</c:v>
                </c:pt>
                <c:pt idx="2">
                  <c:v>South Asia</c:v>
                </c:pt>
                <c:pt idx="3">
                  <c:v>Southeast Asia</c:v>
                </c:pt>
              </c:strCache>
            </c:strRef>
          </c:cat>
          <c:val>
            <c:numRef>
              <c:f>Pivot_5!$B$4:$B$8</c:f>
              <c:numCache>
                <c:formatCode>General</c:formatCode>
                <c:ptCount val="4"/>
                <c:pt idx="0">
                  <c:v>675174.62750000006</c:v>
                </c:pt>
                <c:pt idx="1">
                  <c:v>251634.47549999991</c:v>
                </c:pt>
                <c:pt idx="2">
                  <c:v>274660.47049999994</c:v>
                </c:pt>
                <c:pt idx="3">
                  <c:v>1561445.9859999993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D-4DAE-B019-6F2BA174D07A}"/>
            </c:ext>
          </c:extLst>
        </c:ser>
        <c:ser>
          <c:idx val="1"/>
          <c:order val="1"/>
          <c:tx>
            <c:strRef>
              <c:f>Pivot_5!$C$3</c:f>
              <c:strCache>
                <c:ptCount val="1"/>
                <c:pt idx="0">
                  <c:v>Average of Discount_Rate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Pivot_5!$A$4:$A$8</c:f>
              <c:strCache>
                <c:ptCount val="4"/>
                <c:pt idx="0">
                  <c:v>East Asia</c:v>
                </c:pt>
                <c:pt idx="1">
                  <c:v>Oceania</c:v>
                </c:pt>
                <c:pt idx="2">
                  <c:v>South Asia</c:v>
                </c:pt>
                <c:pt idx="3">
                  <c:v>Southeast Asia</c:v>
                </c:pt>
              </c:strCache>
            </c:strRef>
          </c:cat>
          <c:val>
            <c:numRef>
              <c:f>Pivot_5!$C$4:$C$8</c:f>
              <c:numCache>
                <c:formatCode>General</c:formatCode>
                <c:ptCount val="4"/>
                <c:pt idx="0">
                  <c:v>7.8110599078340989E-2</c:v>
                </c:pt>
                <c:pt idx="1">
                  <c:v>9.4791666666666663E-2</c:v>
                </c:pt>
                <c:pt idx="2">
                  <c:v>8.4895833333333323E-2</c:v>
                </c:pt>
                <c:pt idx="3">
                  <c:v>8.8578680203045615E-2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D-4DAE-B019-6F2BA174D07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[Global_Retail_Sales_Raw.xlsx]Pivot_2!PivotTable8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Pivot_2!$B$4:$B$16</c:f>
              <c:numCache>
                <c:formatCode>General</c:formatCode>
                <c:ptCount val="12"/>
                <c:pt idx="0">
                  <c:v>346159.76800000021</c:v>
                </c:pt>
                <c:pt idx="1">
                  <c:v>295062.40550000005</c:v>
                </c:pt>
                <c:pt idx="2">
                  <c:v>320397.62650000019</c:v>
                </c:pt>
                <c:pt idx="3">
                  <c:v>374506.6129999999</c:v>
                </c:pt>
                <c:pt idx="4">
                  <c:v>313658.78149999998</c:v>
                </c:pt>
                <c:pt idx="5">
                  <c:v>305800.72599999997</c:v>
                </c:pt>
                <c:pt idx="6">
                  <c:v>346638.43449999992</c:v>
                </c:pt>
                <c:pt idx="7">
                  <c:v>330882.5425000001</c:v>
                </c:pt>
                <c:pt idx="8">
                  <c:v>328789.65200000012</c:v>
                </c:pt>
                <c:pt idx="9">
                  <c:v>261367.73599999998</c:v>
                </c:pt>
                <c:pt idx="10">
                  <c:v>338561.63750000007</c:v>
                </c:pt>
                <c:pt idx="11">
                  <c:v>334879.63649999996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5-446A-BCEA-30F9124F0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632669071"/>
        <c:axId val="1632664911"/>
      </c:lineChart>
      <c:catAx>
        <c:axId val="163266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664911"/>
        <c:crosses val="autoZero"/>
        <c:auto val="1"/>
        <c:lblAlgn val="ctr"/>
        <c:lblOffset val="100"/>
        <c:noMultiLvlLbl val="0"/>
      </c:catAx>
      <c:valAx>
        <c:axId val="16326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Net_Sales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66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[Global_Retail_Sales_Raw.xlsx]Pivot_1!PivotTable7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Pivot_1!$A$4:$A$14</c:f>
              <c:strCache>
                <c:ptCount val="10"/>
                <c:pt idx="0">
                  <c:v>Australia</c:v>
                </c:pt>
                <c:pt idx="1">
                  <c:v>India</c:v>
                </c:pt>
                <c:pt idx="2">
                  <c:v>Indonesia</c:v>
                </c:pt>
                <c:pt idx="3">
                  <c:v>Japan</c:v>
                </c:pt>
                <c:pt idx="4">
                  <c:v>Malaysia</c:v>
                </c:pt>
                <c:pt idx="5">
                  <c:v>Philippines</c:v>
                </c:pt>
                <c:pt idx="6">
                  <c:v>Singapore</c:v>
                </c:pt>
                <c:pt idx="7">
                  <c:v>South Korea</c:v>
                </c:pt>
                <c:pt idx="8">
                  <c:v>Thailand</c:v>
                </c:pt>
                <c:pt idx="9">
                  <c:v>Vietnam</c:v>
                </c:pt>
              </c:strCache>
            </c:strRef>
          </c:cat>
          <c:val>
            <c:numRef>
              <c:f>Pivot_1!$B$4:$B$14</c:f>
              <c:numCache>
                <c:formatCode>General</c:formatCode>
                <c:ptCount val="10"/>
                <c:pt idx="0">
                  <c:v>343314.4755</c:v>
                </c:pt>
                <c:pt idx="1">
                  <c:v>374220.47050000005</c:v>
                </c:pt>
                <c:pt idx="2">
                  <c:v>384871.13700000005</c:v>
                </c:pt>
                <c:pt idx="3">
                  <c:v>462404.77650000004</c:v>
                </c:pt>
                <c:pt idx="4">
                  <c:v>362018.07200000022</c:v>
                </c:pt>
                <c:pt idx="5">
                  <c:v>339717.75050000014</c:v>
                </c:pt>
                <c:pt idx="6">
                  <c:v>303589.77600000001</c:v>
                </c:pt>
                <c:pt idx="7">
                  <c:v>480979.85099999985</c:v>
                </c:pt>
                <c:pt idx="8">
                  <c:v>392704.79899999994</c:v>
                </c:pt>
                <c:pt idx="9">
                  <c:v>452884.45150000014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0-41B5-90B7-DE747753E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2962863"/>
        <c:axId val="1672961615"/>
      </c:barChart>
      <c:catAx>
        <c:axId val="167296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961615"/>
        <c:crosses val="autoZero"/>
        <c:auto val="1"/>
        <c:lblAlgn val="ctr"/>
        <c:lblOffset val="100"/>
        <c:noMultiLvlLbl val="0"/>
      </c:catAx>
      <c:valAx>
        <c:axId val="167296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96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[Global_Retail_Sales_Raw.xlsx]pivot_4!PivotTable10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Top 5 Products by Net Sales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pivot_4!$B$3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7D-44A7-9E33-B9B96D8B8D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7D-44A7-9E33-B9B96D8B8D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D-44A7-9E33-B9B96D8B8D07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87D-44A7-9E33-B9B96D8B8D0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D-287D-44A7-9E33-B9B96D8B8D07}"/>
              </c:ext>
            </c:extLst>
          </c:dPt>
          <c:cat>
            <c:strRef>
              <c:f>pivot_4!$A$4:$A$9</c:f>
              <c:strCache>
                <c:ptCount val="5"/>
                <c:pt idx="0">
                  <c:v>Smartphone</c:v>
                </c:pt>
                <c:pt idx="1">
                  <c:v>Chair</c:v>
                </c:pt>
                <c:pt idx="2">
                  <c:v>Face Wash</c:v>
                </c:pt>
                <c:pt idx="3">
                  <c:v>Headphone</c:v>
                </c:pt>
                <c:pt idx="4">
                  <c:v>Lipstick</c:v>
                </c:pt>
              </c:strCache>
            </c:strRef>
          </c:cat>
          <c:val>
            <c:numRef>
              <c:f>pivot_4!$B$4:$B$9</c:f>
              <c:numCache>
                <c:formatCode>General</c:formatCode>
                <c:ptCount val="5"/>
                <c:pt idx="0">
                  <c:v>307</c:v>
                </c:pt>
                <c:pt idx="1">
                  <c:v>297</c:v>
                </c:pt>
                <c:pt idx="2">
                  <c:v>269</c:v>
                </c:pt>
                <c:pt idx="3">
                  <c:v>259</c:v>
                </c:pt>
                <c:pt idx="4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7D-44A7-9E33-B9B96D8B8D07}"/>
            </c:ext>
          </c:extLst>
        </c:ser>
        <c:ser>
          <c:idx val="1"/>
          <c:order val="1"/>
          <c:tx>
            <c:strRef>
              <c:f>pivot_4!$C$3</c:f>
              <c:strCache>
                <c:ptCount val="1"/>
                <c:pt idx="0">
                  <c:v>Sum of Net_Sales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87D-44A7-9E33-B9B96D8B8D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87D-44A7-9E33-B9B96D8B8D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87D-44A7-9E33-B9B96D8B8D07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87D-44A7-9E33-B9B96D8B8D0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9-287D-44A7-9E33-B9B96D8B8D07}"/>
              </c:ext>
            </c:extLst>
          </c:dPt>
          <c:cat>
            <c:strRef>
              <c:f>pivot_4!$A$4:$A$9</c:f>
              <c:strCache>
                <c:ptCount val="5"/>
                <c:pt idx="0">
                  <c:v>Smartphone</c:v>
                </c:pt>
                <c:pt idx="1">
                  <c:v>Chair</c:v>
                </c:pt>
                <c:pt idx="2">
                  <c:v>Face Wash</c:v>
                </c:pt>
                <c:pt idx="3">
                  <c:v>Headphone</c:v>
                </c:pt>
                <c:pt idx="4">
                  <c:v>Lipstick</c:v>
                </c:pt>
              </c:strCache>
            </c:strRef>
          </c:cat>
          <c:val>
            <c:numRef>
              <c:f>pivot_4!$C$4:$C$9</c:f>
              <c:numCache>
                <c:formatCode>General</c:formatCode>
                <c:ptCount val="5"/>
                <c:pt idx="0">
                  <c:v>248515.57600000003</c:v>
                </c:pt>
                <c:pt idx="1">
                  <c:v>217453.79099999994</c:v>
                </c:pt>
                <c:pt idx="2">
                  <c:v>194423.66600000003</c:v>
                </c:pt>
                <c:pt idx="3">
                  <c:v>186949.6875</c:v>
                </c:pt>
                <c:pt idx="4">
                  <c:v>170436.54749999999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87D-44A7-9E33-B9B96D8B8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[Global_Retail_Sales_Raw.xlsx]Pivot_5!PivotTable11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Profit Share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Pivot_5!$B$3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C6-418A-A757-CE09EF9E28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C6-418A-A757-CE09EF9E28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C6-418A-A757-CE09EF9E28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C6-418A-A757-CE09EF9E28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Pivot_5!$A$4:$A$8</c:f>
              <c:strCache>
                <c:ptCount val="4"/>
                <c:pt idx="0">
                  <c:v>East Asia</c:v>
                </c:pt>
                <c:pt idx="1">
                  <c:v>Oceania</c:v>
                </c:pt>
                <c:pt idx="2">
                  <c:v>South Asia</c:v>
                </c:pt>
                <c:pt idx="3">
                  <c:v>Southeast Asia</c:v>
                </c:pt>
              </c:strCache>
            </c:strRef>
          </c:cat>
          <c:val>
            <c:numRef>
              <c:f>Pivot_5!$B$4:$B$8</c:f>
              <c:numCache>
                <c:formatCode>General</c:formatCode>
                <c:ptCount val="4"/>
                <c:pt idx="0">
                  <c:v>675174.62750000006</c:v>
                </c:pt>
                <c:pt idx="1">
                  <c:v>251634.47549999991</c:v>
                </c:pt>
                <c:pt idx="2">
                  <c:v>274660.47049999994</c:v>
                </c:pt>
                <c:pt idx="3">
                  <c:v>1561445.9859999993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C6-418A-A757-CE09EF9E2863}"/>
            </c:ext>
          </c:extLst>
        </c:ser>
        <c:ser>
          <c:idx val="1"/>
          <c:order val="1"/>
          <c:tx>
            <c:strRef>
              <c:f>Pivot_5!$C$3</c:f>
              <c:strCache>
                <c:ptCount val="1"/>
                <c:pt idx="0">
                  <c:v>Average of Discount_Rate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7C6-418A-A757-CE09EF9E28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7C6-418A-A757-CE09EF9E28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7C6-418A-A757-CE09EF9E28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7C6-418A-A757-CE09EF9E28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Pivot_5!$A$4:$A$8</c:f>
              <c:strCache>
                <c:ptCount val="4"/>
                <c:pt idx="0">
                  <c:v>East Asia</c:v>
                </c:pt>
                <c:pt idx="1">
                  <c:v>Oceania</c:v>
                </c:pt>
                <c:pt idx="2">
                  <c:v>South Asia</c:v>
                </c:pt>
                <c:pt idx="3">
                  <c:v>Southeast Asia</c:v>
                </c:pt>
              </c:strCache>
            </c:strRef>
          </c:cat>
          <c:val>
            <c:numRef>
              <c:f>Pivot_5!$C$4:$C$8</c:f>
              <c:numCache>
                <c:formatCode>General</c:formatCode>
                <c:ptCount val="4"/>
                <c:pt idx="0">
                  <c:v>7.8110599078340989E-2</c:v>
                </c:pt>
                <c:pt idx="1">
                  <c:v>9.4791666666666663E-2</c:v>
                </c:pt>
                <c:pt idx="2">
                  <c:v>8.4895833333333323E-2</c:v>
                </c:pt>
                <c:pt idx="3">
                  <c:v>8.8578680203045615E-2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7C6-418A-A757-CE09EF9E286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[Global_Retail_Sales_Raw.xlsx]Pivot_3!PivotTable9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Pivot_3!$B$3:$B$4</c:f>
              <c:strCache>
                <c:ptCount val="1"/>
                <c:pt idx="0">
                  <c:v>Distributor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7B-4615-B722-59DEEEB946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7B-4615-B722-59DEEEB946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7B-4615-B722-59DEEEB946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7B-4615-B722-59DEEEB946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7B-4615-B722-59DEEEB946AC}"/>
              </c:ext>
            </c:extLst>
          </c:dPt>
          <c:cat>
            <c:strRef>
              <c:f>Pivot_3!$A$5:$A$10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Pivot_3!$B$5:$B$10</c:f>
              <c:numCache>
                <c:formatCode>General</c:formatCode>
                <c:ptCount val="5"/>
                <c:pt idx="0">
                  <c:v>199124.56200000003</c:v>
                </c:pt>
                <c:pt idx="1">
                  <c:v>202621.24700000003</c:v>
                </c:pt>
                <c:pt idx="2">
                  <c:v>221851.50099999999</c:v>
                </c:pt>
                <c:pt idx="3">
                  <c:v>153175.22549999997</c:v>
                </c:pt>
                <c:pt idx="4">
                  <c:v>157340.72299999997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7B-4615-B722-59DEEEB946AC}"/>
            </c:ext>
          </c:extLst>
        </c:ser>
        <c:ser>
          <c:idx val="1"/>
          <c:order val="1"/>
          <c:tx>
            <c:strRef>
              <c:f>Pivot_3!$C$3:$C$4</c:f>
              <c:strCache>
                <c:ptCount val="1"/>
                <c:pt idx="0">
                  <c:v>Marketplace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67B-4615-B722-59DEEEB946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67B-4615-B722-59DEEEB946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67B-4615-B722-59DEEEB946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67B-4615-B722-59DEEEB946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67B-4615-B722-59DEEEB946AC}"/>
              </c:ext>
            </c:extLst>
          </c:dPt>
          <c:cat>
            <c:strRef>
              <c:f>Pivot_3!$A$5:$A$10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Pivot_3!$C$5:$C$10</c:f>
              <c:numCache>
                <c:formatCode>General</c:formatCode>
                <c:ptCount val="5"/>
                <c:pt idx="0">
                  <c:v>198298.45199999996</c:v>
                </c:pt>
                <c:pt idx="1">
                  <c:v>154935.26450000002</c:v>
                </c:pt>
                <c:pt idx="2">
                  <c:v>183327.60349999988</c:v>
                </c:pt>
                <c:pt idx="3">
                  <c:v>245208.94700000001</c:v>
                </c:pt>
                <c:pt idx="4">
                  <c:v>193380.9595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67B-4615-B722-59DEEEB946AC}"/>
            </c:ext>
          </c:extLst>
        </c:ser>
        <c:ser>
          <c:idx val="2"/>
          <c:order val="2"/>
          <c:tx>
            <c:strRef>
              <c:f>Pivot_3!$D$3:$D$4</c:f>
              <c:strCache>
                <c:ptCount val="1"/>
                <c:pt idx="0">
                  <c:v>Online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67B-4615-B722-59DEEEB946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67B-4615-B722-59DEEEB946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67B-4615-B722-59DEEEB946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67B-4615-B722-59DEEEB946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67B-4615-B722-59DEEEB946AC}"/>
              </c:ext>
            </c:extLst>
          </c:dPt>
          <c:cat>
            <c:strRef>
              <c:f>Pivot_3!$A$5:$A$10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Pivot_3!$D$5:$D$10</c:f>
              <c:numCache>
                <c:formatCode>General</c:formatCode>
                <c:ptCount val="5"/>
                <c:pt idx="0">
                  <c:v>238495.01149999996</c:v>
                </c:pt>
                <c:pt idx="1">
                  <c:v>230138.01150000005</c:v>
                </c:pt>
                <c:pt idx="2">
                  <c:v>167735.88450000001</c:v>
                </c:pt>
                <c:pt idx="3">
                  <c:v>197257.37500000003</c:v>
                </c:pt>
                <c:pt idx="4">
                  <c:v>213661.505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67B-4615-B722-59DEEEB946AC}"/>
            </c:ext>
          </c:extLst>
        </c:ser>
        <c:ser>
          <c:idx val="3"/>
          <c:order val="3"/>
          <c:tx>
            <c:strRef>
              <c:f>Pivot_3!$E$3:$E$4</c:f>
              <c:strCache>
                <c:ptCount val="1"/>
                <c:pt idx="0">
                  <c:v>Retail Store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767B-4615-B722-59DEEEB946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767B-4615-B722-59DEEEB946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767B-4615-B722-59DEEEB946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767B-4615-B722-59DEEEB946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767B-4615-B722-59DEEEB946AC}"/>
              </c:ext>
            </c:extLst>
          </c:dPt>
          <c:cat>
            <c:strRef>
              <c:f>Pivot_3!$A$5:$A$10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Pivot_3!$E$5:$E$10</c:f>
              <c:numCache>
                <c:formatCode>General</c:formatCode>
                <c:ptCount val="5"/>
                <c:pt idx="0">
                  <c:v>110307.33100000001</c:v>
                </c:pt>
                <c:pt idx="1">
                  <c:v>262718.76299999998</c:v>
                </c:pt>
                <c:pt idx="2">
                  <c:v>186526.46999999994</c:v>
                </c:pt>
                <c:pt idx="3">
                  <c:v>176861.96699999998</c:v>
                </c:pt>
                <c:pt idx="4">
                  <c:v>203738.75600000008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67B-4615-B722-59DEEEB94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</xdr:row>
      <xdr:rowOff>4762</xdr:rowOff>
    </xdr:from>
    <xdr:to>
      <xdr:col>9</xdr:col>
      <xdr:colOff>485775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6687B-D8A7-41F5-8FAB-0D6DDE503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4762</xdr:rowOff>
    </xdr:from>
    <xdr:to>
      <xdr:col>10</xdr:col>
      <xdr:colOff>304800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96BE7-BF93-4A45-AEF8-D8D492798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4762</xdr:rowOff>
    </xdr:from>
    <xdr:to>
      <xdr:col>14</xdr:col>
      <xdr:colOff>304800</xdr:colOff>
      <xdr:row>16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3255A-386E-48C9-89FC-DE0E3F502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2</xdr:row>
      <xdr:rowOff>14287</xdr:rowOff>
    </xdr:from>
    <xdr:to>
      <xdr:col>11</xdr:col>
      <xdr:colOff>309562</xdr:colOff>
      <xdr:row>16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5C9041-ED14-4879-AECB-6E9F29090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4762</xdr:rowOff>
    </xdr:from>
    <xdr:to>
      <xdr:col>11</xdr:col>
      <xdr:colOff>314325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027C9-A593-41C1-9DE6-ABC4759C4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9525</xdr:rowOff>
    </xdr:from>
    <xdr:to>
      <xdr:col>8</xdr:col>
      <xdr:colOff>314325</xdr:colOff>
      <xdr:row>23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9C2D3-A743-421C-8945-151356BAD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9</xdr:row>
      <xdr:rowOff>9525</xdr:rowOff>
    </xdr:from>
    <xdr:to>
      <xdr:col>17</xdr:col>
      <xdr:colOff>314325</xdr:colOff>
      <xdr:row>23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46DDBB-5362-4ADB-AB07-08216D0D1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26</xdr:row>
      <xdr:rowOff>9525</xdr:rowOff>
    </xdr:from>
    <xdr:to>
      <xdr:col>8</xdr:col>
      <xdr:colOff>314325</xdr:colOff>
      <xdr:row>40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EE26D6-2BFC-43B0-B64A-69203B1B9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</xdr:colOff>
      <xdr:row>26</xdr:row>
      <xdr:rowOff>0</xdr:rowOff>
    </xdr:from>
    <xdr:to>
      <xdr:col>17</xdr:col>
      <xdr:colOff>314325</xdr:colOff>
      <xdr:row>40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B6C389-D9FB-4955-8EC6-3E84C0432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304800</xdr:colOff>
      <xdr:row>57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5E9C59-9EEF-41FA-AE80-C793296C5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sung" refreshedDate="46305.024216550926" createdVersion="7" refreshedVersion="7" minRefreshableVersion="3" recordCount="1000" xr:uid="{56768298-AB73-415A-A7D0-B5851D28D013}">
  <cacheSource type="worksheet">
    <worksheetSource name="Table1"/>
  </cacheSource>
  <cacheFields count="25">
    <cacheField name="Order_ID" numFmtId="0">
      <sharedItems/>
    </cacheField>
    <cacheField name="Order_Date" numFmtId="0">
      <sharedItems/>
    </cacheField>
    <cacheField name="Customer_Name" numFmtId="0">
      <sharedItems/>
    </cacheField>
    <cacheField name="Customer_Email" numFmtId="0">
      <sharedItems/>
    </cacheField>
    <cacheField name="Country" numFmtId="0">
      <sharedItems count="10">
        <s v="Vietnam"/>
        <s v="Thailand"/>
        <s v="Singapore"/>
        <s v="Indonesia"/>
        <s v="Philippines"/>
        <s v="Australia"/>
        <s v="India"/>
        <s v="Malaysia"/>
        <s v="Japan"/>
        <s v="South Korea"/>
      </sharedItems>
    </cacheField>
    <cacheField name="Category" numFmtId="0">
      <sharedItems count="5">
        <s v="Fashion"/>
        <s v="Beauty"/>
        <s v="Sports"/>
        <s v="Electronics"/>
        <s v="Home"/>
      </sharedItems>
    </cacheField>
    <cacheField name="Product" numFmtId="0">
      <sharedItems count="25">
        <s v="Jeans"/>
        <s v="Shampoo"/>
        <s v="Bicycle"/>
        <s v="Headphone"/>
        <s v="Jacket"/>
        <s v="Rice Cooker"/>
        <s v="Chair"/>
        <s v="Smartphone"/>
        <s v="Laptop"/>
        <s v="Perfume"/>
        <s v="Smartwatch"/>
        <s v="Yoga Mat"/>
        <s v="Hat"/>
        <s v="Lipstick"/>
        <s v="Tablet"/>
        <s v="Sneakers"/>
        <s v="Blender"/>
        <s v="Tennis Racket"/>
        <s v="Football"/>
        <s v="Lamp"/>
        <s v="T-Shirt"/>
        <s v="Dumbbell"/>
        <s v="Face Wash"/>
        <s v="Vacuum"/>
        <s v="Sunscreen"/>
      </sharedItems>
    </cacheField>
    <cacheField name="Channel" numFmtId="0">
      <sharedItems count="4">
        <s v="Online"/>
        <s v="Marketplace"/>
        <s v="Distributor"/>
        <s v="Retail Store"/>
      </sharedItems>
    </cacheField>
    <cacheField name="Payment_Method" numFmtId="0">
      <sharedItems/>
    </cacheField>
    <cacheField name="Status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5.81" maxValue="1499.97"/>
    </cacheField>
    <cacheField name="Discount_Rate" numFmtId="9">
      <sharedItems containsSemiMixedTypes="0" containsString="0" containsNumber="1" minValue="0" maxValue="0.2"/>
    </cacheField>
    <cacheField name="Region" numFmtId="0">
      <sharedItems count="4">
        <s v="Southeast Asia"/>
        <s v="Oceania"/>
        <s v="South Asia"/>
        <s v="East Asia"/>
      </sharedItems>
    </cacheField>
    <cacheField name="Country_Code" numFmtId="0">
      <sharedItems/>
    </cacheField>
    <cacheField name="Tax_Rate" numFmtId="0">
      <sharedItems containsSemiMixedTypes="0" containsString="0" containsNumber="1" minValue="0.06" maxValue="0.18"/>
    </cacheField>
    <cacheField name="Target_Q1" numFmtId="0">
      <sharedItems containsSemiMixedTypes="0" containsString="0" containsNumber="1" containsInteger="1" minValue="30000" maxValue="50000"/>
    </cacheField>
    <cacheField name="Gross_Sales" numFmtId="0">
      <sharedItems containsSemiMixedTypes="0" containsString="0" containsNumber="1" minValue="56.5" maxValue="14391.7"/>
    </cacheField>
    <cacheField name="Discount_Amount" numFmtId="0">
      <sharedItems containsSemiMixedTypes="0" containsString="0" containsNumber="1" minValue="0" maxValue="2855.9400000000005"/>
    </cacheField>
    <cacheField name="Net_Sales" numFmtId="0">
      <sharedItems containsSemiMixedTypes="0" containsString="0" containsNumber="1" minValue="50.0565" maxValue="13965.1"/>
    </cacheField>
    <cacheField name="Total_Cost" numFmtId="0">
      <sharedItems containsSemiMixedTypes="0" containsString="0" containsNumber="1" containsInteger="1" minValue="80" maxValue="4500"/>
    </cacheField>
    <cacheField name="Profit" numFmtId="0">
      <sharedItems containsSemiMixedTypes="0" containsString="0" containsNumber="1" minValue="-4129.1099999999997" maxValue="12472.115000000002"/>
    </cacheField>
    <cacheField name="Month" numFmtId="0">
      <sharedItems count="12">
        <s v="Feb"/>
        <s v="Jan"/>
        <s v="May"/>
        <s v="Jul"/>
        <s v="Apr"/>
        <s v="Aug"/>
        <s v="Sep"/>
        <s v="Mar"/>
        <s v="Jun"/>
        <s v="Oct"/>
        <s v="Dec"/>
        <s v="Nov"/>
      </sharedItems>
    </cacheField>
    <cacheField name="Quarter" numFmtId="0">
      <sharedItems containsSemiMixedTypes="0" containsString="0" containsNumber="1" containsInteger="1" minValue="1" maxValue="4"/>
    </cacheField>
    <cacheField name="Year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202493810"/>
    <s v="2024-02-27 00:47"/>
    <s v="Allison Hill"/>
    <s v="donaldgarcia@example.net"/>
    <x v="0"/>
    <x v="0"/>
    <x v="0"/>
    <x v="0"/>
    <s v="Cash"/>
    <s v="Returned"/>
    <n v="2"/>
    <n v="222.21"/>
    <n v="0.2"/>
    <x v="0"/>
    <s v="VN"/>
    <n v="0.1"/>
    <n v="40000"/>
    <n v="444.42"/>
    <n v="88.884000000000015"/>
    <n v="355.536"/>
    <n v="240"/>
    <n v="115.536"/>
    <x v="0"/>
    <n v="1"/>
    <n v="2024"/>
  </r>
  <r>
    <s v="ORD-202414165"/>
    <s v="2024-01-16 02:13"/>
    <s v="Angie Henderson"/>
    <s v="davisjesse@example.net"/>
    <x v="1"/>
    <x v="1"/>
    <x v="1"/>
    <x v="1"/>
    <s v="Debit Card"/>
    <s v="Returned"/>
    <n v="4"/>
    <n v="54.41"/>
    <n v="0.2"/>
    <x v="0"/>
    <s v="TH"/>
    <n v="7.0000000000000007E-2"/>
    <n v="45000"/>
    <n v="217.64"/>
    <n v="43.527999999999999"/>
    <n v="174.11199999999999"/>
    <n v="320"/>
    <n v="-145.88800000000001"/>
    <x v="1"/>
    <n v="1"/>
    <n v="2024"/>
  </r>
  <r>
    <s v="ORD-202487236"/>
    <s v="2024-05-22 00:48"/>
    <s v="Cristian Santos"/>
    <s v="lrobinson@example.com"/>
    <x v="2"/>
    <x v="2"/>
    <x v="2"/>
    <x v="0"/>
    <s v="Credit Card"/>
    <s v="Returned"/>
    <n v="4"/>
    <n v="427.64"/>
    <n v="0.05"/>
    <x v="0"/>
    <s v="SG"/>
    <n v="7.0000000000000007E-2"/>
    <n v="35000"/>
    <n v="1710.56"/>
    <n v="85.528000000000006"/>
    <n v="1625.0319999999999"/>
    <n v="600"/>
    <n v="1025.0319999999999"/>
    <x v="2"/>
    <n v="2"/>
    <n v="2024"/>
  </r>
  <r>
    <s v="ORD-202422676"/>
    <s v="2024-07-02 11:38"/>
    <s v="Abigail Shaffer"/>
    <s v="jpeterson@example.org"/>
    <x v="0"/>
    <x v="3"/>
    <x v="3"/>
    <x v="2"/>
    <s v="Cash"/>
    <s v="Cancelled"/>
    <n v="7"/>
    <n v="811.3"/>
    <n v="0"/>
    <x v="0"/>
    <s v="VN"/>
    <n v="0.1"/>
    <n v="50000"/>
    <n v="5679.0999999999995"/>
    <n v="0"/>
    <n v="5679.0999999999995"/>
    <n v="3150"/>
    <n v="2529.0999999999995"/>
    <x v="3"/>
    <n v="3"/>
    <n v="2024"/>
  </r>
  <r>
    <s v="ORD-202485674"/>
    <s v="2024-04-08 22:04"/>
    <s v="Gabrielle Davis"/>
    <s v="howardmaurice@example.com"/>
    <x v="3"/>
    <x v="0"/>
    <x v="4"/>
    <x v="1"/>
    <s v="E-Wallet"/>
    <s v="Returned"/>
    <n v="4"/>
    <n v="1478.05"/>
    <n v="0"/>
    <x v="0"/>
    <s v="ID"/>
    <n v="0.11"/>
    <n v="40000"/>
    <n v="5912.2"/>
    <n v="0"/>
    <n v="5912.2"/>
    <n v="480"/>
    <n v="5432.2"/>
    <x v="4"/>
    <n v="2"/>
    <n v="2024"/>
  </r>
  <r>
    <s v="ORD-202493320"/>
    <s v="2024-07-05 05:23"/>
    <s v="Monica Herrera"/>
    <s v="smiller@example.net"/>
    <x v="4"/>
    <x v="0"/>
    <x v="4"/>
    <x v="3"/>
    <s v="Cash"/>
    <s v="Pending"/>
    <n v="2"/>
    <n v="1057.2"/>
    <n v="0.15"/>
    <x v="0"/>
    <s v="PH"/>
    <n v="0.12"/>
    <n v="40000"/>
    <n v="2114.4"/>
    <n v="317.16000000000003"/>
    <n v="1797.24"/>
    <n v="240"/>
    <n v="1557.24"/>
    <x v="3"/>
    <n v="3"/>
    <n v="2024"/>
  </r>
  <r>
    <s v="ORD-202431417"/>
    <s v="2024-08-24 12:17"/>
    <s v="Shannon Ray"/>
    <s v="williamsjeremy@example.com"/>
    <x v="5"/>
    <x v="0"/>
    <x v="4"/>
    <x v="0"/>
    <s v="E-Wallet"/>
    <s v="Returned"/>
    <n v="1"/>
    <n v="1266.6400000000001"/>
    <n v="0"/>
    <x v="1"/>
    <s v="AU"/>
    <n v="0.1"/>
    <n v="40000"/>
    <n v="1266.6400000000001"/>
    <n v="0"/>
    <n v="1266.6400000000001"/>
    <n v="120"/>
    <n v="1146.6400000000001"/>
    <x v="5"/>
    <n v="3"/>
    <n v="2024"/>
  </r>
  <r>
    <s v="ORD-202445093"/>
    <s v="2024-02-03 06:58"/>
    <s v="Dr. Sharon James"/>
    <s v="xreid@example.org"/>
    <x v="6"/>
    <x v="4"/>
    <x v="5"/>
    <x v="1"/>
    <s v="Debit Card"/>
    <s v="Cancelled"/>
    <n v="7"/>
    <n v="988.33"/>
    <n v="0.2"/>
    <x v="2"/>
    <s v="IN"/>
    <n v="0.18"/>
    <n v="30000"/>
    <n v="6918.31"/>
    <n v="1383.6620000000003"/>
    <n v="5534.6480000000001"/>
    <n v="1400"/>
    <n v="4134.6480000000001"/>
    <x v="0"/>
    <n v="1"/>
    <n v="2024"/>
  </r>
  <r>
    <s v="ORD-202428301"/>
    <s v="2024-05-06 23:35"/>
    <s v="Daniel Adams"/>
    <s v="lynchgeorge@example.net"/>
    <x v="5"/>
    <x v="4"/>
    <x v="6"/>
    <x v="2"/>
    <s v="Debit Card"/>
    <s v="Pending"/>
    <n v="10"/>
    <n v="651.22"/>
    <n v="0.1"/>
    <x v="1"/>
    <s v="AU"/>
    <n v="0.1"/>
    <n v="30000"/>
    <n v="6512.2000000000007"/>
    <n v="651.22000000000014"/>
    <n v="5860.9800000000005"/>
    <n v="2000"/>
    <n v="3860.9800000000005"/>
    <x v="2"/>
    <n v="2"/>
    <n v="2024"/>
  </r>
  <r>
    <s v="ORD-202476784"/>
    <s v="2024-09-09 02:48"/>
    <s v="Joel Nelson"/>
    <s v="gabriellecameron@example.org"/>
    <x v="3"/>
    <x v="3"/>
    <x v="7"/>
    <x v="0"/>
    <s v="Bank Transfer"/>
    <s v="Returned"/>
    <n v="7"/>
    <n v="946.76"/>
    <n v="0.15"/>
    <x v="0"/>
    <s v="ID"/>
    <n v="0.11"/>
    <n v="50000"/>
    <n v="6627.32"/>
    <n v="994.09799999999996"/>
    <n v="5633.2219999999998"/>
    <n v="3150"/>
    <n v="2483.2219999999998"/>
    <x v="6"/>
    <n v="3"/>
    <n v="2024"/>
  </r>
  <r>
    <s v="ORD-202488104"/>
    <s v="2024-08-27 16:16"/>
    <s v="Andrew Stewart"/>
    <s v="carl95@example.org"/>
    <x v="5"/>
    <x v="3"/>
    <x v="8"/>
    <x v="2"/>
    <s v="Credit Card"/>
    <s v="Cancelled"/>
    <n v="9"/>
    <n v="1027.3399999999999"/>
    <n v="0.05"/>
    <x v="1"/>
    <s v="AU"/>
    <n v="0.1"/>
    <n v="50000"/>
    <n v="9246.06"/>
    <n v="462.303"/>
    <n v="8783.7569999999996"/>
    <n v="4050"/>
    <n v="4733.7569999999996"/>
    <x v="5"/>
    <n v="3"/>
    <n v="2024"/>
  </r>
  <r>
    <s v="ORD-202466985"/>
    <s v="2024-03-21 14:00"/>
    <s v="Jennifer Rocha"/>
    <s v="ithomas@example.org"/>
    <x v="0"/>
    <x v="1"/>
    <x v="9"/>
    <x v="2"/>
    <s v="Cash"/>
    <s v="Pending"/>
    <n v="2"/>
    <n v="768.91"/>
    <n v="0.2"/>
    <x v="0"/>
    <s v="VN"/>
    <n v="0.1"/>
    <n v="45000"/>
    <n v="1537.82"/>
    <n v="307.56400000000002"/>
    <n v="1230.2559999999999"/>
    <n v="160"/>
    <n v="1070.2559999999999"/>
    <x v="7"/>
    <n v="1"/>
    <n v="2024"/>
  </r>
  <r>
    <s v="ORD-202430032"/>
    <s v="2024-07-10 05:34"/>
    <s v="Kimberly Burgess"/>
    <s v="zhurst@example.com"/>
    <x v="5"/>
    <x v="3"/>
    <x v="10"/>
    <x v="2"/>
    <s v="E-Wallet"/>
    <s v="Pending"/>
    <n v="1"/>
    <n v="496.37"/>
    <n v="0"/>
    <x v="1"/>
    <s v="AU"/>
    <n v="0.1"/>
    <n v="50000"/>
    <n v="496.37"/>
    <n v="0"/>
    <n v="496.37"/>
    <n v="450"/>
    <n v="46.370000000000005"/>
    <x v="3"/>
    <n v="3"/>
    <n v="2024"/>
  </r>
  <r>
    <s v="ORD-202417592"/>
    <s v="2024-05-03 18:05"/>
    <s v="Zachary Hicks"/>
    <s v="camposmichelle@example.org"/>
    <x v="7"/>
    <x v="2"/>
    <x v="11"/>
    <x v="3"/>
    <s v="Bank Transfer"/>
    <s v="Pending"/>
    <n v="9"/>
    <n v="1467.31"/>
    <n v="0"/>
    <x v="0"/>
    <s v="MY"/>
    <n v="0.06"/>
    <n v="35000"/>
    <n v="13205.789999999999"/>
    <n v="0"/>
    <n v="13205.789999999999"/>
    <n v="1350"/>
    <n v="11855.789999999999"/>
    <x v="2"/>
    <n v="2"/>
    <n v="2024"/>
  </r>
  <r>
    <s v="ORD-202444741"/>
    <s v="2024-09-27 19:27"/>
    <s v="Rebecca Henderson"/>
    <s v="cruzcaitlin@example.com"/>
    <x v="1"/>
    <x v="1"/>
    <x v="9"/>
    <x v="2"/>
    <s v="Bank Transfer"/>
    <s v="Returned"/>
    <n v="7"/>
    <n v="1073.73"/>
    <n v="0.2"/>
    <x v="0"/>
    <s v="TH"/>
    <n v="7.0000000000000007E-2"/>
    <n v="45000"/>
    <n v="7516.1100000000006"/>
    <n v="1503.2220000000002"/>
    <n v="6012.8880000000008"/>
    <n v="560"/>
    <n v="5452.8880000000008"/>
    <x v="6"/>
    <n v="3"/>
    <n v="2024"/>
  </r>
  <r>
    <s v="ORD-202425860"/>
    <s v="2024-05-06 07:04"/>
    <s v="Tricia Valencia"/>
    <s v="frazierdanny@example.net"/>
    <x v="4"/>
    <x v="3"/>
    <x v="10"/>
    <x v="0"/>
    <s v="Credit Card"/>
    <s v="Completed"/>
    <n v="10"/>
    <n v="837.57"/>
    <n v="0"/>
    <x v="0"/>
    <s v="PH"/>
    <n v="0.12"/>
    <n v="50000"/>
    <n v="8375.7000000000007"/>
    <n v="0"/>
    <n v="8375.7000000000007"/>
    <n v="4500"/>
    <n v="3875.7000000000007"/>
    <x v="2"/>
    <n v="2"/>
    <n v="2024"/>
  </r>
  <r>
    <s v="ORD-202440007"/>
    <s v="2024-02-04 01:55"/>
    <s v="Patricia Peterson"/>
    <s v="ryan70@example.net"/>
    <x v="4"/>
    <x v="3"/>
    <x v="10"/>
    <x v="3"/>
    <s v="Cash"/>
    <s v="Returned"/>
    <n v="8"/>
    <n v="368.44"/>
    <n v="0"/>
    <x v="0"/>
    <s v="PH"/>
    <n v="0.12"/>
    <n v="50000"/>
    <n v="2947.52"/>
    <n v="0"/>
    <n v="2947.52"/>
    <n v="3600"/>
    <n v="-652.48"/>
    <x v="0"/>
    <n v="1"/>
    <n v="2024"/>
  </r>
  <r>
    <s v="ORD-202441850"/>
    <s v="2024-08-30 13:12"/>
    <s v="Deborah Mason"/>
    <s v="williamrodriguez@example.net"/>
    <x v="7"/>
    <x v="3"/>
    <x v="3"/>
    <x v="0"/>
    <s v="Credit Card"/>
    <s v="Completed"/>
    <n v="7"/>
    <n v="541.13"/>
    <n v="0.1"/>
    <x v="0"/>
    <s v="MY"/>
    <n v="0.06"/>
    <n v="50000"/>
    <n v="3787.91"/>
    <n v="378.791"/>
    <n v="3409.1189999999997"/>
    <n v="3150"/>
    <n v="259.11899999999969"/>
    <x v="5"/>
    <n v="3"/>
    <n v="2024"/>
  </r>
  <r>
    <s v="ORD-202462772"/>
    <s v="2024-06-22 03:15"/>
    <s v="Mark Lynch"/>
    <s v="nathanielmartin@example.net"/>
    <x v="1"/>
    <x v="0"/>
    <x v="12"/>
    <x v="2"/>
    <s v="Bank Transfer"/>
    <s v="Pending"/>
    <n v="7"/>
    <n v="681.19"/>
    <n v="0"/>
    <x v="0"/>
    <s v="TH"/>
    <n v="7.0000000000000007E-2"/>
    <n v="40000"/>
    <n v="4768.33"/>
    <n v="0"/>
    <n v="4768.33"/>
    <n v="840"/>
    <n v="3928.33"/>
    <x v="8"/>
    <n v="2"/>
    <n v="2024"/>
  </r>
  <r>
    <s v="ORD-202419880"/>
    <s v="2024-08-14 17:06"/>
    <s v="Linda Burns"/>
    <s v="hickmannatasha@example.com"/>
    <x v="3"/>
    <x v="1"/>
    <x v="13"/>
    <x v="1"/>
    <s v="Bank Transfer"/>
    <s v="Returned"/>
    <n v="4"/>
    <n v="1453.96"/>
    <n v="0"/>
    <x v="0"/>
    <s v="ID"/>
    <n v="0.11"/>
    <n v="45000"/>
    <n v="5815.84"/>
    <n v="0"/>
    <n v="5815.84"/>
    <n v="320"/>
    <n v="5495.84"/>
    <x v="5"/>
    <n v="3"/>
    <n v="2024"/>
  </r>
  <r>
    <s v="ORD-202438016"/>
    <s v="2024-07-24 01:10"/>
    <s v="David Bradley"/>
    <s v="millertodd@example.org"/>
    <x v="8"/>
    <x v="3"/>
    <x v="3"/>
    <x v="1"/>
    <s v="Cash"/>
    <s v="Returned"/>
    <n v="8"/>
    <n v="408.83"/>
    <n v="0.05"/>
    <x v="3"/>
    <s v="JP"/>
    <n v="0.1"/>
    <n v="50000"/>
    <n v="3270.64"/>
    <n v="163.53200000000001"/>
    <n v="3107.1079999999997"/>
    <n v="3600"/>
    <n v="-492.89200000000028"/>
    <x v="3"/>
    <n v="3"/>
    <n v="2024"/>
  </r>
  <r>
    <s v="ORD-202430289"/>
    <s v="2024-04-07 09:13"/>
    <s v="Kim Martinez"/>
    <s v="karroyo@example.com"/>
    <x v="3"/>
    <x v="1"/>
    <x v="1"/>
    <x v="0"/>
    <s v="Cash"/>
    <s v="Returned"/>
    <n v="6"/>
    <n v="105.52"/>
    <n v="0"/>
    <x v="0"/>
    <s v="ID"/>
    <n v="0.11"/>
    <n v="45000"/>
    <n v="633.12"/>
    <n v="0"/>
    <n v="633.12"/>
    <n v="480"/>
    <n v="153.12"/>
    <x v="4"/>
    <n v="2"/>
    <n v="2024"/>
  </r>
  <r>
    <s v="ORD-202475909"/>
    <s v="2024-09-28 05:03"/>
    <s v="Lisa Brandt"/>
    <s v="jenniferross@example.net"/>
    <x v="5"/>
    <x v="3"/>
    <x v="7"/>
    <x v="3"/>
    <s v="Bank Transfer"/>
    <s v="Completed"/>
    <n v="2"/>
    <n v="116.75"/>
    <n v="0.2"/>
    <x v="1"/>
    <s v="AU"/>
    <n v="0.1"/>
    <n v="50000"/>
    <n v="233.5"/>
    <n v="46.7"/>
    <n v="186.8"/>
    <n v="900"/>
    <n v="-713.2"/>
    <x v="6"/>
    <n v="3"/>
    <n v="2024"/>
  </r>
  <r>
    <s v="ORD-202484668"/>
    <s v="2024-05-06 18:38"/>
    <s v="Jessica Holmes"/>
    <s v="wrightcaleb@example.org"/>
    <x v="3"/>
    <x v="1"/>
    <x v="13"/>
    <x v="2"/>
    <s v="E-Wallet"/>
    <s v="Pending"/>
    <n v="10"/>
    <n v="637.54999999999995"/>
    <n v="0.15"/>
    <x v="0"/>
    <s v="ID"/>
    <n v="0.11"/>
    <n v="45000"/>
    <n v="6375.5"/>
    <n v="956.32499999999993"/>
    <n v="5419.1750000000002"/>
    <n v="800"/>
    <n v="4619.1750000000002"/>
    <x v="2"/>
    <n v="2"/>
    <n v="2024"/>
  </r>
  <r>
    <s v="ORD-202497782"/>
    <s v="2024-06-09 07:16"/>
    <s v="Crystal Robinson"/>
    <s v="zimmermanbrian@example.org"/>
    <x v="8"/>
    <x v="0"/>
    <x v="4"/>
    <x v="1"/>
    <s v="Cash"/>
    <s v="Completed"/>
    <n v="2"/>
    <n v="693.98"/>
    <n v="0"/>
    <x v="3"/>
    <s v="JP"/>
    <n v="0.1"/>
    <n v="40000"/>
    <n v="1387.96"/>
    <n v="0"/>
    <n v="1387.96"/>
    <n v="240"/>
    <n v="1147.96"/>
    <x v="8"/>
    <n v="2"/>
    <n v="2024"/>
  </r>
  <r>
    <s v="ORD-202419602"/>
    <s v="2024-10-02 06:32"/>
    <s v="Shannon Jones"/>
    <s v="joshuawashington@example.net"/>
    <x v="0"/>
    <x v="0"/>
    <x v="4"/>
    <x v="2"/>
    <s v="Debit Card"/>
    <s v="Returned"/>
    <n v="4"/>
    <n v="1323.08"/>
    <n v="0.05"/>
    <x v="0"/>
    <s v="VN"/>
    <n v="0.1"/>
    <n v="40000"/>
    <n v="5292.32"/>
    <n v="264.61599999999999"/>
    <n v="5027.7039999999997"/>
    <n v="480"/>
    <n v="4547.7039999999997"/>
    <x v="9"/>
    <n v="4"/>
    <n v="2024"/>
  </r>
  <r>
    <s v="ORD-202481200"/>
    <s v="2024-12-26 09:39"/>
    <s v="Timothy Duncan"/>
    <s v="esanchez@example.com"/>
    <x v="5"/>
    <x v="3"/>
    <x v="10"/>
    <x v="2"/>
    <s v="Credit Card"/>
    <s v="Completed"/>
    <n v="2"/>
    <n v="459.58"/>
    <n v="0"/>
    <x v="1"/>
    <s v="AU"/>
    <n v="0.1"/>
    <n v="50000"/>
    <n v="919.16"/>
    <n v="0"/>
    <n v="919.16"/>
    <n v="900"/>
    <n v="19.159999999999968"/>
    <x v="10"/>
    <n v="4"/>
    <n v="2024"/>
  </r>
  <r>
    <s v="ORD-202482512"/>
    <s v="2024-03-20 08:18"/>
    <s v="Brent Jordan"/>
    <s v="ujenkins@example.org"/>
    <x v="6"/>
    <x v="0"/>
    <x v="4"/>
    <x v="1"/>
    <s v="E-Wallet"/>
    <s v="Completed"/>
    <n v="5"/>
    <n v="317.33999999999997"/>
    <n v="0.15"/>
    <x v="2"/>
    <s v="IN"/>
    <n v="0.18"/>
    <n v="40000"/>
    <n v="1586.6999999999998"/>
    <n v="238.00499999999997"/>
    <n v="1348.6949999999999"/>
    <n v="600"/>
    <n v="748.69499999999994"/>
    <x v="7"/>
    <n v="1"/>
    <n v="2024"/>
  </r>
  <r>
    <s v="ORD-202422097"/>
    <s v="2024-11-20 13:53"/>
    <s v="Victoria Garcia"/>
    <s v="zchandler@example.org"/>
    <x v="0"/>
    <x v="3"/>
    <x v="8"/>
    <x v="2"/>
    <s v="Debit Card"/>
    <s v="Returned"/>
    <n v="3"/>
    <n v="510.33"/>
    <n v="0.2"/>
    <x v="0"/>
    <s v="VN"/>
    <n v="0.1"/>
    <n v="50000"/>
    <n v="1530.99"/>
    <n v="306.19800000000004"/>
    <n v="1224.7919999999999"/>
    <n v="1350"/>
    <n v="-125.20800000000008"/>
    <x v="11"/>
    <n v="4"/>
    <n v="2024"/>
  </r>
  <r>
    <s v="ORD-202482309"/>
    <s v="2024-12-27 13:35"/>
    <s v="Connor West"/>
    <s v="dwhite@example.org"/>
    <x v="3"/>
    <x v="3"/>
    <x v="8"/>
    <x v="0"/>
    <s v="E-Wallet"/>
    <s v="Pending"/>
    <n v="3"/>
    <n v="1418.4"/>
    <n v="0.15"/>
    <x v="0"/>
    <s v="ID"/>
    <n v="0.11"/>
    <n v="50000"/>
    <n v="4255.2000000000007"/>
    <n v="638.28000000000009"/>
    <n v="3616.9200000000005"/>
    <n v="1350"/>
    <n v="2266.9200000000005"/>
    <x v="10"/>
    <n v="4"/>
    <n v="2024"/>
  </r>
  <r>
    <s v="ORD-202466333"/>
    <s v="2024-03-06 01:19"/>
    <s v="Angela Morton"/>
    <s v="williamsyvette@example.org"/>
    <x v="4"/>
    <x v="3"/>
    <x v="14"/>
    <x v="0"/>
    <s v="E-Wallet"/>
    <s v="Returned"/>
    <n v="4"/>
    <n v="326.95999999999998"/>
    <n v="0.2"/>
    <x v="0"/>
    <s v="PH"/>
    <n v="0.12"/>
    <n v="50000"/>
    <n v="1307.8399999999999"/>
    <n v="261.56799999999998"/>
    <n v="1046.2719999999999"/>
    <n v="1800"/>
    <n v="-753.72800000000007"/>
    <x v="7"/>
    <n v="1"/>
    <n v="2024"/>
  </r>
  <r>
    <s v="ORD-202491351"/>
    <s v="2024-03-20 07:55"/>
    <s v="Tammy Allison"/>
    <s v="richardolson@example.com"/>
    <x v="2"/>
    <x v="0"/>
    <x v="15"/>
    <x v="3"/>
    <s v="E-Wallet"/>
    <s v="Pending"/>
    <n v="6"/>
    <n v="51.81"/>
    <n v="0.1"/>
    <x v="0"/>
    <s v="SG"/>
    <n v="7.0000000000000007E-2"/>
    <n v="40000"/>
    <n v="310.86"/>
    <n v="31.086000000000002"/>
    <n v="279.774"/>
    <n v="720"/>
    <n v="-440.226"/>
    <x v="7"/>
    <n v="1"/>
    <n v="2024"/>
  </r>
  <r>
    <s v="ORD-202424168"/>
    <s v="2024-07-14 01:54"/>
    <s v="Carmen Smith"/>
    <s v="ybaker@example.com"/>
    <x v="9"/>
    <x v="0"/>
    <x v="0"/>
    <x v="2"/>
    <s v="Debit Card"/>
    <s v="Pending"/>
    <n v="8"/>
    <n v="1227.6300000000001"/>
    <n v="0.05"/>
    <x v="3"/>
    <s v="KR"/>
    <n v="0.1"/>
    <n v="40000"/>
    <n v="9821.0400000000009"/>
    <n v="491.05200000000008"/>
    <n v="9329.9880000000012"/>
    <n v="960"/>
    <n v="8369.9880000000012"/>
    <x v="3"/>
    <n v="3"/>
    <n v="2024"/>
  </r>
  <r>
    <s v="ORD-202413101"/>
    <s v="2024-12-03 06:25"/>
    <s v="Michael Cross"/>
    <s v="smoore@example.org"/>
    <x v="4"/>
    <x v="4"/>
    <x v="16"/>
    <x v="1"/>
    <s v="Cash"/>
    <s v="Cancelled"/>
    <n v="5"/>
    <n v="1450.83"/>
    <n v="0.05"/>
    <x v="0"/>
    <s v="PH"/>
    <n v="0.12"/>
    <n v="30000"/>
    <n v="7254.15"/>
    <n v="362.70749999999998"/>
    <n v="6891.4424999999992"/>
    <n v="1000"/>
    <n v="5891.4424999999992"/>
    <x v="10"/>
    <n v="4"/>
    <n v="2024"/>
  </r>
  <r>
    <s v="ORD-202413617"/>
    <s v="2024-02-29 08:11"/>
    <s v="Lauren Daniels"/>
    <s v="brian97@example.net"/>
    <x v="6"/>
    <x v="4"/>
    <x v="16"/>
    <x v="2"/>
    <s v="Bank Transfer"/>
    <s v="Completed"/>
    <n v="7"/>
    <n v="175.98"/>
    <n v="0.05"/>
    <x v="2"/>
    <s v="IN"/>
    <n v="0.18"/>
    <n v="30000"/>
    <n v="1231.8599999999999"/>
    <n v="61.592999999999996"/>
    <n v="1170.2669999999998"/>
    <n v="1400"/>
    <n v="-229.73300000000017"/>
    <x v="0"/>
    <n v="1"/>
    <n v="2024"/>
  </r>
  <r>
    <s v="ORD-202460488"/>
    <s v="2024-10-22 06:16"/>
    <s v="Kim Brown"/>
    <s v="yorkcasey@example.org"/>
    <x v="3"/>
    <x v="2"/>
    <x v="11"/>
    <x v="3"/>
    <s v="E-Wallet"/>
    <s v="Returned"/>
    <n v="9"/>
    <n v="787.08"/>
    <n v="0.2"/>
    <x v="0"/>
    <s v="ID"/>
    <n v="0.11"/>
    <n v="35000"/>
    <n v="7083.72"/>
    <n v="1416.7440000000001"/>
    <n v="5666.9760000000006"/>
    <n v="1350"/>
    <n v="4316.9760000000006"/>
    <x v="9"/>
    <n v="4"/>
    <n v="2024"/>
  </r>
  <r>
    <s v="ORD-202419171"/>
    <s v="2024-12-06 10:39"/>
    <s v="Cynthia Wilson"/>
    <s v="bethwilliams@example.org"/>
    <x v="4"/>
    <x v="3"/>
    <x v="14"/>
    <x v="1"/>
    <s v="E-Wallet"/>
    <s v="Pending"/>
    <n v="7"/>
    <n v="768.08"/>
    <n v="0.05"/>
    <x v="0"/>
    <s v="PH"/>
    <n v="0.12"/>
    <n v="50000"/>
    <n v="5376.56"/>
    <n v="268.82800000000003"/>
    <n v="5107.732"/>
    <n v="3150"/>
    <n v="1957.732"/>
    <x v="10"/>
    <n v="4"/>
    <n v="2024"/>
  </r>
  <r>
    <s v="ORD-202435144"/>
    <s v="2024-08-03 21:24"/>
    <s v="Kevin Mills"/>
    <s v="james53@example.com"/>
    <x v="2"/>
    <x v="1"/>
    <x v="1"/>
    <x v="2"/>
    <s v="E-Wallet"/>
    <s v="Pending"/>
    <n v="9"/>
    <n v="461.91"/>
    <n v="0"/>
    <x v="0"/>
    <s v="SG"/>
    <n v="7.0000000000000007E-2"/>
    <n v="45000"/>
    <n v="4157.1900000000005"/>
    <n v="0"/>
    <n v="4157.1900000000005"/>
    <n v="720"/>
    <n v="3437.1900000000005"/>
    <x v="5"/>
    <n v="3"/>
    <n v="2024"/>
  </r>
  <r>
    <s v="ORD-202466346"/>
    <s v="2024-10-23 19:41"/>
    <s v="Michael Evans"/>
    <s v="sarah10@example.com"/>
    <x v="4"/>
    <x v="2"/>
    <x v="17"/>
    <x v="1"/>
    <s v="Debit Card"/>
    <s v="Completed"/>
    <n v="4"/>
    <n v="671.61"/>
    <n v="0.15"/>
    <x v="0"/>
    <s v="PH"/>
    <n v="0.12"/>
    <n v="35000"/>
    <n v="2686.44"/>
    <n v="402.96600000000001"/>
    <n v="2283.4740000000002"/>
    <n v="600"/>
    <n v="1683.4740000000002"/>
    <x v="9"/>
    <n v="4"/>
    <n v="2024"/>
  </r>
  <r>
    <s v="ORD-202447196"/>
    <s v="2024-09-20 21:40"/>
    <s v="Kristine Garcia"/>
    <s v="williamanderson@example.com"/>
    <x v="6"/>
    <x v="4"/>
    <x v="16"/>
    <x v="2"/>
    <s v="Debit Card"/>
    <s v="Pending"/>
    <n v="4"/>
    <n v="1230.3599999999999"/>
    <n v="0.2"/>
    <x v="2"/>
    <s v="IN"/>
    <n v="0.18"/>
    <n v="30000"/>
    <n v="4921.4399999999996"/>
    <n v="984.28800000000001"/>
    <n v="3937.1519999999996"/>
    <n v="800"/>
    <n v="3137.1519999999996"/>
    <x v="6"/>
    <n v="3"/>
    <n v="2024"/>
  </r>
  <r>
    <s v="ORD-202429313"/>
    <s v="2024-01-13 01:15"/>
    <s v="Sherry Wood"/>
    <s v="samueldaniels@example.com"/>
    <x v="9"/>
    <x v="1"/>
    <x v="13"/>
    <x v="1"/>
    <s v="Bank Transfer"/>
    <s v="Returned"/>
    <n v="10"/>
    <n v="691.29"/>
    <n v="0"/>
    <x v="3"/>
    <s v="KR"/>
    <n v="0.1"/>
    <n v="45000"/>
    <n v="6912.9"/>
    <n v="0"/>
    <n v="6912.9"/>
    <n v="800"/>
    <n v="6112.9"/>
    <x v="1"/>
    <n v="1"/>
    <n v="2024"/>
  </r>
  <r>
    <s v="ORD-202441979"/>
    <s v="2024-03-16 20:44"/>
    <s v="Victoria Valdez"/>
    <s v="contrerasangela@example.net"/>
    <x v="3"/>
    <x v="3"/>
    <x v="3"/>
    <x v="0"/>
    <s v="Cash"/>
    <s v="Pending"/>
    <n v="9"/>
    <n v="339.98"/>
    <n v="0.1"/>
    <x v="0"/>
    <s v="ID"/>
    <n v="0.11"/>
    <n v="50000"/>
    <n v="3059.82"/>
    <n v="305.98200000000003"/>
    <n v="2753.8380000000002"/>
    <n v="4050"/>
    <n v="-1296.1619999999998"/>
    <x v="7"/>
    <n v="1"/>
    <n v="2024"/>
  </r>
  <r>
    <s v="ORD-202425906"/>
    <s v="2024-08-21 04:51"/>
    <s v="Shawn Baker"/>
    <s v="newtoneric@example.com"/>
    <x v="9"/>
    <x v="1"/>
    <x v="1"/>
    <x v="1"/>
    <s v="Cash"/>
    <s v="Returned"/>
    <n v="8"/>
    <n v="899.25"/>
    <n v="0.15"/>
    <x v="3"/>
    <s v="KR"/>
    <n v="0.1"/>
    <n v="45000"/>
    <n v="7194"/>
    <n v="1079.0999999999999"/>
    <n v="6114.9"/>
    <n v="640"/>
    <n v="5474.9"/>
    <x v="5"/>
    <n v="3"/>
    <n v="2024"/>
  </r>
  <r>
    <s v="ORD-202430861"/>
    <s v="2024-08-31 14:16"/>
    <s v="Michelle Harris"/>
    <s v="william40@example.org"/>
    <x v="1"/>
    <x v="4"/>
    <x v="6"/>
    <x v="1"/>
    <s v="Credit Card"/>
    <s v="Cancelled"/>
    <n v="4"/>
    <n v="734.63"/>
    <n v="0.05"/>
    <x v="0"/>
    <s v="TH"/>
    <n v="7.0000000000000007E-2"/>
    <n v="30000"/>
    <n v="2938.52"/>
    <n v="146.92600000000002"/>
    <n v="2791.5940000000001"/>
    <n v="800"/>
    <n v="1991.5940000000001"/>
    <x v="5"/>
    <n v="3"/>
    <n v="2024"/>
  </r>
  <r>
    <s v="ORD-202440735"/>
    <s v="2024-05-19 10:20"/>
    <s v="Sandra Williams"/>
    <s v="kellie42@example.net"/>
    <x v="5"/>
    <x v="3"/>
    <x v="7"/>
    <x v="3"/>
    <s v="Debit Card"/>
    <s v="Completed"/>
    <n v="7"/>
    <n v="238.98"/>
    <n v="0.2"/>
    <x v="1"/>
    <s v="AU"/>
    <n v="0.1"/>
    <n v="50000"/>
    <n v="1672.86"/>
    <n v="334.572"/>
    <n v="1338.288"/>
    <n v="3150"/>
    <n v="-1811.712"/>
    <x v="2"/>
    <n v="2"/>
    <n v="2024"/>
  </r>
  <r>
    <s v="ORD-202464377"/>
    <s v="2024-07-27 10:34"/>
    <s v="Michael Hoffman"/>
    <s v="jonesnicole@example.org"/>
    <x v="9"/>
    <x v="2"/>
    <x v="11"/>
    <x v="0"/>
    <s v="Cash"/>
    <s v="Returned"/>
    <n v="7"/>
    <n v="322.14999999999998"/>
    <n v="0.1"/>
    <x v="3"/>
    <s v="KR"/>
    <n v="0.1"/>
    <n v="35000"/>
    <n v="2255.0499999999997"/>
    <n v="225.505"/>
    <n v="2029.5449999999996"/>
    <n v="1050"/>
    <n v="979.54499999999962"/>
    <x v="3"/>
    <n v="3"/>
    <n v="2024"/>
  </r>
  <r>
    <s v="ORD-202472518"/>
    <s v="2024-01-04 11:19"/>
    <s v="Sandra Aguilar"/>
    <s v="russellwilliams@example.com"/>
    <x v="8"/>
    <x v="2"/>
    <x v="18"/>
    <x v="3"/>
    <s v="Bank Transfer"/>
    <s v="Pending"/>
    <n v="9"/>
    <n v="1125.06"/>
    <n v="0.15"/>
    <x v="3"/>
    <s v="JP"/>
    <n v="0.1"/>
    <n v="35000"/>
    <n v="10125.539999999999"/>
    <n v="1518.8309999999999"/>
    <n v="8606.7089999999989"/>
    <n v="1350"/>
    <n v="7256.7089999999989"/>
    <x v="1"/>
    <n v="1"/>
    <n v="2024"/>
  </r>
  <r>
    <s v="ORD-202445774"/>
    <s v="2024-08-11 15:01"/>
    <s v="Rebecca Valencia"/>
    <s v="jason31@example.com"/>
    <x v="8"/>
    <x v="4"/>
    <x v="19"/>
    <x v="0"/>
    <s v="Bank Transfer"/>
    <s v="Completed"/>
    <n v="8"/>
    <n v="1090.4100000000001"/>
    <n v="0"/>
    <x v="3"/>
    <s v="JP"/>
    <n v="0.1"/>
    <n v="30000"/>
    <n v="8723.2800000000007"/>
    <n v="0"/>
    <n v="8723.2800000000007"/>
    <n v="1600"/>
    <n v="7123.2800000000007"/>
    <x v="5"/>
    <n v="3"/>
    <n v="2024"/>
  </r>
  <r>
    <s v="ORD-202421003"/>
    <s v="2024-11-25 13:08"/>
    <s v="Stacey Russell"/>
    <s v="sarayoung@example.org"/>
    <x v="9"/>
    <x v="0"/>
    <x v="20"/>
    <x v="1"/>
    <s v="E-Wallet"/>
    <s v="Cancelled"/>
    <n v="6"/>
    <n v="401.33"/>
    <n v="0"/>
    <x v="3"/>
    <s v="KR"/>
    <n v="0.1"/>
    <n v="40000"/>
    <n v="2407.98"/>
    <n v="0"/>
    <n v="2407.98"/>
    <n v="720"/>
    <n v="1687.98"/>
    <x v="11"/>
    <n v="4"/>
    <n v="2024"/>
  </r>
  <r>
    <s v="ORD-202459692"/>
    <s v="2024-05-22 13:16"/>
    <s v="Rita Keith"/>
    <s v="whitesandra@example.com"/>
    <x v="7"/>
    <x v="2"/>
    <x v="11"/>
    <x v="3"/>
    <s v="Credit Card"/>
    <s v="Completed"/>
    <n v="1"/>
    <n v="1127.3"/>
    <n v="0.05"/>
    <x v="0"/>
    <s v="MY"/>
    <n v="0.06"/>
    <n v="35000"/>
    <n v="1127.3"/>
    <n v="56.365000000000002"/>
    <n v="1070.9349999999999"/>
    <n v="150"/>
    <n v="920.93499999999995"/>
    <x v="2"/>
    <n v="2"/>
    <n v="2024"/>
  </r>
  <r>
    <s v="ORD-202414067"/>
    <s v="2024-05-06 06:53"/>
    <s v="Sharon Cochran"/>
    <s v="erik16@example.org"/>
    <x v="3"/>
    <x v="1"/>
    <x v="9"/>
    <x v="0"/>
    <s v="Cash"/>
    <s v="Pending"/>
    <n v="8"/>
    <n v="369.24"/>
    <n v="0.2"/>
    <x v="0"/>
    <s v="ID"/>
    <n v="0.11"/>
    <n v="45000"/>
    <n v="2953.92"/>
    <n v="590.78399999999999"/>
    <n v="2363.136"/>
    <n v="640"/>
    <n v="1723.136"/>
    <x v="2"/>
    <n v="2"/>
    <n v="2024"/>
  </r>
  <r>
    <s v="ORD-202470952"/>
    <s v="2024-12-24 08:49"/>
    <s v="Courtney Velasquez"/>
    <s v="ybailey@example.org"/>
    <x v="4"/>
    <x v="0"/>
    <x v="12"/>
    <x v="2"/>
    <s v="Credit Card"/>
    <s v="Completed"/>
    <n v="2"/>
    <n v="916.76"/>
    <n v="0"/>
    <x v="0"/>
    <s v="PH"/>
    <n v="0.12"/>
    <n v="40000"/>
    <n v="1833.52"/>
    <n v="0"/>
    <n v="1833.52"/>
    <n v="240"/>
    <n v="1593.52"/>
    <x v="10"/>
    <n v="4"/>
    <n v="2024"/>
  </r>
  <r>
    <s v="ORD-202450888"/>
    <s v="2024-10-21 21:58"/>
    <s v="Matthew Ross"/>
    <s v="michelle45@example.net"/>
    <x v="8"/>
    <x v="2"/>
    <x v="21"/>
    <x v="2"/>
    <s v="Cash"/>
    <s v="Completed"/>
    <n v="4"/>
    <n v="127.85"/>
    <n v="0"/>
    <x v="3"/>
    <s v="JP"/>
    <n v="0.1"/>
    <n v="35000"/>
    <n v="511.4"/>
    <n v="0"/>
    <n v="511.4"/>
    <n v="600"/>
    <n v="-88.600000000000023"/>
    <x v="9"/>
    <n v="4"/>
    <n v="2024"/>
  </r>
  <r>
    <s v="ORD-202484177"/>
    <s v="2024-01-22 11:34"/>
    <s v="Meghan Anthony"/>
    <s v="sheila14@example.org"/>
    <x v="8"/>
    <x v="4"/>
    <x v="16"/>
    <x v="1"/>
    <s v="Bank Transfer"/>
    <s v="Completed"/>
    <n v="6"/>
    <n v="766.35"/>
    <n v="0"/>
    <x v="3"/>
    <s v="JP"/>
    <n v="0.1"/>
    <n v="30000"/>
    <n v="4598.1000000000004"/>
    <n v="0"/>
    <n v="4598.1000000000004"/>
    <n v="1200"/>
    <n v="3398.1000000000004"/>
    <x v="1"/>
    <n v="1"/>
    <n v="2024"/>
  </r>
  <r>
    <s v="ORD-202466822"/>
    <s v="2024-07-04 20:57"/>
    <s v="Victoria Johnson"/>
    <s v="yreed@example.com"/>
    <x v="9"/>
    <x v="0"/>
    <x v="15"/>
    <x v="2"/>
    <s v="Cash"/>
    <s v="Returned"/>
    <n v="9"/>
    <n v="276.56"/>
    <n v="0.2"/>
    <x v="3"/>
    <s v="KR"/>
    <n v="0.1"/>
    <n v="40000"/>
    <n v="2489.04"/>
    <n v="497.80799999999999"/>
    <n v="1991.232"/>
    <n v="1080"/>
    <n v="911.23199999999997"/>
    <x v="3"/>
    <n v="3"/>
    <n v="2024"/>
  </r>
  <r>
    <s v="ORD-202470931"/>
    <s v="2024-08-11 23:37"/>
    <s v="William Wilson"/>
    <s v="jonathanfletcher@example.org"/>
    <x v="0"/>
    <x v="4"/>
    <x v="5"/>
    <x v="1"/>
    <s v="Debit Card"/>
    <s v="Returned"/>
    <n v="2"/>
    <n v="1248.6400000000001"/>
    <n v="0.05"/>
    <x v="0"/>
    <s v="VN"/>
    <n v="0.1"/>
    <n v="30000"/>
    <n v="2497.2800000000002"/>
    <n v="124.86400000000002"/>
    <n v="2372.4160000000002"/>
    <n v="400"/>
    <n v="1972.4160000000002"/>
    <x v="5"/>
    <n v="3"/>
    <n v="2024"/>
  </r>
  <r>
    <s v="ORD-202484691"/>
    <s v="2024-11-08 21:24"/>
    <s v="Renee Mcdaniel"/>
    <s v="michaeljones@example.net"/>
    <x v="4"/>
    <x v="3"/>
    <x v="3"/>
    <x v="3"/>
    <s v="E-Wallet"/>
    <s v="Cancelled"/>
    <n v="3"/>
    <n v="1278.6600000000001"/>
    <n v="0.1"/>
    <x v="0"/>
    <s v="PH"/>
    <n v="0.12"/>
    <n v="50000"/>
    <n v="3835.9800000000005"/>
    <n v="383.59800000000007"/>
    <n v="3452.3820000000005"/>
    <n v="1350"/>
    <n v="2102.3820000000005"/>
    <x v="11"/>
    <n v="4"/>
    <n v="2024"/>
  </r>
  <r>
    <s v="ORD-202454608"/>
    <s v="2024-05-23 19:44"/>
    <s v="Lisa Alvarado"/>
    <s v="cortezkevin@example.com"/>
    <x v="0"/>
    <x v="1"/>
    <x v="13"/>
    <x v="3"/>
    <s v="Bank Transfer"/>
    <s v="Returned"/>
    <n v="4"/>
    <n v="782.19"/>
    <n v="0"/>
    <x v="0"/>
    <s v="VN"/>
    <n v="0.1"/>
    <n v="45000"/>
    <n v="3128.76"/>
    <n v="0"/>
    <n v="3128.76"/>
    <n v="320"/>
    <n v="2808.76"/>
    <x v="2"/>
    <n v="2"/>
    <n v="2024"/>
  </r>
  <r>
    <s v="ORD-202482768"/>
    <s v="2024-05-03 22:30"/>
    <s v="Erika Terry"/>
    <s v="jamesortega@example.com"/>
    <x v="9"/>
    <x v="2"/>
    <x v="11"/>
    <x v="3"/>
    <s v="E-Wallet"/>
    <s v="Cancelled"/>
    <n v="4"/>
    <n v="153.18"/>
    <n v="0.1"/>
    <x v="3"/>
    <s v="KR"/>
    <n v="0.1"/>
    <n v="35000"/>
    <n v="612.72"/>
    <n v="61.272000000000006"/>
    <n v="551.44799999999998"/>
    <n v="600"/>
    <n v="-48.552000000000021"/>
    <x v="2"/>
    <n v="2"/>
    <n v="2024"/>
  </r>
  <r>
    <s v="ORD-202472031"/>
    <s v="2024-10-10 16:22"/>
    <s v="Stephanie Gilbert"/>
    <s v="richard04@example.com"/>
    <x v="8"/>
    <x v="1"/>
    <x v="22"/>
    <x v="2"/>
    <s v="E-Wallet"/>
    <s v="Pending"/>
    <n v="8"/>
    <n v="537.44000000000005"/>
    <n v="0.05"/>
    <x v="3"/>
    <s v="JP"/>
    <n v="0.1"/>
    <n v="45000"/>
    <n v="4299.5200000000004"/>
    <n v="214.97600000000003"/>
    <n v="4084.5440000000003"/>
    <n v="640"/>
    <n v="3444.5440000000003"/>
    <x v="9"/>
    <n v="4"/>
    <n v="2024"/>
  </r>
  <r>
    <s v="ORD-202425814"/>
    <s v="2024-04-08 10:07"/>
    <s v="Richard Lawson"/>
    <s v="steven73@example.net"/>
    <x v="5"/>
    <x v="0"/>
    <x v="0"/>
    <x v="2"/>
    <s v="Credit Card"/>
    <s v="Pending"/>
    <n v="8"/>
    <n v="336.33"/>
    <n v="0.05"/>
    <x v="1"/>
    <s v="AU"/>
    <n v="0.1"/>
    <n v="40000"/>
    <n v="2690.64"/>
    <n v="134.53200000000001"/>
    <n v="2556.1079999999997"/>
    <n v="960"/>
    <n v="1596.1079999999997"/>
    <x v="4"/>
    <n v="2"/>
    <n v="2024"/>
  </r>
  <r>
    <s v="ORD-202448829"/>
    <s v="2024-04-26 11:11"/>
    <s v="Steven Flynn"/>
    <s v="donnacampbell@example.net"/>
    <x v="0"/>
    <x v="3"/>
    <x v="10"/>
    <x v="2"/>
    <s v="Debit Card"/>
    <s v="Returned"/>
    <n v="1"/>
    <n v="202.98"/>
    <n v="0"/>
    <x v="0"/>
    <s v="VN"/>
    <n v="0.1"/>
    <n v="50000"/>
    <n v="202.98"/>
    <n v="0"/>
    <n v="202.98"/>
    <n v="450"/>
    <n v="-247.02"/>
    <x v="4"/>
    <n v="2"/>
    <n v="2024"/>
  </r>
  <r>
    <s v="ORD-202423446"/>
    <s v="2024-01-07 18:18"/>
    <s v="Frances Cardenas"/>
    <s v="emilywalker@example.org"/>
    <x v="9"/>
    <x v="2"/>
    <x v="17"/>
    <x v="1"/>
    <s v="Credit Card"/>
    <s v="Completed"/>
    <n v="1"/>
    <n v="520.95000000000005"/>
    <n v="0.05"/>
    <x v="3"/>
    <s v="KR"/>
    <n v="0.1"/>
    <n v="35000"/>
    <n v="520.95000000000005"/>
    <n v="26.047500000000003"/>
    <n v="494.90250000000003"/>
    <n v="150"/>
    <n v="344.90250000000003"/>
    <x v="1"/>
    <n v="1"/>
    <n v="2024"/>
  </r>
  <r>
    <s v="ORD-202462521"/>
    <s v="2024-09-08 02:36"/>
    <s v="Angel Riggs"/>
    <s v="gibsonolivia@example.net"/>
    <x v="3"/>
    <x v="0"/>
    <x v="0"/>
    <x v="3"/>
    <s v="Credit Card"/>
    <s v="Returned"/>
    <n v="5"/>
    <n v="1219.55"/>
    <n v="0"/>
    <x v="0"/>
    <s v="ID"/>
    <n v="0.11"/>
    <n v="40000"/>
    <n v="6097.75"/>
    <n v="0"/>
    <n v="6097.75"/>
    <n v="600"/>
    <n v="5497.75"/>
    <x v="6"/>
    <n v="3"/>
    <n v="2024"/>
  </r>
  <r>
    <s v="ORD-202489471"/>
    <s v="2024-11-01 19:14"/>
    <s v="Michael Snyder"/>
    <s v="dylanwatts@example.org"/>
    <x v="5"/>
    <x v="2"/>
    <x v="17"/>
    <x v="1"/>
    <s v="E-Wallet"/>
    <s v="Completed"/>
    <n v="5"/>
    <n v="1364.13"/>
    <n v="0.15"/>
    <x v="1"/>
    <s v="AU"/>
    <n v="0.1"/>
    <n v="35000"/>
    <n v="6820.6500000000005"/>
    <n v="1023.0975000000001"/>
    <n v="5797.5525000000007"/>
    <n v="750"/>
    <n v="5047.5525000000007"/>
    <x v="11"/>
    <n v="4"/>
    <n v="2024"/>
  </r>
  <r>
    <s v="ORD-202489905"/>
    <s v="2024-02-20 06:40"/>
    <s v="Colleen Brock"/>
    <s v="pwilliams@example.org"/>
    <x v="1"/>
    <x v="4"/>
    <x v="16"/>
    <x v="0"/>
    <s v="Debit Card"/>
    <s v="Completed"/>
    <n v="3"/>
    <n v="248.23"/>
    <n v="0.15"/>
    <x v="0"/>
    <s v="TH"/>
    <n v="7.0000000000000007E-2"/>
    <n v="30000"/>
    <n v="744.68999999999994"/>
    <n v="111.70349999999999"/>
    <n v="632.98649999999998"/>
    <n v="600"/>
    <n v="32.986499999999978"/>
    <x v="0"/>
    <n v="1"/>
    <n v="2024"/>
  </r>
  <r>
    <s v="ORD-202463545"/>
    <s v="2024-08-18 22:38"/>
    <s v="Robert Contreras"/>
    <s v="stephanie79@example.net"/>
    <x v="9"/>
    <x v="4"/>
    <x v="16"/>
    <x v="1"/>
    <s v="Credit Card"/>
    <s v="Pending"/>
    <n v="5"/>
    <n v="358.74"/>
    <n v="0.2"/>
    <x v="3"/>
    <s v="KR"/>
    <n v="0.1"/>
    <n v="30000"/>
    <n v="1793.7"/>
    <n v="358.74"/>
    <n v="1434.96"/>
    <n v="1000"/>
    <n v="434.96000000000004"/>
    <x v="5"/>
    <n v="3"/>
    <n v="2024"/>
  </r>
  <r>
    <s v="ORD-202444675"/>
    <s v="2024-11-16 18:42"/>
    <s v="Jessica Meadows"/>
    <s v="vmerritt@example.com"/>
    <x v="1"/>
    <x v="2"/>
    <x v="11"/>
    <x v="3"/>
    <s v="Credit Card"/>
    <s v="Completed"/>
    <n v="3"/>
    <n v="823.68"/>
    <n v="0.05"/>
    <x v="0"/>
    <s v="TH"/>
    <n v="7.0000000000000007E-2"/>
    <n v="35000"/>
    <n v="2471.04"/>
    <n v="123.55200000000001"/>
    <n v="2347.4879999999998"/>
    <n v="450"/>
    <n v="1897.4879999999998"/>
    <x v="11"/>
    <n v="4"/>
    <n v="2024"/>
  </r>
  <r>
    <s v="ORD-202431747"/>
    <s v="2024-06-06 19:47"/>
    <s v="Paul Larsen"/>
    <s v="katie87@example.net"/>
    <x v="6"/>
    <x v="4"/>
    <x v="19"/>
    <x v="1"/>
    <s v="E-Wallet"/>
    <s v="Returned"/>
    <n v="5"/>
    <n v="199.67"/>
    <n v="0.2"/>
    <x v="2"/>
    <s v="IN"/>
    <n v="0.18"/>
    <n v="30000"/>
    <n v="998.34999999999991"/>
    <n v="199.67"/>
    <n v="798.68"/>
    <n v="1000"/>
    <n v="-201.32000000000005"/>
    <x v="8"/>
    <n v="2"/>
    <n v="2024"/>
  </r>
  <r>
    <s v="ORD-202467377"/>
    <s v="2024-02-11 19:02"/>
    <s v="Jeremiah Reeves"/>
    <s v="josephflores@example.net"/>
    <x v="8"/>
    <x v="4"/>
    <x v="6"/>
    <x v="0"/>
    <s v="E-Wallet"/>
    <s v="Completed"/>
    <n v="2"/>
    <n v="386.8"/>
    <n v="0"/>
    <x v="3"/>
    <s v="JP"/>
    <n v="0.1"/>
    <n v="30000"/>
    <n v="773.6"/>
    <n v="0"/>
    <n v="773.6"/>
    <n v="400"/>
    <n v="373.6"/>
    <x v="0"/>
    <n v="1"/>
    <n v="2024"/>
  </r>
  <r>
    <s v="ORD-202432962"/>
    <s v="2024-08-28 16:41"/>
    <s v="Chris Reyes"/>
    <s v="jasminebrown@example.com"/>
    <x v="9"/>
    <x v="4"/>
    <x v="5"/>
    <x v="1"/>
    <s v="Credit Card"/>
    <s v="Returned"/>
    <n v="7"/>
    <n v="1495.46"/>
    <n v="0.2"/>
    <x v="3"/>
    <s v="KR"/>
    <n v="0.1"/>
    <n v="30000"/>
    <n v="10468.220000000001"/>
    <n v="2093.6440000000002"/>
    <n v="8374.5760000000009"/>
    <n v="1400"/>
    <n v="6974.5760000000009"/>
    <x v="5"/>
    <n v="3"/>
    <n v="2024"/>
  </r>
  <r>
    <s v="ORD-202455607"/>
    <s v="2024-07-28 10:20"/>
    <s v="John Brown"/>
    <s v="xprice@example.net"/>
    <x v="7"/>
    <x v="0"/>
    <x v="4"/>
    <x v="1"/>
    <s v="Cash"/>
    <s v="Completed"/>
    <n v="8"/>
    <n v="626.29"/>
    <n v="0.05"/>
    <x v="0"/>
    <s v="MY"/>
    <n v="0.06"/>
    <n v="40000"/>
    <n v="5010.32"/>
    <n v="250.51599999999999"/>
    <n v="4759.8040000000001"/>
    <n v="960"/>
    <n v="3799.8040000000001"/>
    <x v="3"/>
    <n v="3"/>
    <n v="2024"/>
  </r>
  <r>
    <s v="ORD-202469614"/>
    <s v="2024-02-15 10:16"/>
    <s v="Alicia Gilmore"/>
    <s v="wwoods@example.com"/>
    <x v="4"/>
    <x v="3"/>
    <x v="3"/>
    <x v="1"/>
    <s v="Bank Transfer"/>
    <s v="Completed"/>
    <n v="1"/>
    <n v="1299.3900000000001"/>
    <n v="0.2"/>
    <x v="0"/>
    <s v="PH"/>
    <n v="0.12"/>
    <n v="50000"/>
    <n v="1299.3900000000001"/>
    <n v="259.87800000000004"/>
    <n v="1039.5120000000002"/>
    <n v="450"/>
    <n v="589.51200000000017"/>
    <x v="0"/>
    <n v="1"/>
    <n v="2024"/>
  </r>
  <r>
    <s v="ORD-202434586"/>
    <s v="2024-09-22 11:39"/>
    <s v="Sarah Ashley"/>
    <s v="vmedina@example.net"/>
    <x v="9"/>
    <x v="2"/>
    <x v="11"/>
    <x v="2"/>
    <s v="Bank Transfer"/>
    <s v="Returned"/>
    <n v="9"/>
    <n v="317.27999999999997"/>
    <n v="0"/>
    <x v="3"/>
    <s v="KR"/>
    <n v="0.1"/>
    <n v="35000"/>
    <n v="2855.5199999999995"/>
    <n v="0"/>
    <n v="2855.5199999999995"/>
    <n v="1350"/>
    <n v="1505.5199999999995"/>
    <x v="6"/>
    <n v="3"/>
    <n v="2024"/>
  </r>
  <r>
    <s v="ORD-202425915"/>
    <s v="2024-01-15 20:38"/>
    <s v="Stephanie Freeman"/>
    <s v="ryan06@example.com"/>
    <x v="1"/>
    <x v="0"/>
    <x v="4"/>
    <x v="0"/>
    <s v="Debit Card"/>
    <s v="Completed"/>
    <n v="9"/>
    <n v="833"/>
    <n v="0.1"/>
    <x v="0"/>
    <s v="TH"/>
    <n v="7.0000000000000007E-2"/>
    <n v="40000"/>
    <n v="7497"/>
    <n v="749.7"/>
    <n v="6747.3"/>
    <n v="1080"/>
    <n v="5667.3"/>
    <x v="1"/>
    <n v="1"/>
    <n v="2024"/>
  </r>
  <r>
    <s v="ORD-202470482"/>
    <s v="2024-03-01 20:53"/>
    <s v="Rebecca Ramsey"/>
    <s v="ncalhoun@example.net"/>
    <x v="2"/>
    <x v="2"/>
    <x v="2"/>
    <x v="1"/>
    <s v="Bank Transfer"/>
    <s v="Pending"/>
    <n v="5"/>
    <n v="770.67"/>
    <n v="0.1"/>
    <x v="0"/>
    <s v="SG"/>
    <n v="7.0000000000000007E-2"/>
    <n v="35000"/>
    <n v="3853.35"/>
    <n v="385.33500000000004"/>
    <n v="3468.0149999999999"/>
    <n v="750"/>
    <n v="2718.0149999999999"/>
    <x v="7"/>
    <n v="1"/>
    <n v="2024"/>
  </r>
  <r>
    <s v="ORD-202469871"/>
    <s v="2024-10-09 04:24"/>
    <s v="James Elliott"/>
    <s v="millerroy@example.com"/>
    <x v="1"/>
    <x v="1"/>
    <x v="1"/>
    <x v="2"/>
    <s v="Bank Transfer"/>
    <s v="Cancelled"/>
    <n v="3"/>
    <n v="1123.24"/>
    <n v="0"/>
    <x v="0"/>
    <s v="TH"/>
    <n v="7.0000000000000007E-2"/>
    <n v="45000"/>
    <n v="3369.7200000000003"/>
    <n v="0"/>
    <n v="3369.7200000000003"/>
    <n v="240"/>
    <n v="3129.7200000000003"/>
    <x v="9"/>
    <n v="4"/>
    <n v="2024"/>
  </r>
  <r>
    <s v="ORD-202476550"/>
    <s v="2024-05-16 00:18"/>
    <s v="David Murphy"/>
    <s v="wmurphy@example.com"/>
    <x v="0"/>
    <x v="1"/>
    <x v="1"/>
    <x v="1"/>
    <s v="Cash"/>
    <s v="Returned"/>
    <n v="8"/>
    <n v="1498.37"/>
    <n v="0"/>
    <x v="0"/>
    <s v="VN"/>
    <n v="0.1"/>
    <n v="45000"/>
    <n v="11986.96"/>
    <n v="0"/>
    <n v="11986.96"/>
    <n v="640"/>
    <n v="11346.96"/>
    <x v="2"/>
    <n v="2"/>
    <n v="2024"/>
  </r>
  <r>
    <s v="ORD-202455236"/>
    <s v="2024-06-19 17:48"/>
    <s v="Trevor Fisher"/>
    <s v="ruizkaitlyn@example.org"/>
    <x v="5"/>
    <x v="2"/>
    <x v="17"/>
    <x v="3"/>
    <s v="Cash"/>
    <s v="Returned"/>
    <n v="4"/>
    <n v="1400.29"/>
    <n v="0.2"/>
    <x v="1"/>
    <s v="AU"/>
    <n v="0.1"/>
    <n v="35000"/>
    <n v="5601.16"/>
    <n v="1120.232"/>
    <n v="4480.9279999999999"/>
    <n v="600"/>
    <n v="3880.9279999999999"/>
    <x v="8"/>
    <n v="2"/>
    <n v="2024"/>
  </r>
  <r>
    <s v="ORD-202440613"/>
    <s v="2024-07-29 01:20"/>
    <s v="Mrs. Marie Harrington DDS"/>
    <s v="herringjames@example.org"/>
    <x v="9"/>
    <x v="2"/>
    <x v="17"/>
    <x v="0"/>
    <s v="Debit Card"/>
    <s v="Cancelled"/>
    <n v="3"/>
    <n v="1482.79"/>
    <n v="0.1"/>
    <x v="3"/>
    <s v="KR"/>
    <n v="0.1"/>
    <n v="35000"/>
    <n v="4448.37"/>
    <n v="444.83699999999999"/>
    <n v="4003.5329999999999"/>
    <n v="450"/>
    <n v="3553.5329999999999"/>
    <x v="3"/>
    <n v="3"/>
    <n v="2024"/>
  </r>
  <r>
    <s v="ORD-202423154"/>
    <s v="2024-08-13 03:33"/>
    <s v="Cynthia Wells"/>
    <s v="elliottjeffery@example.net"/>
    <x v="9"/>
    <x v="3"/>
    <x v="7"/>
    <x v="1"/>
    <s v="E-Wallet"/>
    <s v="Cancelled"/>
    <n v="3"/>
    <n v="623.82000000000005"/>
    <n v="0"/>
    <x v="3"/>
    <s v="KR"/>
    <n v="0.1"/>
    <n v="50000"/>
    <n v="1871.46"/>
    <n v="0"/>
    <n v="1871.46"/>
    <n v="1350"/>
    <n v="521.46"/>
    <x v="5"/>
    <n v="3"/>
    <n v="2024"/>
  </r>
  <r>
    <s v="ORD-202491691"/>
    <s v="2024-12-20 12:41"/>
    <s v="Jacob Obrien"/>
    <s v="stricklandfrank@example.com"/>
    <x v="7"/>
    <x v="4"/>
    <x v="6"/>
    <x v="1"/>
    <s v="Cash"/>
    <s v="Completed"/>
    <n v="6"/>
    <n v="579.30999999999995"/>
    <n v="0.2"/>
    <x v="0"/>
    <s v="MY"/>
    <n v="0.06"/>
    <n v="30000"/>
    <n v="3475.8599999999997"/>
    <n v="695.17200000000003"/>
    <n v="2780.6879999999996"/>
    <n v="1200"/>
    <n v="1580.6879999999996"/>
    <x v="10"/>
    <n v="4"/>
    <n v="2024"/>
  </r>
  <r>
    <s v="ORD-202490931"/>
    <s v="2024-02-05 07:40"/>
    <s v="Alexander Collins"/>
    <s v="tsanders@example.org"/>
    <x v="0"/>
    <x v="0"/>
    <x v="20"/>
    <x v="0"/>
    <s v="Bank Transfer"/>
    <s v="Pending"/>
    <n v="2"/>
    <n v="659.45"/>
    <n v="0.2"/>
    <x v="0"/>
    <s v="VN"/>
    <n v="0.1"/>
    <n v="40000"/>
    <n v="1318.9"/>
    <n v="263.78000000000003"/>
    <n v="1055.1200000000001"/>
    <n v="240"/>
    <n v="815.12000000000012"/>
    <x v="0"/>
    <n v="1"/>
    <n v="2024"/>
  </r>
  <r>
    <s v="ORD-202449251"/>
    <s v="2024-01-15 01:20"/>
    <s v="Michael Burton"/>
    <s v="terrykevin@example.net"/>
    <x v="3"/>
    <x v="4"/>
    <x v="23"/>
    <x v="1"/>
    <s v="Cash"/>
    <s v="Pending"/>
    <n v="3"/>
    <n v="571.64"/>
    <n v="0"/>
    <x v="0"/>
    <s v="ID"/>
    <n v="0.11"/>
    <n v="30000"/>
    <n v="1714.92"/>
    <n v="0"/>
    <n v="1714.92"/>
    <n v="600"/>
    <n v="1114.92"/>
    <x v="1"/>
    <n v="1"/>
    <n v="2024"/>
  </r>
  <r>
    <s v="ORD-202432280"/>
    <s v="2024-03-30 02:39"/>
    <s v="Barbara Riggs"/>
    <s v="reedross@example.com"/>
    <x v="8"/>
    <x v="1"/>
    <x v="9"/>
    <x v="3"/>
    <s v="Bank Transfer"/>
    <s v="Cancelled"/>
    <n v="10"/>
    <n v="754.04"/>
    <n v="0"/>
    <x v="3"/>
    <s v="JP"/>
    <n v="0.1"/>
    <n v="45000"/>
    <n v="7540.4"/>
    <n v="0"/>
    <n v="7540.4"/>
    <n v="800"/>
    <n v="6740.4"/>
    <x v="7"/>
    <n v="1"/>
    <n v="2024"/>
  </r>
  <r>
    <s v="ORD-202470236"/>
    <s v="2024-05-10 21:00"/>
    <s v="Matthew Smith"/>
    <s v="gshort@example.com"/>
    <x v="9"/>
    <x v="4"/>
    <x v="6"/>
    <x v="2"/>
    <s v="Bank Transfer"/>
    <s v="Cancelled"/>
    <n v="8"/>
    <n v="249.59"/>
    <n v="0.05"/>
    <x v="3"/>
    <s v="KR"/>
    <n v="0.1"/>
    <n v="30000"/>
    <n v="1996.72"/>
    <n v="99.836000000000013"/>
    <n v="1896.884"/>
    <n v="1600"/>
    <n v="296.88400000000001"/>
    <x v="2"/>
    <n v="2"/>
    <n v="2024"/>
  </r>
  <r>
    <s v="ORD-202469878"/>
    <s v="2024-06-03 06:24"/>
    <s v="Madison Poole"/>
    <s v="ryangross@example.net"/>
    <x v="9"/>
    <x v="3"/>
    <x v="7"/>
    <x v="2"/>
    <s v="E-Wallet"/>
    <s v="Completed"/>
    <n v="6"/>
    <n v="581.33000000000004"/>
    <n v="0.15"/>
    <x v="3"/>
    <s v="KR"/>
    <n v="0.1"/>
    <n v="50000"/>
    <n v="3487.9800000000005"/>
    <n v="523.197"/>
    <n v="2964.7830000000004"/>
    <n v="2700"/>
    <n v="264.78300000000036"/>
    <x v="8"/>
    <n v="2"/>
    <n v="2024"/>
  </r>
  <r>
    <s v="ORD-202496275"/>
    <s v="2024-07-21 08:00"/>
    <s v="Robert Medina"/>
    <s v="umarshall@example.net"/>
    <x v="6"/>
    <x v="3"/>
    <x v="10"/>
    <x v="2"/>
    <s v="Debit Card"/>
    <s v="Pending"/>
    <n v="5"/>
    <n v="1121.58"/>
    <n v="0"/>
    <x v="2"/>
    <s v="IN"/>
    <n v="0.18"/>
    <n v="50000"/>
    <n v="5607.9"/>
    <n v="0"/>
    <n v="5607.9"/>
    <n v="2250"/>
    <n v="3357.8999999999996"/>
    <x v="3"/>
    <n v="3"/>
    <n v="2024"/>
  </r>
  <r>
    <s v="ORD-202491381"/>
    <s v="2024-05-08 21:48"/>
    <s v="Samuel Rivas"/>
    <s v="ramirezshannon@example.com"/>
    <x v="2"/>
    <x v="3"/>
    <x v="8"/>
    <x v="2"/>
    <s v="Debit Card"/>
    <s v="Completed"/>
    <n v="8"/>
    <n v="473.77"/>
    <n v="0"/>
    <x v="0"/>
    <s v="SG"/>
    <n v="7.0000000000000007E-2"/>
    <n v="50000"/>
    <n v="3790.16"/>
    <n v="0"/>
    <n v="3790.16"/>
    <n v="3600"/>
    <n v="190.15999999999985"/>
    <x v="2"/>
    <n v="2"/>
    <n v="2024"/>
  </r>
  <r>
    <s v="ORD-202448680"/>
    <s v="2024-06-16 23:26"/>
    <s v="Mary Rogers"/>
    <s v="lrosales@example.com"/>
    <x v="2"/>
    <x v="0"/>
    <x v="0"/>
    <x v="2"/>
    <s v="Debit Card"/>
    <s v="Cancelled"/>
    <n v="6"/>
    <n v="1182.97"/>
    <n v="0.15"/>
    <x v="0"/>
    <s v="SG"/>
    <n v="7.0000000000000007E-2"/>
    <n v="40000"/>
    <n v="7097.82"/>
    <n v="1064.673"/>
    <n v="6033.1469999999999"/>
    <n v="720"/>
    <n v="5313.1469999999999"/>
    <x v="8"/>
    <n v="2"/>
    <n v="2024"/>
  </r>
  <r>
    <s v="ORD-202473156"/>
    <s v="2024-05-31 23:55"/>
    <s v="Robert Peterson"/>
    <s v="angela83@example.org"/>
    <x v="4"/>
    <x v="3"/>
    <x v="3"/>
    <x v="1"/>
    <s v="Cash"/>
    <s v="Cancelled"/>
    <n v="3"/>
    <n v="1444.9"/>
    <n v="0"/>
    <x v="0"/>
    <s v="PH"/>
    <n v="0.12"/>
    <n v="50000"/>
    <n v="4334.7000000000007"/>
    <n v="0"/>
    <n v="4334.7000000000007"/>
    <n v="1350"/>
    <n v="2984.7000000000007"/>
    <x v="2"/>
    <n v="2"/>
    <n v="2024"/>
  </r>
  <r>
    <s v="ORD-202421836"/>
    <s v="2024-07-21 00:16"/>
    <s v="Jason Peters"/>
    <s v="hannahbrewer@example.com"/>
    <x v="5"/>
    <x v="3"/>
    <x v="3"/>
    <x v="1"/>
    <s v="E-Wallet"/>
    <s v="Completed"/>
    <n v="5"/>
    <n v="562.35"/>
    <n v="0.15"/>
    <x v="1"/>
    <s v="AU"/>
    <n v="0.1"/>
    <n v="50000"/>
    <n v="2811.75"/>
    <n v="421.76249999999999"/>
    <n v="2389.9875000000002"/>
    <n v="2250"/>
    <n v="139.98750000000018"/>
    <x v="3"/>
    <n v="3"/>
    <n v="2024"/>
  </r>
  <r>
    <s v="ORD-202498452"/>
    <s v="2024-04-29 15:01"/>
    <s v="Alan Phillips"/>
    <s v="tholt@example.net"/>
    <x v="6"/>
    <x v="1"/>
    <x v="22"/>
    <x v="0"/>
    <s v="Bank Transfer"/>
    <s v="Cancelled"/>
    <n v="4"/>
    <n v="1374.16"/>
    <n v="0.2"/>
    <x v="2"/>
    <s v="IN"/>
    <n v="0.18"/>
    <n v="45000"/>
    <n v="5496.64"/>
    <n v="1099.3280000000002"/>
    <n v="4397.3119999999999"/>
    <n v="320"/>
    <n v="4077.3119999999999"/>
    <x v="4"/>
    <n v="2"/>
    <n v="2024"/>
  </r>
  <r>
    <s v="ORD-202495097"/>
    <s v="2024-07-28 03:08"/>
    <s v="Kara Schmidt"/>
    <s v="jbarajas@example.com"/>
    <x v="3"/>
    <x v="3"/>
    <x v="14"/>
    <x v="3"/>
    <s v="Cash"/>
    <s v="Pending"/>
    <n v="2"/>
    <n v="1493.95"/>
    <n v="0"/>
    <x v="0"/>
    <s v="ID"/>
    <n v="0.11"/>
    <n v="50000"/>
    <n v="2987.9"/>
    <n v="0"/>
    <n v="2987.9"/>
    <n v="900"/>
    <n v="2087.9"/>
    <x v="3"/>
    <n v="3"/>
    <n v="2024"/>
  </r>
  <r>
    <s v="ORD-202460940"/>
    <s v="2024-08-20 11:42"/>
    <s v="Jesse Parker"/>
    <s v="davidlee@example.org"/>
    <x v="5"/>
    <x v="2"/>
    <x v="18"/>
    <x v="0"/>
    <s v="Bank Transfer"/>
    <s v="Returned"/>
    <n v="3"/>
    <n v="1117.27"/>
    <n v="0.1"/>
    <x v="1"/>
    <s v="AU"/>
    <n v="0.1"/>
    <n v="35000"/>
    <n v="3351.81"/>
    <n v="335.18100000000004"/>
    <n v="3016.6289999999999"/>
    <n v="450"/>
    <n v="2566.6289999999999"/>
    <x v="5"/>
    <n v="3"/>
    <n v="2024"/>
  </r>
  <r>
    <s v="ORD-202446666"/>
    <s v="2024-01-17 22:23"/>
    <s v="Tiffany Vaughn"/>
    <s v="javierwashington@example.net"/>
    <x v="1"/>
    <x v="2"/>
    <x v="17"/>
    <x v="2"/>
    <s v="Cash"/>
    <s v="Cancelled"/>
    <n v="6"/>
    <n v="1426.57"/>
    <n v="0"/>
    <x v="0"/>
    <s v="TH"/>
    <n v="7.0000000000000007E-2"/>
    <n v="35000"/>
    <n v="8559.42"/>
    <n v="0"/>
    <n v="8559.42"/>
    <n v="900"/>
    <n v="7659.42"/>
    <x v="1"/>
    <n v="1"/>
    <n v="2024"/>
  </r>
  <r>
    <s v="ORD-202417936"/>
    <s v="2024-07-22 08:12"/>
    <s v="Paige Carlson"/>
    <s v="wallkenneth@example.com"/>
    <x v="7"/>
    <x v="2"/>
    <x v="11"/>
    <x v="0"/>
    <s v="E-Wallet"/>
    <s v="Pending"/>
    <n v="10"/>
    <n v="999.21"/>
    <n v="0"/>
    <x v="0"/>
    <s v="MY"/>
    <n v="0.06"/>
    <n v="35000"/>
    <n v="9992.1"/>
    <n v="0"/>
    <n v="9992.1"/>
    <n v="1500"/>
    <n v="8492.1"/>
    <x v="3"/>
    <n v="3"/>
    <n v="2024"/>
  </r>
  <r>
    <s v="ORD-202426505"/>
    <s v="2024-10-16 06:04"/>
    <s v="Adrian Ferguson"/>
    <s v="brandon08@example.com"/>
    <x v="5"/>
    <x v="0"/>
    <x v="12"/>
    <x v="3"/>
    <s v="Cash"/>
    <s v="Completed"/>
    <n v="4"/>
    <n v="335.69"/>
    <n v="0.05"/>
    <x v="1"/>
    <s v="AU"/>
    <n v="0.1"/>
    <n v="40000"/>
    <n v="1342.76"/>
    <n v="67.138000000000005"/>
    <n v="1275.6220000000001"/>
    <n v="480"/>
    <n v="795.62200000000007"/>
    <x v="9"/>
    <n v="4"/>
    <n v="2024"/>
  </r>
  <r>
    <s v="ORD-202446342"/>
    <s v="2024-03-15 04:34"/>
    <s v="Beth Oneill"/>
    <s v="agarcia@example.net"/>
    <x v="0"/>
    <x v="0"/>
    <x v="20"/>
    <x v="0"/>
    <s v="E-Wallet"/>
    <s v="Pending"/>
    <n v="1"/>
    <n v="996.67"/>
    <n v="0"/>
    <x v="0"/>
    <s v="VN"/>
    <n v="0.1"/>
    <n v="40000"/>
    <n v="996.67"/>
    <n v="0"/>
    <n v="996.67"/>
    <n v="120"/>
    <n v="876.67"/>
    <x v="7"/>
    <n v="1"/>
    <n v="2024"/>
  </r>
  <r>
    <s v="ORD-202487182"/>
    <s v="2024-06-14 00:11"/>
    <s v="John Peterson"/>
    <s v="kingmichelle@example.org"/>
    <x v="0"/>
    <x v="3"/>
    <x v="7"/>
    <x v="0"/>
    <s v="Bank Transfer"/>
    <s v="Returned"/>
    <n v="9"/>
    <n v="1116.45"/>
    <n v="0"/>
    <x v="0"/>
    <s v="VN"/>
    <n v="0.1"/>
    <n v="50000"/>
    <n v="10048.050000000001"/>
    <n v="0"/>
    <n v="10048.050000000001"/>
    <n v="4050"/>
    <n v="5998.0500000000011"/>
    <x v="8"/>
    <n v="2"/>
    <n v="2024"/>
  </r>
  <r>
    <s v="ORD-202457453"/>
    <s v="2024-09-19 18:06"/>
    <s v="Jennifer Jones"/>
    <s v="hernandezlisa@example.com"/>
    <x v="9"/>
    <x v="1"/>
    <x v="9"/>
    <x v="2"/>
    <s v="Bank Transfer"/>
    <s v="Completed"/>
    <n v="1"/>
    <n v="1418.94"/>
    <n v="0.2"/>
    <x v="3"/>
    <s v="KR"/>
    <n v="0.1"/>
    <n v="45000"/>
    <n v="1418.94"/>
    <n v="283.78800000000001"/>
    <n v="1135.152"/>
    <n v="80"/>
    <n v="1055.152"/>
    <x v="6"/>
    <n v="3"/>
    <n v="2024"/>
  </r>
  <r>
    <s v="ORD-202417972"/>
    <s v="2024-09-02 12:27"/>
    <s v="David Grant"/>
    <s v="yobrien@example.net"/>
    <x v="7"/>
    <x v="2"/>
    <x v="17"/>
    <x v="3"/>
    <s v="Credit Card"/>
    <s v="Pending"/>
    <n v="2"/>
    <n v="124.13"/>
    <n v="0.05"/>
    <x v="0"/>
    <s v="MY"/>
    <n v="0.06"/>
    <n v="35000"/>
    <n v="248.26"/>
    <n v="12.413"/>
    <n v="235.84699999999998"/>
    <n v="300"/>
    <n v="-64.15300000000002"/>
    <x v="6"/>
    <n v="3"/>
    <n v="2024"/>
  </r>
  <r>
    <s v="ORD-202446046"/>
    <s v="2024-11-15 20:37"/>
    <s v="Joseph Hayes"/>
    <s v="levans@example.com"/>
    <x v="5"/>
    <x v="4"/>
    <x v="19"/>
    <x v="1"/>
    <s v="Cash"/>
    <s v="Returned"/>
    <n v="9"/>
    <n v="1492.02"/>
    <n v="0.05"/>
    <x v="1"/>
    <s v="AU"/>
    <n v="0.1"/>
    <n v="30000"/>
    <n v="13428.18"/>
    <n v="671.40900000000011"/>
    <n v="12756.771000000001"/>
    <n v="1800"/>
    <n v="10956.771000000001"/>
    <x v="11"/>
    <n v="4"/>
    <n v="2024"/>
  </r>
  <r>
    <s v="ORD-202422999"/>
    <s v="2024-12-25 03:54"/>
    <s v="Marc Lynch"/>
    <s v="mezajared@example.org"/>
    <x v="5"/>
    <x v="0"/>
    <x v="15"/>
    <x v="2"/>
    <s v="Bank Transfer"/>
    <s v="Returned"/>
    <n v="4"/>
    <n v="685.56"/>
    <n v="0.1"/>
    <x v="1"/>
    <s v="AU"/>
    <n v="0.1"/>
    <n v="40000"/>
    <n v="2742.24"/>
    <n v="274.22399999999999"/>
    <n v="2468.0159999999996"/>
    <n v="480"/>
    <n v="1988.0159999999996"/>
    <x v="10"/>
    <n v="4"/>
    <n v="2024"/>
  </r>
  <r>
    <s v="ORD-202464524"/>
    <s v="2024-02-18 10:27"/>
    <s v="Brad Allen"/>
    <s v="moorericky@example.net"/>
    <x v="4"/>
    <x v="4"/>
    <x v="23"/>
    <x v="0"/>
    <s v="Credit Card"/>
    <s v="Completed"/>
    <n v="8"/>
    <n v="1431.08"/>
    <n v="0"/>
    <x v="0"/>
    <s v="PH"/>
    <n v="0.12"/>
    <n v="30000"/>
    <n v="11448.64"/>
    <n v="0"/>
    <n v="11448.64"/>
    <n v="1600"/>
    <n v="9848.64"/>
    <x v="0"/>
    <n v="1"/>
    <n v="2024"/>
  </r>
  <r>
    <s v="ORD-202466606"/>
    <s v="2024-02-19 23:47"/>
    <s v="Doris Hall"/>
    <s v="jacqueline71@example.net"/>
    <x v="4"/>
    <x v="0"/>
    <x v="12"/>
    <x v="2"/>
    <s v="Credit Card"/>
    <s v="Returned"/>
    <n v="9"/>
    <n v="104.07"/>
    <n v="0.15"/>
    <x v="0"/>
    <s v="PH"/>
    <n v="0.12"/>
    <n v="40000"/>
    <n v="936.62999999999988"/>
    <n v="140.49449999999999"/>
    <n v="796.13549999999987"/>
    <n v="1080"/>
    <n v="-283.86450000000013"/>
    <x v="0"/>
    <n v="1"/>
    <n v="2024"/>
  </r>
  <r>
    <s v="ORD-202456346"/>
    <s v="2024-12-06 13:55"/>
    <s v="Dennis Moody"/>
    <s v="ronaldstephens@example.net"/>
    <x v="3"/>
    <x v="4"/>
    <x v="6"/>
    <x v="3"/>
    <s v="Debit Card"/>
    <s v="Returned"/>
    <n v="2"/>
    <n v="478.99"/>
    <n v="0.15"/>
    <x v="0"/>
    <s v="ID"/>
    <n v="0.11"/>
    <n v="30000"/>
    <n v="957.98"/>
    <n v="143.697"/>
    <n v="814.28300000000002"/>
    <n v="400"/>
    <n v="414.28300000000002"/>
    <x v="10"/>
    <n v="4"/>
    <n v="2024"/>
  </r>
  <r>
    <s v="ORD-202439392"/>
    <s v="2024-02-25 11:54"/>
    <s v="Derek Thomas"/>
    <s v="martinkyle@example.net"/>
    <x v="5"/>
    <x v="4"/>
    <x v="16"/>
    <x v="1"/>
    <s v="Cash"/>
    <s v="Completed"/>
    <n v="10"/>
    <n v="1147.47"/>
    <n v="0"/>
    <x v="1"/>
    <s v="AU"/>
    <n v="0.1"/>
    <n v="30000"/>
    <n v="11474.7"/>
    <n v="0"/>
    <n v="11474.7"/>
    <n v="2000"/>
    <n v="9474.7000000000007"/>
    <x v="0"/>
    <n v="1"/>
    <n v="2024"/>
  </r>
  <r>
    <s v="ORD-202489822"/>
    <s v="2024-12-02 22:17"/>
    <s v="Tammy Gonzales"/>
    <s v="sbarker@example.com"/>
    <x v="3"/>
    <x v="0"/>
    <x v="4"/>
    <x v="2"/>
    <s v="Credit Card"/>
    <s v="Pending"/>
    <n v="5"/>
    <n v="1058.51"/>
    <n v="0.05"/>
    <x v="0"/>
    <s v="ID"/>
    <n v="0.11"/>
    <n v="40000"/>
    <n v="5292.55"/>
    <n v="264.6275"/>
    <n v="5027.9225000000006"/>
    <n v="600"/>
    <n v="4427.9225000000006"/>
    <x v="10"/>
    <n v="4"/>
    <n v="2024"/>
  </r>
  <r>
    <s v="ORD-202428776"/>
    <s v="2024-10-16 21:25"/>
    <s v="Kathryn Snyder"/>
    <s v="georgepamela@example.net"/>
    <x v="7"/>
    <x v="0"/>
    <x v="20"/>
    <x v="1"/>
    <s v="Bank Transfer"/>
    <s v="Returned"/>
    <n v="9"/>
    <n v="151.26"/>
    <n v="0"/>
    <x v="0"/>
    <s v="MY"/>
    <n v="0.06"/>
    <n v="40000"/>
    <n v="1361.34"/>
    <n v="0"/>
    <n v="1361.34"/>
    <n v="1080"/>
    <n v="281.33999999999992"/>
    <x v="9"/>
    <n v="4"/>
    <n v="2024"/>
  </r>
  <r>
    <s v="ORD-202454681"/>
    <s v="2024-03-21 11:19"/>
    <s v="David Davis"/>
    <s v="keyemily@example.com"/>
    <x v="4"/>
    <x v="1"/>
    <x v="1"/>
    <x v="3"/>
    <s v="Cash"/>
    <s v="Completed"/>
    <n v="1"/>
    <n v="141.16"/>
    <n v="0"/>
    <x v="0"/>
    <s v="PH"/>
    <n v="0.12"/>
    <n v="45000"/>
    <n v="141.16"/>
    <n v="0"/>
    <n v="141.16"/>
    <n v="80"/>
    <n v="61.16"/>
    <x v="7"/>
    <n v="1"/>
    <n v="2024"/>
  </r>
  <r>
    <s v="ORD-202498338"/>
    <s v="2024-02-11 08:28"/>
    <s v="Pamela Thompson"/>
    <s v="lmoon@example.net"/>
    <x v="8"/>
    <x v="2"/>
    <x v="18"/>
    <x v="0"/>
    <s v="E-Wallet"/>
    <s v="Returned"/>
    <n v="5"/>
    <n v="671.44"/>
    <n v="0"/>
    <x v="3"/>
    <s v="JP"/>
    <n v="0.1"/>
    <n v="35000"/>
    <n v="3357.2000000000003"/>
    <n v="0"/>
    <n v="3357.2000000000003"/>
    <n v="750"/>
    <n v="2607.2000000000003"/>
    <x v="0"/>
    <n v="1"/>
    <n v="2024"/>
  </r>
  <r>
    <s v="ORD-202424534"/>
    <s v="2024-05-25 21:43"/>
    <s v="Robert Costa"/>
    <s v="vbailey@example.com"/>
    <x v="6"/>
    <x v="2"/>
    <x v="18"/>
    <x v="1"/>
    <s v="Cash"/>
    <s v="Completed"/>
    <n v="1"/>
    <n v="1005.69"/>
    <n v="0"/>
    <x v="2"/>
    <s v="IN"/>
    <n v="0.18"/>
    <n v="35000"/>
    <n v="1005.69"/>
    <n v="0"/>
    <n v="1005.69"/>
    <n v="150"/>
    <n v="855.69"/>
    <x v="2"/>
    <n v="2"/>
    <n v="2024"/>
  </r>
  <r>
    <s v="ORD-202411007"/>
    <s v="2024-04-14 09:13"/>
    <s v="Shannon Rivera"/>
    <s v="zroberts@example.net"/>
    <x v="2"/>
    <x v="4"/>
    <x v="23"/>
    <x v="1"/>
    <s v="Debit Card"/>
    <s v="Pending"/>
    <n v="1"/>
    <n v="502.26"/>
    <n v="0.1"/>
    <x v="0"/>
    <s v="SG"/>
    <n v="7.0000000000000007E-2"/>
    <n v="30000"/>
    <n v="502.26"/>
    <n v="50.225999999999999"/>
    <n v="452.03399999999999"/>
    <n v="200"/>
    <n v="252.03399999999999"/>
    <x v="4"/>
    <n v="2"/>
    <n v="2024"/>
  </r>
  <r>
    <s v="ORD-202459834"/>
    <s v="2024-09-29 22:14"/>
    <s v="Brandon King"/>
    <s v="cordovarichard@example.net"/>
    <x v="5"/>
    <x v="1"/>
    <x v="22"/>
    <x v="0"/>
    <s v="Bank Transfer"/>
    <s v="Completed"/>
    <n v="1"/>
    <n v="122.03"/>
    <n v="0.1"/>
    <x v="1"/>
    <s v="AU"/>
    <n v="0.1"/>
    <n v="45000"/>
    <n v="122.03"/>
    <n v="12.203000000000001"/>
    <n v="109.827"/>
    <n v="80"/>
    <n v="29.826999999999998"/>
    <x v="6"/>
    <n v="3"/>
    <n v="2024"/>
  </r>
  <r>
    <s v="ORD-202451033"/>
    <s v="2024-10-21 13:36"/>
    <s v="April Booth"/>
    <s v="mgutierrez@example.net"/>
    <x v="8"/>
    <x v="2"/>
    <x v="2"/>
    <x v="3"/>
    <s v="Cash"/>
    <s v="Returned"/>
    <n v="1"/>
    <n v="186.03"/>
    <n v="0.05"/>
    <x v="3"/>
    <s v="JP"/>
    <n v="0.1"/>
    <n v="35000"/>
    <n v="186.03"/>
    <n v="9.3015000000000008"/>
    <n v="176.7285"/>
    <n v="150"/>
    <n v="26.728499999999997"/>
    <x v="9"/>
    <n v="4"/>
    <n v="2024"/>
  </r>
  <r>
    <s v="ORD-202457428"/>
    <s v="2024-02-15 13:54"/>
    <s v="Peter Garrett"/>
    <s v="harrisandrea@example.com"/>
    <x v="7"/>
    <x v="0"/>
    <x v="15"/>
    <x v="1"/>
    <s v="E-Wallet"/>
    <s v="Cancelled"/>
    <n v="9"/>
    <n v="889.47"/>
    <n v="0"/>
    <x v="0"/>
    <s v="MY"/>
    <n v="0.06"/>
    <n v="40000"/>
    <n v="8005.2300000000005"/>
    <n v="0"/>
    <n v="8005.2300000000005"/>
    <n v="1080"/>
    <n v="6925.2300000000005"/>
    <x v="0"/>
    <n v="1"/>
    <n v="2024"/>
  </r>
  <r>
    <s v="ORD-202439041"/>
    <s v="2024-06-19 05:04"/>
    <s v="Michael Martinez"/>
    <s v="jennifercollins@example.org"/>
    <x v="5"/>
    <x v="3"/>
    <x v="10"/>
    <x v="3"/>
    <s v="Debit Card"/>
    <s v="Completed"/>
    <n v="6"/>
    <n v="772.28"/>
    <n v="0.05"/>
    <x v="1"/>
    <s v="AU"/>
    <n v="0.1"/>
    <n v="50000"/>
    <n v="4633.68"/>
    <n v="231.68400000000003"/>
    <n v="4401.9960000000001"/>
    <n v="2700"/>
    <n v="1701.9960000000001"/>
    <x v="8"/>
    <n v="2"/>
    <n v="2024"/>
  </r>
  <r>
    <s v="ORD-202429194"/>
    <s v="2024-05-11 06:11"/>
    <s v="Anna Gay"/>
    <s v="murraydavid@example.org"/>
    <x v="6"/>
    <x v="0"/>
    <x v="20"/>
    <x v="1"/>
    <s v="Cash"/>
    <s v="Cancelled"/>
    <n v="8"/>
    <n v="278.06"/>
    <n v="0.1"/>
    <x v="2"/>
    <s v="IN"/>
    <n v="0.18"/>
    <n v="40000"/>
    <n v="2224.48"/>
    <n v="222.44800000000001"/>
    <n v="2002.0319999999999"/>
    <n v="960"/>
    <n v="1042.0319999999999"/>
    <x v="2"/>
    <n v="2"/>
    <n v="2024"/>
  </r>
  <r>
    <s v="ORD-202492210"/>
    <s v="2024-06-10 04:28"/>
    <s v="Dr. Jordan Hill PhD"/>
    <s v="jsanchez@example.org"/>
    <x v="7"/>
    <x v="2"/>
    <x v="17"/>
    <x v="0"/>
    <s v="E-Wallet"/>
    <s v="Completed"/>
    <n v="5"/>
    <n v="952.61"/>
    <n v="0.15"/>
    <x v="0"/>
    <s v="MY"/>
    <n v="0.06"/>
    <n v="35000"/>
    <n v="4763.05"/>
    <n v="714.45749999999998"/>
    <n v="4048.5925000000002"/>
    <n v="750"/>
    <n v="3298.5925000000002"/>
    <x v="8"/>
    <n v="2"/>
    <n v="2024"/>
  </r>
  <r>
    <s v="ORD-202450685"/>
    <s v="2024-08-24 14:02"/>
    <s v="Thomas Romero"/>
    <s v="michellehill@example.com"/>
    <x v="3"/>
    <x v="4"/>
    <x v="23"/>
    <x v="1"/>
    <s v="Bank Transfer"/>
    <s v="Completed"/>
    <n v="2"/>
    <n v="128.94999999999999"/>
    <n v="0.15"/>
    <x v="0"/>
    <s v="ID"/>
    <n v="0.11"/>
    <n v="30000"/>
    <n v="257.89999999999998"/>
    <n v="38.684999999999995"/>
    <n v="219.21499999999997"/>
    <n v="400"/>
    <n v="-180.78500000000003"/>
    <x v="5"/>
    <n v="3"/>
    <n v="2024"/>
  </r>
  <r>
    <s v="ORD-202468947"/>
    <s v="2024-10-19 20:12"/>
    <s v="Richard Adams"/>
    <s v="campbellkenneth@example.net"/>
    <x v="4"/>
    <x v="1"/>
    <x v="24"/>
    <x v="0"/>
    <s v="E-Wallet"/>
    <s v="Completed"/>
    <n v="1"/>
    <n v="759.53"/>
    <n v="0.1"/>
    <x v="0"/>
    <s v="PH"/>
    <n v="0.12"/>
    <n v="45000"/>
    <n v="759.53"/>
    <n v="75.953000000000003"/>
    <n v="683.577"/>
    <n v="80"/>
    <n v="603.577"/>
    <x v="9"/>
    <n v="4"/>
    <n v="2024"/>
  </r>
  <r>
    <s v="ORD-202476132"/>
    <s v="2024-11-26 05:02"/>
    <s v="Mary Grimes"/>
    <s v="wryan@example.com"/>
    <x v="1"/>
    <x v="2"/>
    <x v="17"/>
    <x v="2"/>
    <s v="E-Wallet"/>
    <s v="Cancelled"/>
    <n v="10"/>
    <n v="793.24"/>
    <n v="0"/>
    <x v="0"/>
    <s v="TH"/>
    <n v="7.0000000000000007E-2"/>
    <n v="35000"/>
    <n v="7932.4"/>
    <n v="0"/>
    <n v="7932.4"/>
    <n v="1500"/>
    <n v="6432.4"/>
    <x v="11"/>
    <n v="4"/>
    <n v="2024"/>
  </r>
  <r>
    <s v="ORD-202460779"/>
    <s v="2024-07-28 10:43"/>
    <s v="Kimberly Gibson"/>
    <s v="molly39@example.com"/>
    <x v="6"/>
    <x v="3"/>
    <x v="14"/>
    <x v="1"/>
    <s v="E-Wallet"/>
    <s v="Cancelled"/>
    <n v="2"/>
    <n v="112.88"/>
    <n v="0.15"/>
    <x v="2"/>
    <s v="IN"/>
    <n v="0.18"/>
    <n v="50000"/>
    <n v="225.76"/>
    <n v="33.863999999999997"/>
    <n v="191.89599999999999"/>
    <n v="900"/>
    <n v="-708.10400000000004"/>
    <x v="3"/>
    <n v="3"/>
    <n v="2024"/>
  </r>
  <r>
    <s v="ORD-202496057"/>
    <s v="2024-11-04 04:21"/>
    <s v="Reginald Williams"/>
    <s v="zthornton@example.com"/>
    <x v="7"/>
    <x v="1"/>
    <x v="9"/>
    <x v="1"/>
    <s v="Debit Card"/>
    <s v="Completed"/>
    <n v="5"/>
    <n v="1376.37"/>
    <n v="0.2"/>
    <x v="0"/>
    <s v="MY"/>
    <n v="0.06"/>
    <n v="45000"/>
    <n v="6881.8499999999995"/>
    <n v="1376.37"/>
    <n v="5505.48"/>
    <n v="400"/>
    <n v="5105.4799999999996"/>
    <x v="11"/>
    <n v="4"/>
    <n v="2024"/>
  </r>
  <r>
    <s v="ORD-202450577"/>
    <s v="2024-10-13 12:41"/>
    <s v="Matthew Hoover"/>
    <s v="tylerjohnson@example.net"/>
    <x v="4"/>
    <x v="0"/>
    <x v="12"/>
    <x v="2"/>
    <s v="Credit Card"/>
    <s v="Cancelled"/>
    <n v="7"/>
    <n v="153.78"/>
    <n v="0.15"/>
    <x v="0"/>
    <s v="PH"/>
    <n v="0.12"/>
    <n v="40000"/>
    <n v="1076.46"/>
    <n v="161.46899999999999"/>
    <n v="914.99099999999999"/>
    <n v="840"/>
    <n v="74.990999999999985"/>
    <x v="9"/>
    <n v="4"/>
    <n v="2024"/>
  </r>
  <r>
    <s v="ORD-202450483"/>
    <s v="2024-04-02 06:21"/>
    <s v="Evelyn Garcia"/>
    <s v="dgarcia@example.org"/>
    <x v="9"/>
    <x v="0"/>
    <x v="0"/>
    <x v="2"/>
    <s v="Credit Card"/>
    <s v="Completed"/>
    <n v="3"/>
    <n v="1499.97"/>
    <n v="0"/>
    <x v="3"/>
    <s v="KR"/>
    <n v="0.1"/>
    <n v="40000"/>
    <n v="4499.91"/>
    <n v="0"/>
    <n v="4499.91"/>
    <n v="360"/>
    <n v="4139.91"/>
    <x v="4"/>
    <n v="2"/>
    <n v="2024"/>
  </r>
  <r>
    <s v="ORD-202496760"/>
    <s v="2024-06-21 19:08"/>
    <s v="Jennifer Pena"/>
    <s v="charlesharrington@example.com"/>
    <x v="6"/>
    <x v="2"/>
    <x v="21"/>
    <x v="1"/>
    <s v="Credit Card"/>
    <s v="Returned"/>
    <n v="10"/>
    <n v="255.94"/>
    <n v="0"/>
    <x v="2"/>
    <s v="IN"/>
    <n v="0.18"/>
    <n v="35000"/>
    <n v="2559.4"/>
    <n v="0"/>
    <n v="2559.4"/>
    <n v="1500"/>
    <n v="1059.4000000000001"/>
    <x v="8"/>
    <n v="2"/>
    <n v="2024"/>
  </r>
  <r>
    <s v="ORD-202457749"/>
    <s v="2024-12-12 23:15"/>
    <s v="Michael Santos"/>
    <s v="melissa86@example.com"/>
    <x v="9"/>
    <x v="1"/>
    <x v="22"/>
    <x v="3"/>
    <s v="E-Wallet"/>
    <s v="Returned"/>
    <n v="8"/>
    <n v="1132.3"/>
    <n v="0"/>
    <x v="3"/>
    <s v="KR"/>
    <n v="0.1"/>
    <n v="45000"/>
    <n v="9058.4"/>
    <n v="0"/>
    <n v="9058.4"/>
    <n v="640"/>
    <n v="8418.4"/>
    <x v="10"/>
    <n v="4"/>
    <n v="2024"/>
  </r>
  <r>
    <s v="ORD-202435430"/>
    <s v="2024-07-07 21:36"/>
    <s v="Stacy Freeman"/>
    <s v="williamsonjimmy@example.net"/>
    <x v="9"/>
    <x v="2"/>
    <x v="2"/>
    <x v="1"/>
    <s v="Debit Card"/>
    <s v="Pending"/>
    <n v="9"/>
    <n v="1170.51"/>
    <n v="0.15"/>
    <x v="3"/>
    <s v="KR"/>
    <n v="0.1"/>
    <n v="35000"/>
    <n v="10534.59"/>
    <n v="1580.1885"/>
    <n v="8954.4014999999999"/>
    <n v="1350"/>
    <n v="7604.4014999999999"/>
    <x v="3"/>
    <n v="3"/>
    <n v="2024"/>
  </r>
  <r>
    <s v="ORD-202489254"/>
    <s v="2024-03-11 08:03"/>
    <s v="Yolanda Francis"/>
    <s v="wgood@example.net"/>
    <x v="9"/>
    <x v="4"/>
    <x v="6"/>
    <x v="2"/>
    <s v="Credit Card"/>
    <s v="Pending"/>
    <n v="9"/>
    <n v="1402.43"/>
    <n v="0"/>
    <x v="3"/>
    <s v="KR"/>
    <n v="0.1"/>
    <n v="30000"/>
    <n v="12621.87"/>
    <n v="0"/>
    <n v="12621.87"/>
    <n v="1800"/>
    <n v="10821.87"/>
    <x v="7"/>
    <n v="1"/>
    <n v="2024"/>
  </r>
  <r>
    <s v="ORD-202445755"/>
    <s v="2024-08-18 16:09"/>
    <s v="Ashlee Jackson"/>
    <s v="rebecca05@example.org"/>
    <x v="8"/>
    <x v="3"/>
    <x v="7"/>
    <x v="1"/>
    <s v="Credit Card"/>
    <s v="Returned"/>
    <n v="6"/>
    <n v="1227.8"/>
    <n v="0"/>
    <x v="3"/>
    <s v="JP"/>
    <n v="0.1"/>
    <n v="50000"/>
    <n v="7366.7999999999993"/>
    <n v="0"/>
    <n v="7366.7999999999993"/>
    <n v="2700"/>
    <n v="4666.7999999999993"/>
    <x v="5"/>
    <n v="3"/>
    <n v="2024"/>
  </r>
  <r>
    <s v="ORD-202475799"/>
    <s v="2024-07-10 07:24"/>
    <s v="James Thomas"/>
    <s v="yknight@example.org"/>
    <x v="7"/>
    <x v="4"/>
    <x v="5"/>
    <x v="2"/>
    <s v="Debit Card"/>
    <s v="Pending"/>
    <n v="2"/>
    <n v="56.86"/>
    <n v="0.2"/>
    <x v="0"/>
    <s v="MY"/>
    <n v="0.06"/>
    <n v="30000"/>
    <n v="113.72"/>
    <n v="22.744"/>
    <n v="90.975999999999999"/>
    <n v="400"/>
    <n v="-309.024"/>
    <x v="3"/>
    <n v="3"/>
    <n v="2024"/>
  </r>
  <r>
    <s v="ORD-202415020"/>
    <s v="2024-05-26 15:44"/>
    <s v="Bob Pitts"/>
    <s v="tyleraguilar@example.org"/>
    <x v="2"/>
    <x v="2"/>
    <x v="17"/>
    <x v="2"/>
    <s v="Debit Card"/>
    <s v="Pending"/>
    <n v="2"/>
    <n v="928.79"/>
    <n v="0"/>
    <x v="0"/>
    <s v="SG"/>
    <n v="7.0000000000000007E-2"/>
    <n v="35000"/>
    <n v="1857.58"/>
    <n v="0"/>
    <n v="1857.58"/>
    <n v="300"/>
    <n v="1557.58"/>
    <x v="2"/>
    <n v="2"/>
    <n v="2024"/>
  </r>
  <r>
    <s v="ORD-202481932"/>
    <s v="2024-11-07 16:27"/>
    <s v="David Scott"/>
    <s v="nolansteven@example.com"/>
    <x v="7"/>
    <x v="4"/>
    <x v="5"/>
    <x v="1"/>
    <s v="Cash"/>
    <s v="Returned"/>
    <n v="1"/>
    <n v="462.21"/>
    <n v="0"/>
    <x v="0"/>
    <s v="MY"/>
    <n v="0.06"/>
    <n v="30000"/>
    <n v="462.21"/>
    <n v="0"/>
    <n v="462.21"/>
    <n v="200"/>
    <n v="262.20999999999998"/>
    <x v="11"/>
    <n v="4"/>
    <n v="2024"/>
  </r>
  <r>
    <s v="ORD-202418232"/>
    <s v="2024-02-26 15:38"/>
    <s v="Brooke Alexander"/>
    <s v="vanessa46@example.net"/>
    <x v="5"/>
    <x v="3"/>
    <x v="10"/>
    <x v="1"/>
    <s v="Credit Card"/>
    <s v="Cancelled"/>
    <n v="3"/>
    <n v="868.95"/>
    <n v="0.05"/>
    <x v="1"/>
    <s v="AU"/>
    <n v="0.1"/>
    <n v="50000"/>
    <n v="2606.8500000000004"/>
    <n v="130.34250000000003"/>
    <n v="2476.5075000000002"/>
    <n v="1350"/>
    <n v="1126.5075000000002"/>
    <x v="0"/>
    <n v="1"/>
    <n v="2024"/>
  </r>
  <r>
    <s v="ORD-202441531"/>
    <s v="2024-10-19 13:11"/>
    <s v="Ryan Gonzalez"/>
    <s v="gcastaneda@example.org"/>
    <x v="7"/>
    <x v="1"/>
    <x v="22"/>
    <x v="0"/>
    <s v="Bank Transfer"/>
    <s v="Returned"/>
    <n v="9"/>
    <n v="115.5"/>
    <n v="0.15"/>
    <x v="0"/>
    <s v="MY"/>
    <n v="0.06"/>
    <n v="45000"/>
    <n v="1039.5"/>
    <n v="155.92499999999998"/>
    <n v="883.57500000000005"/>
    <n v="720"/>
    <n v="163.57500000000005"/>
    <x v="9"/>
    <n v="4"/>
    <n v="2024"/>
  </r>
  <r>
    <s v="ORD-202415706"/>
    <s v="2024-11-21 12:23"/>
    <s v="Ian Phillips"/>
    <s v="andrew64@example.org"/>
    <x v="0"/>
    <x v="3"/>
    <x v="14"/>
    <x v="0"/>
    <s v="Cash"/>
    <s v="Cancelled"/>
    <n v="6"/>
    <n v="1185.95"/>
    <n v="0"/>
    <x v="0"/>
    <s v="VN"/>
    <n v="0.1"/>
    <n v="50000"/>
    <n v="7115.7000000000007"/>
    <n v="0"/>
    <n v="7115.7000000000007"/>
    <n v="2700"/>
    <n v="4415.7000000000007"/>
    <x v="11"/>
    <n v="4"/>
    <n v="2024"/>
  </r>
  <r>
    <s v="ORD-202427486"/>
    <s v="2024-01-23 11:34"/>
    <s v="Melissa Garner"/>
    <s v="lozanojulie@example.com"/>
    <x v="4"/>
    <x v="0"/>
    <x v="15"/>
    <x v="3"/>
    <s v="Debit Card"/>
    <s v="Completed"/>
    <n v="8"/>
    <n v="1471.52"/>
    <n v="0.2"/>
    <x v="0"/>
    <s v="PH"/>
    <n v="0.12"/>
    <n v="40000"/>
    <n v="11772.16"/>
    <n v="2354.4320000000002"/>
    <n v="9417.7279999999992"/>
    <n v="960"/>
    <n v="8457.7279999999992"/>
    <x v="1"/>
    <n v="1"/>
    <n v="2024"/>
  </r>
  <r>
    <s v="ORD-202469988"/>
    <s v="2024-01-19 09:12"/>
    <s v="Crystal Pham"/>
    <s v="danaoliver@example.net"/>
    <x v="3"/>
    <x v="0"/>
    <x v="20"/>
    <x v="1"/>
    <s v="Cash"/>
    <s v="Returned"/>
    <n v="5"/>
    <n v="483.66"/>
    <n v="0.15"/>
    <x v="0"/>
    <s v="ID"/>
    <n v="0.11"/>
    <n v="40000"/>
    <n v="2418.3000000000002"/>
    <n v="362.745"/>
    <n v="2055.5550000000003"/>
    <n v="600"/>
    <n v="1455.5550000000003"/>
    <x v="1"/>
    <n v="1"/>
    <n v="2024"/>
  </r>
  <r>
    <s v="ORD-202443202"/>
    <s v="2024-01-19 20:12"/>
    <s v="Patricia Becker"/>
    <s v="courtneyberger@example.net"/>
    <x v="0"/>
    <x v="4"/>
    <x v="16"/>
    <x v="0"/>
    <s v="E-Wallet"/>
    <s v="Returned"/>
    <n v="6"/>
    <n v="1300.71"/>
    <n v="0.05"/>
    <x v="0"/>
    <s v="VN"/>
    <n v="0.1"/>
    <n v="30000"/>
    <n v="7804.26"/>
    <n v="390.21300000000002"/>
    <n v="7414.0470000000005"/>
    <n v="1200"/>
    <n v="6214.0470000000005"/>
    <x v="1"/>
    <n v="1"/>
    <n v="2024"/>
  </r>
  <r>
    <s v="ORD-202462431"/>
    <s v="2024-08-13 12:21"/>
    <s v="Richard Johnson"/>
    <s v="jessica14@example.com"/>
    <x v="2"/>
    <x v="2"/>
    <x v="17"/>
    <x v="0"/>
    <s v="Bank Transfer"/>
    <s v="Completed"/>
    <n v="9"/>
    <n v="560.51"/>
    <n v="0.05"/>
    <x v="0"/>
    <s v="SG"/>
    <n v="7.0000000000000007E-2"/>
    <n v="35000"/>
    <n v="5044.59"/>
    <n v="252.22950000000003"/>
    <n v="4792.3604999999998"/>
    <n v="1350"/>
    <n v="3442.3604999999998"/>
    <x v="5"/>
    <n v="3"/>
    <n v="2024"/>
  </r>
  <r>
    <s v="ORD-202466440"/>
    <s v="2024-11-04 05:34"/>
    <s v="Casey Anderson"/>
    <s v="alyssa42@example.com"/>
    <x v="0"/>
    <x v="4"/>
    <x v="16"/>
    <x v="1"/>
    <s v="Cash"/>
    <s v="Returned"/>
    <n v="5"/>
    <n v="133.9"/>
    <n v="0.05"/>
    <x v="0"/>
    <s v="VN"/>
    <n v="0.1"/>
    <n v="30000"/>
    <n v="669.5"/>
    <n v="33.475000000000001"/>
    <n v="636.02499999999998"/>
    <n v="1000"/>
    <n v="-363.97500000000002"/>
    <x v="11"/>
    <n v="4"/>
    <n v="2024"/>
  </r>
  <r>
    <s v="ORD-202431842"/>
    <s v="2024-12-19 14:22"/>
    <s v="Terry Coffey"/>
    <s v="julie51@example.com"/>
    <x v="9"/>
    <x v="3"/>
    <x v="14"/>
    <x v="0"/>
    <s v="Credit Card"/>
    <s v="Returned"/>
    <n v="7"/>
    <n v="928.05"/>
    <n v="0.05"/>
    <x v="3"/>
    <s v="KR"/>
    <n v="0.1"/>
    <n v="50000"/>
    <n v="6496.3499999999995"/>
    <n v="324.8175"/>
    <n v="6171.5324999999993"/>
    <n v="3150"/>
    <n v="3021.5324999999993"/>
    <x v="10"/>
    <n v="4"/>
    <n v="2024"/>
  </r>
  <r>
    <s v="ORD-202457619"/>
    <s v="2024-09-19 23:43"/>
    <s v="Brenda Levy"/>
    <s v="zcoffey@example.net"/>
    <x v="2"/>
    <x v="3"/>
    <x v="7"/>
    <x v="3"/>
    <s v="Credit Card"/>
    <s v="Pending"/>
    <n v="8"/>
    <n v="1275.27"/>
    <n v="0"/>
    <x v="0"/>
    <s v="SG"/>
    <n v="7.0000000000000007E-2"/>
    <n v="50000"/>
    <n v="10202.16"/>
    <n v="0"/>
    <n v="10202.16"/>
    <n v="3600"/>
    <n v="6602.16"/>
    <x v="6"/>
    <n v="3"/>
    <n v="2024"/>
  </r>
  <r>
    <s v="ORD-202494562"/>
    <s v="2024-07-06 11:24"/>
    <s v="Richard Smith"/>
    <s v="gibsonemily@example.net"/>
    <x v="6"/>
    <x v="3"/>
    <x v="10"/>
    <x v="2"/>
    <s v="Bank Transfer"/>
    <s v="Completed"/>
    <n v="8"/>
    <n v="242.86"/>
    <n v="0.05"/>
    <x v="2"/>
    <s v="IN"/>
    <n v="0.18"/>
    <n v="50000"/>
    <n v="1942.88"/>
    <n v="97.144000000000005"/>
    <n v="1845.7360000000001"/>
    <n v="3600"/>
    <n v="-1754.2639999999999"/>
    <x v="3"/>
    <n v="3"/>
    <n v="2024"/>
  </r>
  <r>
    <s v="ORD-202485225"/>
    <s v="2024-03-11 16:23"/>
    <s v="James Little"/>
    <s v="daniel37@example.org"/>
    <x v="8"/>
    <x v="4"/>
    <x v="23"/>
    <x v="3"/>
    <s v="Bank Transfer"/>
    <s v="Returned"/>
    <n v="2"/>
    <n v="385.67"/>
    <n v="0"/>
    <x v="3"/>
    <s v="JP"/>
    <n v="0.1"/>
    <n v="30000"/>
    <n v="771.34"/>
    <n v="0"/>
    <n v="771.34"/>
    <n v="400"/>
    <n v="371.34000000000003"/>
    <x v="7"/>
    <n v="1"/>
    <n v="2024"/>
  </r>
  <r>
    <s v="ORD-202483619"/>
    <s v="2024-03-01 08:49"/>
    <s v="Terri Murphy"/>
    <s v="deborahreid@example.com"/>
    <x v="0"/>
    <x v="2"/>
    <x v="21"/>
    <x v="1"/>
    <s v="Debit Card"/>
    <s v="Completed"/>
    <n v="5"/>
    <n v="1494.6"/>
    <n v="0.2"/>
    <x v="0"/>
    <s v="VN"/>
    <n v="0.1"/>
    <n v="35000"/>
    <n v="7473"/>
    <n v="1494.6000000000001"/>
    <n v="5978.4"/>
    <n v="750"/>
    <n v="5228.3999999999996"/>
    <x v="7"/>
    <n v="1"/>
    <n v="2024"/>
  </r>
  <r>
    <s v="ORD-202427790"/>
    <s v="2024-02-07 14:11"/>
    <s v="Elizabeth Ortiz"/>
    <s v="brandonjohnson@example.com"/>
    <x v="9"/>
    <x v="3"/>
    <x v="14"/>
    <x v="2"/>
    <s v="E-Wallet"/>
    <s v="Pending"/>
    <n v="2"/>
    <n v="1006.74"/>
    <n v="0.15"/>
    <x v="3"/>
    <s v="KR"/>
    <n v="0.1"/>
    <n v="50000"/>
    <n v="2013.48"/>
    <n v="302.02199999999999"/>
    <n v="1711.4580000000001"/>
    <n v="900"/>
    <n v="811.45800000000008"/>
    <x v="0"/>
    <n v="1"/>
    <n v="2024"/>
  </r>
  <r>
    <s v="ORD-202493584"/>
    <s v="2024-03-30 11:32"/>
    <s v="David Medina"/>
    <s v="qchavez@example.net"/>
    <x v="1"/>
    <x v="3"/>
    <x v="7"/>
    <x v="0"/>
    <s v="E-Wallet"/>
    <s v="Cancelled"/>
    <n v="4"/>
    <n v="1191.22"/>
    <n v="0.1"/>
    <x v="0"/>
    <s v="TH"/>
    <n v="7.0000000000000007E-2"/>
    <n v="50000"/>
    <n v="4764.88"/>
    <n v="476.48800000000006"/>
    <n v="4288.3919999999998"/>
    <n v="1800"/>
    <n v="2488.3919999999998"/>
    <x v="7"/>
    <n v="1"/>
    <n v="2024"/>
  </r>
  <r>
    <s v="ORD-202471263"/>
    <s v="2024-10-09 04:39"/>
    <s v="Kimberly Matthews"/>
    <s v="nicolepena@example.com"/>
    <x v="7"/>
    <x v="3"/>
    <x v="14"/>
    <x v="1"/>
    <s v="Bank Transfer"/>
    <s v="Completed"/>
    <n v="8"/>
    <n v="606.27"/>
    <n v="0.15"/>
    <x v="0"/>
    <s v="MY"/>
    <n v="0.06"/>
    <n v="50000"/>
    <n v="4850.16"/>
    <n v="727.524"/>
    <n v="4122.6359999999995"/>
    <n v="3600"/>
    <n v="522.63599999999951"/>
    <x v="9"/>
    <n v="4"/>
    <n v="2024"/>
  </r>
  <r>
    <s v="ORD-202426426"/>
    <s v="2024-06-11 20:04"/>
    <s v="Teresa Ramirez"/>
    <s v="jeff73@example.com"/>
    <x v="9"/>
    <x v="2"/>
    <x v="18"/>
    <x v="3"/>
    <s v="Debit Card"/>
    <s v="Returned"/>
    <n v="9"/>
    <n v="526.6"/>
    <n v="0.2"/>
    <x v="3"/>
    <s v="KR"/>
    <n v="0.1"/>
    <n v="35000"/>
    <n v="4739.4000000000005"/>
    <n v="947.88000000000011"/>
    <n v="3791.5200000000004"/>
    <n v="1350"/>
    <n v="2441.5200000000004"/>
    <x v="8"/>
    <n v="2"/>
    <n v="2024"/>
  </r>
  <r>
    <s v="ORD-202475911"/>
    <s v="2024-01-29 03:33"/>
    <s v="Michael Stephens"/>
    <s v="bruce43@example.org"/>
    <x v="2"/>
    <x v="4"/>
    <x v="5"/>
    <x v="2"/>
    <s v="Credit Card"/>
    <s v="Cancelled"/>
    <n v="4"/>
    <n v="255.52"/>
    <n v="0.05"/>
    <x v="0"/>
    <s v="SG"/>
    <n v="7.0000000000000007E-2"/>
    <n v="30000"/>
    <n v="1022.08"/>
    <n v="51.104000000000006"/>
    <n v="970.976"/>
    <n v="800"/>
    <n v="170.976"/>
    <x v="1"/>
    <n v="1"/>
    <n v="2024"/>
  </r>
  <r>
    <s v="ORD-202435729"/>
    <s v="2024-11-21 17:17"/>
    <s v="Samantha Davis"/>
    <s v="darleneharper@example.org"/>
    <x v="2"/>
    <x v="4"/>
    <x v="6"/>
    <x v="3"/>
    <s v="Cash"/>
    <s v="Pending"/>
    <n v="9"/>
    <n v="807.21"/>
    <n v="0.2"/>
    <x v="0"/>
    <s v="SG"/>
    <n v="7.0000000000000007E-2"/>
    <n v="30000"/>
    <n v="7264.89"/>
    <n v="1452.9780000000001"/>
    <n v="5811.9120000000003"/>
    <n v="1800"/>
    <n v="4011.9120000000003"/>
    <x v="11"/>
    <n v="4"/>
    <n v="2024"/>
  </r>
  <r>
    <s v="ORD-202432439"/>
    <s v="2024-12-03 19:46"/>
    <s v="Gavin Zhang"/>
    <s v="caseyhubbard@example.org"/>
    <x v="6"/>
    <x v="4"/>
    <x v="6"/>
    <x v="0"/>
    <s v="Cash"/>
    <s v="Cancelled"/>
    <n v="1"/>
    <n v="76.17"/>
    <n v="0"/>
    <x v="2"/>
    <s v="IN"/>
    <n v="0.18"/>
    <n v="30000"/>
    <n v="76.17"/>
    <n v="0"/>
    <n v="76.17"/>
    <n v="200"/>
    <n v="-123.83"/>
    <x v="10"/>
    <n v="4"/>
    <n v="2024"/>
  </r>
  <r>
    <s v="ORD-202495344"/>
    <s v="2024-04-17 18:26"/>
    <s v="Robin Hall"/>
    <s v="kristinacarlson@example.com"/>
    <x v="6"/>
    <x v="3"/>
    <x v="3"/>
    <x v="2"/>
    <s v="Bank Transfer"/>
    <s v="Pending"/>
    <n v="9"/>
    <n v="1335.16"/>
    <n v="0.05"/>
    <x v="2"/>
    <s v="IN"/>
    <n v="0.18"/>
    <n v="50000"/>
    <n v="12016.44"/>
    <n v="600.822"/>
    <n v="11415.618"/>
    <n v="4050"/>
    <n v="7365.6180000000004"/>
    <x v="4"/>
    <n v="2"/>
    <n v="2024"/>
  </r>
  <r>
    <s v="ORD-202499783"/>
    <s v="2024-07-26 09:29"/>
    <s v="Brianna Anderson"/>
    <s v="lauren10@example.org"/>
    <x v="7"/>
    <x v="3"/>
    <x v="7"/>
    <x v="3"/>
    <s v="E-Wallet"/>
    <s v="Pending"/>
    <n v="8"/>
    <n v="667.81"/>
    <n v="0.1"/>
    <x v="0"/>
    <s v="MY"/>
    <n v="0.06"/>
    <n v="50000"/>
    <n v="5342.48"/>
    <n v="534.24799999999993"/>
    <n v="4808.232"/>
    <n v="3600"/>
    <n v="1208.232"/>
    <x v="3"/>
    <n v="3"/>
    <n v="2024"/>
  </r>
  <r>
    <s v="ORD-202450970"/>
    <s v="2024-06-12 23:55"/>
    <s v="Richard Young"/>
    <s v="alfred40@example.org"/>
    <x v="4"/>
    <x v="2"/>
    <x v="21"/>
    <x v="0"/>
    <s v="E-Wallet"/>
    <s v="Pending"/>
    <n v="9"/>
    <n v="1144.5899999999999"/>
    <n v="0.15"/>
    <x v="0"/>
    <s v="PH"/>
    <n v="0.12"/>
    <n v="35000"/>
    <n v="10301.31"/>
    <n v="1545.1964999999998"/>
    <n v="8756.1134999999995"/>
    <n v="1350"/>
    <n v="7406.1134999999995"/>
    <x v="8"/>
    <n v="2"/>
    <n v="2024"/>
  </r>
  <r>
    <s v="ORD-202471141"/>
    <s v="2024-03-03 08:28"/>
    <s v="Kelly Reese"/>
    <s v="xwest@example.net"/>
    <x v="1"/>
    <x v="0"/>
    <x v="20"/>
    <x v="1"/>
    <s v="Debit Card"/>
    <s v="Pending"/>
    <n v="7"/>
    <n v="90.15"/>
    <n v="0.15"/>
    <x v="0"/>
    <s v="TH"/>
    <n v="7.0000000000000007E-2"/>
    <n v="40000"/>
    <n v="631.05000000000007"/>
    <n v="94.657500000000013"/>
    <n v="536.39250000000004"/>
    <n v="840"/>
    <n v="-303.60749999999996"/>
    <x v="7"/>
    <n v="1"/>
    <n v="2024"/>
  </r>
  <r>
    <s v="ORD-202452917"/>
    <s v="2024-10-22 23:20"/>
    <s v="Jodi Walker"/>
    <s v="acostaregina@example.net"/>
    <x v="1"/>
    <x v="0"/>
    <x v="15"/>
    <x v="2"/>
    <s v="Bank Transfer"/>
    <s v="Completed"/>
    <n v="8"/>
    <n v="1494.01"/>
    <n v="0.1"/>
    <x v="0"/>
    <s v="TH"/>
    <n v="7.0000000000000007E-2"/>
    <n v="40000"/>
    <n v="11952.08"/>
    <n v="1195.2080000000001"/>
    <n v="10756.871999999999"/>
    <n v="960"/>
    <n v="9796.8719999999994"/>
    <x v="9"/>
    <n v="4"/>
    <n v="2024"/>
  </r>
  <r>
    <s v="ORD-202421802"/>
    <s v="2024-07-20 16:29"/>
    <s v="Judith Maynard"/>
    <s v="lutzmelanie@example.com"/>
    <x v="1"/>
    <x v="0"/>
    <x v="12"/>
    <x v="1"/>
    <s v="Cash"/>
    <s v="Returned"/>
    <n v="1"/>
    <n v="539.04999999999995"/>
    <n v="0.05"/>
    <x v="0"/>
    <s v="TH"/>
    <n v="7.0000000000000007E-2"/>
    <n v="40000"/>
    <n v="539.04999999999995"/>
    <n v="26.952500000000001"/>
    <n v="512.09749999999997"/>
    <n v="120"/>
    <n v="392.09749999999997"/>
    <x v="3"/>
    <n v="3"/>
    <n v="2024"/>
  </r>
  <r>
    <s v="ORD-202447453"/>
    <s v="2024-10-01 00:54"/>
    <s v="Katherine Browning"/>
    <s v="lammarc@example.org"/>
    <x v="7"/>
    <x v="2"/>
    <x v="21"/>
    <x v="2"/>
    <s v="Credit Card"/>
    <s v="Returned"/>
    <n v="6"/>
    <n v="1325.45"/>
    <n v="0.1"/>
    <x v="0"/>
    <s v="MY"/>
    <n v="0.06"/>
    <n v="35000"/>
    <n v="7952.7000000000007"/>
    <n v="795.2700000000001"/>
    <n v="7157.43"/>
    <n v="900"/>
    <n v="6257.43"/>
    <x v="9"/>
    <n v="4"/>
    <n v="2024"/>
  </r>
  <r>
    <s v="ORD-202416705"/>
    <s v="2024-10-18 17:12"/>
    <s v="Donald Schultz"/>
    <s v="oscar98@example.com"/>
    <x v="4"/>
    <x v="1"/>
    <x v="22"/>
    <x v="2"/>
    <s v="Cash"/>
    <s v="Completed"/>
    <n v="9"/>
    <n v="124.19"/>
    <n v="0.1"/>
    <x v="0"/>
    <s v="PH"/>
    <n v="0.12"/>
    <n v="45000"/>
    <n v="1117.71"/>
    <n v="111.77100000000002"/>
    <n v="1005.9390000000001"/>
    <n v="720"/>
    <n v="285.93900000000008"/>
    <x v="9"/>
    <n v="4"/>
    <n v="2024"/>
  </r>
  <r>
    <s v="ORD-202426864"/>
    <s v="2024-02-19 12:23"/>
    <s v="Larry Garcia"/>
    <s v="farrelldebra@example.net"/>
    <x v="4"/>
    <x v="1"/>
    <x v="22"/>
    <x v="1"/>
    <s v="Cash"/>
    <s v="Completed"/>
    <n v="4"/>
    <n v="1136.1199999999999"/>
    <n v="0.15"/>
    <x v="0"/>
    <s v="PH"/>
    <n v="0.12"/>
    <n v="45000"/>
    <n v="4544.4799999999996"/>
    <n v="681.67199999999991"/>
    <n v="3862.8079999999995"/>
    <n v="320"/>
    <n v="3542.8079999999995"/>
    <x v="0"/>
    <n v="1"/>
    <n v="2024"/>
  </r>
  <r>
    <s v="ORD-202415938"/>
    <s v="2024-01-20 04:45"/>
    <s v="Cindy Hayes"/>
    <s v="robertwilcox@example.com"/>
    <x v="4"/>
    <x v="2"/>
    <x v="18"/>
    <x v="3"/>
    <s v="E-Wallet"/>
    <s v="Cancelled"/>
    <n v="10"/>
    <n v="693.63"/>
    <n v="0.15"/>
    <x v="0"/>
    <s v="PH"/>
    <n v="0.12"/>
    <n v="35000"/>
    <n v="6936.3"/>
    <n v="1040.4449999999999"/>
    <n v="5895.8550000000005"/>
    <n v="1500"/>
    <n v="4395.8550000000005"/>
    <x v="1"/>
    <n v="1"/>
    <n v="2024"/>
  </r>
  <r>
    <s v="ORD-202431299"/>
    <s v="2024-07-20 19:47"/>
    <s v="Brandon Simmons"/>
    <s v="nicholas27@example.org"/>
    <x v="0"/>
    <x v="1"/>
    <x v="22"/>
    <x v="1"/>
    <s v="Cash"/>
    <s v="Cancelled"/>
    <n v="9"/>
    <n v="768.36"/>
    <n v="0.15"/>
    <x v="0"/>
    <s v="VN"/>
    <n v="0.1"/>
    <n v="45000"/>
    <n v="6915.24"/>
    <n v="1037.2859999999998"/>
    <n v="5877.9539999999997"/>
    <n v="720"/>
    <n v="5157.9539999999997"/>
    <x v="3"/>
    <n v="3"/>
    <n v="2024"/>
  </r>
  <r>
    <s v="ORD-202472245"/>
    <s v="2024-01-09 11:21"/>
    <s v="Bradley Reynolds"/>
    <s v="lisa80@example.net"/>
    <x v="7"/>
    <x v="2"/>
    <x v="18"/>
    <x v="1"/>
    <s v="E-Wallet"/>
    <s v="Pending"/>
    <n v="1"/>
    <n v="471.9"/>
    <n v="0.15"/>
    <x v="0"/>
    <s v="MY"/>
    <n v="0.06"/>
    <n v="35000"/>
    <n v="471.9"/>
    <n v="70.784999999999997"/>
    <n v="401.11500000000001"/>
    <n v="150"/>
    <n v="251.11500000000001"/>
    <x v="1"/>
    <n v="1"/>
    <n v="2024"/>
  </r>
  <r>
    <s v="ORD-202416731"/>
    <s v="2024-10-25 15:10"/>
    <s v="Kristina Santiago"/>
    <s v="qgomez@example.com"/>
    <x v="5"/>
    <x v="1"/>
    <x v="24"/>
    <x v="0"/>
    <s v="Debit Card"/>
    <s v="Completed"/>
    <n v="4"/>
    <n v="234.45"/>
    <n v="0"/>
    <x v="1"/>
    <s v="AU"/>
    <n v="0.1"/>
    <n v="45000"/>
    <n v="937.8"/>
    <n v="0"/>
    <n v="937.8"/>
    <n v="320"/>
    <n v="617.79999999999995"/>
    <x v="9"/>
    <n v="4"/>
    <n v="2024"/>
  </r>
  <r>
    <s v="ORD-202467807"/>
    <s v="2024-06-09 13:09"/>
    <s v="Michelle Schmitt"/>
    <s v="michael98@example.org"/>
    <x v="8"/>
    <x v="0"/>
    <x v="15"/>
    <x v="0"/>
    <s v="Debit Card"/>
    <s v="Pending"/>
    <n v="10"/>
    <n v="760.2"/>
    <n v="0.1"/>
    <x v="3"/>
    <s v="JP"/>
    <n v="0.1"/>
    <n v="40000"/>
    <n v="7602"/>
    <n v="760.2"/>
    <n v="6841.8"/>
    <n v="1200"/>
    <n v="5641.8"/>
    <x v="8"/>
    <n v="2"/>
    <n v="2024"/>
  </r>
  <r>
    <s v="ORD-202483516"/>
    <s v="2024-06-15 21:30"/>
    <s v="John Boone"/>
    <s v="megan51@example.com"/>
    <x v="5"/>
    <x v="2"/>
    <x v="2"/>
    <x v="2"/>
    <s v="Cash"/>
    <s v="Cancelled"/>
    <n v="8"/>
    <n v="1435.68"/>
    <n v="0.15"/>
    <x v="1"/>
    <s v="AU"/>
    <n v="0.1"/>
    <n v="35000"/>
    <n v="11485.44"/>
    <n v="1722.816"/>
    <n v="9762.6239999999998"/>
    <n v="1200"/>
    <n v="8562.6239999999998"/>
    <x v="8"/>
    <n v="2"/>
    <n v="2024"/>
  </r>
  <r>
    <s v="ORD-202498587"/>
    <s v="2024-12-14 20:51"/>
    <s v="Renee Bruce"/>
    <s v="lynchdiane@example.net"/>
    <x v="0"/>
    <x v="1"/>
    <x v="24"/>
    <x v="2"/>
    <s v="Debit Card"/>
    <s v="Cancelled"/>
    <n v="4"/>
    <n v="300.51"/>
    <n v="0.05"/>
    <x v="0"/>
    <s v="VN"/>
    <n v="0.1"/>
    <n v="45000"/>
    <n v="1202.04"/>
    <n v="60.102000000000004"/>
    <n v="1141.9379999999999"/>
    <n v="320"/>
    <n v="821.93799999999987"/>
    <x v="10"/>
    <n v="4"/>
    <n v="2024"/>
  </r>
  <r>
    <s v="ORD-202447880"/>
    <s v="2024-12-26 06:44"/>
    <s v="Christopher Park"/>
    <s v="sandra50@example.org"/>
    <x v="9"/>
    <x v="4"/>
    <x v="19"/>
    <x v="0"/>
    <s v="Cash"/>
    <s v="Returned"/>
    <n v="5"/>
    <n v="532.97"/>
    <n v="0.05"/>
    <x v="3"/>
    <s v="KR"/>
    <n v="0.1"/>
    <n v="30000"/>
    <n v="2664.8500000000004"/>
    <n v="133.24250000000004"/>
    <n v="2531.6075000000005"/>
    <n v="1000"/>
    <n v="1531.6075000000005"/>
    <x v="10"/>
    <n v="4"/>
    <n v="2024"/>
  </r>
  <r>
    <s v="ORD-202461712"/>
    <s v="2024-06-25 04:18"/>
    <s v="Kylie Morales"/>
    <s v="joycebonilla@example.org"/>
    <x v="3"/>
    <x v="4"/>
    <x v="16"/>
    <x v="2"/>
    <s v="Bank Transfer"/>
    <s v="Pending"/>
    <n v="8"/>
    <n v="529.35"/>
    <n v="0.2"/>
    <x v="0"/>
    <s v="ID"/>
    <n v="0.11"/>
    <n v="30000"/>
    <n v="4234.8"/>
    <n v="846.96"/>
    <n v="3387.84"/>
    <n v="1600"/>
    <n v="1787.8400000000001"/>
    <x v="8"/>
    <n v="2"/>
    <n v="2024"/>
  </r>
  <r>
    <s v="ORD-202436485"/>
    <s v="2024-10-02 08:59"/>
    <s v="Cindy Barnes"/>
    <s v="eric45@example.net"/>
    <x v="5"/>
    <x v="4"/>
    <x v="5"/>
    <x v="3"/>
    <s v="Credit Card"/>
    <s v="Pending"/>
    <n v="10"/>
    <n v="177.2"/>
    <n v="0"/>
    <x v="1"/>
    <s v="AU"/>
    <n v="0.1"/>
    <n v="30000"/>
    <n v="1772"/>
    <n v="0"/>
    <n v="1772"/>
    <n v="2000"/>
    <n v="-228"/>
    <x v="9"/>
    <n v="4"/>
    <n v="2024"/>
  </r>
  <r>
    <s v="ORD-202493616"/>
    <s v="2024-04-29 01:06"/>
    <s v="Sophia Moore"/>
    <s v="craigjoseph@example.net"/>
    <x v="8"/>
    <x v="4"/>
    <x v="19"/>
    <x v="3"/>
    <s v="Bank Transfer"/>
    <s v="Returned"/>
    <n v="3"/>
    <n v="164.31"/>
    <n v="0"/>
    <x v="3"/>
    <s v="JP"/>
    <n v="0.1"/>
    <n v="30000"/>
    <n v="492.93"/>
    <n v="0"/>
    <n v="492.93"/>
    <n v="600"/>
    <n v="-107.07"/>
    <x v="4"/>
    <n v="2"/>
    <n v="2024"/>
  </r>
  <r>
    <s v="ORD-202472580"/>
    <s v="2024-11-29 06:48"/>
    <s v="Lawrence Perry"/>
    <s v="kariwilson@example.com"/>
    <x v="0"/>
    <x v="4"/>
    <x v="23"/>
    <x v="3"/>
    <s v="Cash"/>
    <s v="Completed"/>
    <n v="2"/>
    <n v="974.16"/>
    <n v="0.2"/>
    <x v="0"/>
    <s v="VN"/>
    <n v="0.1"/>
    <n v="30000"/>
    <n v="1948.32"/>
    <n v="389.66399999999999"/>
    <n v="1558.6559999999999"/>
    <n v="400"/>
    <n v="1158.6559999999999"/>
    <x v="11"/>
    <n v="4"/>
    <n v="2024"/>
  </r>
  <r>
    <s v="ORD-202432946"/>
    <s v="2024-08-01 05:59"/>
    <s v="Michael Watkins"/>
    <s v="brandon69@example.org"/>
    <x v="3"/>
    <x v="2"/>
    <x v="17"/>
    <x v="0"/>
    <s v="E-Wallet"/>
    <s v="Completed"/>
    <n v="5"/>
    <n v="291.67"/>
    <n v="0"/>
    <x v="0"/>
    <s v="ID"/>
    <n v="0.11"/>
    <n v="35000"/>
    <n v="1458.3500000000001"/>
    <n v="0"/>
    <n v="1458.3500000000001"/>
    <n v="750"/>
    <n v="708.35000000000014"/>
    <x v="5"/>
    <n v="3"/>
    <n v="2024"/>
  </r>
  <r>
    <s v="ORD-202453914"/>
    <s v="2024-05-25 14:41"/>
    <s v="Eric Clark"/>
    <s v="kathrynroberts@example.org"/>
    <x v="5"/>
    <x v="1"/>
    <x v="24"/>
    <x v="1"/>
    <s v="E-Wallet"/>
    <s v="Pending"/>
    <n v="3"/>
    <n v="1335.55"/>
    <n v="0.15"/>
    <x v="1"/>
    <s v="AU"/>
    <n v="0.1"/>
    <n v="45000"/>
    <n v="4006.6499999999996"/>
    <n v="600.99749999999995"/>
    <n v="3405.6524999999997"/>
    <n v="240"/>
    <n v="3165.6524999999997"/>
    <x v="2"/>
    <n v="2"/>
    <n v="2024"/>
  </r>
  <r>
    <s v="ORD-202424764"/>
    <s v="2024-06-18 05:46"/>
    <s v="Paul Thompson"/>
    <s v="opatel@example.net"/>
    <x v="9"/>
    <x v="4"/>
    <x v="5"/>
    <x v="3"/>
    <s v="Debit Card"/>
    <s v="Returned"/>
    <n v="6"/>
    <n v="35.92"/>
    <n v="0.05"/>
    <x v="3"/>
    <s v="KR"/>
    <n v="0.1"/>
    <n v="30000"/>
    <n v="215.52"/>
    <n v="10.776000000000002"/>
    <n v="204.744"/>
    <n v="1200"/>
    <n v="-995.25599999999997"/>
    <x v="8"/>
    <n v="2"/>
    <n v="2024"/>
  </r>
  <r>
    <s v="ORD-202466059"/>
    <s v="2024-09-20 10:05"/>
    <s v="Mary Gomez"/>
    <s v="chensley@example.com"/>
    <x v="8"/>
    <x v="3"/>
    <x v="7"/>
    <x v="3"/>
    <s v="Credit Card"/>
    <s v="Cancelled"/>
    <n v="8"/>
    <n v="1472.8"/>
    <n v="0.05"/>
    <x v="3"/>
    <s v="JP"/>
    <n v="0.1"/>
    <n v="50000"/>
    <n v="11782.4"/>
    <n v="589.12"/>
    <n v="11193.279999999999"/>
    <n v="3600"/>
    <n v="7593.2799999999988"/>
    <x v="6"/>
    <n v="3"/>
    <n v="2024"/>
  </r>
  <r>
    <s v="ORD-202460275"/>
    <s v="2024-04-30 14:48"/>
    <s v="Thomas Atkins"/>
    <s v="tberry@example.net"/>
    <x v="0"/>
    <x v="4"/>
    <x v="23"/>
    <x v="2"/>
    <s v="E-Wallet"/>
    <s v="Pending"/>
    <n v="10"/>
    <n v="879.95"/>
    <n v="0"/>
    <x v="0"/>
    <s v="VN"/>
    <n v="0.1"/>
    <n v="30000"/>
    <n v="8799.5"/>
    <n v="0"/>
    <n v="8799.5"/>
    <n v="2000"/>
    <n v="6799.5"/>
    <x v="4"/>
    <n v="2"/>
    <n v="2024"/>
  </r>
  <r>
    <s v="ORD-202418142"/>
    <s v="2024-12-07 03:29"/>
    <s v="Brian Smith"/>
    <s v="george97@example.net"/>
    <x v="0"/>
    <x v="0"/>
    <x v="15"/>
    <x v="0"/>
    <s v="E-Wallet"/>
    <s v="Cancelled"/>
    <n v="5"/>
    <n v="1033.82"/>
    <n v="0.2"/>
    <x v="0"/>
    <s v="VN"/>
    <n v="0.1"/>
    <n v="40000"/>
    <n v="5169.0999999999995"/>
    <n v="1033.82"/>
    <n v="4135.28"/>
    <n v="600"/>
    <n v="3535.2799999999997"/>
    <x v="10"/>
    <n v="4"/>
    <n v="2024"/>
  </r>
  <r>
    <s v="ORD-202490560"/>
    <s v="2024-04-23 07:08"/>
    <s v="Anita Richard"/>
    <s v="ryanmorales@example.org"/>
    <x v="9"/>
    <x v="0"/>
    <x v="15"/>
    <x v="1"/>
    <s v="Cash"/>
    <s v="Returned"/>
    <n v="10"/>
    <n v="1125.3900000000001"/>
    <n v="0.05"/>
    <x v="3"/>
    <s v="KR"/>
    <n v="0.1"/>
    <n v="40000"/>
    <n v="11253.900000000001"/>
    <n v="562.69500000000005"/>
    <n v="10691.205000000002"/>
    <n v="1200"/>
    <n v="9491.2050000000017"/>
    <x v="4"/>
    <n v="2"/>
    <n v="2024"/>
  </r>
  <r>
    <s v="ORD-202480453"/>
    <s v="2024-12-06 06:48"/>
    <s v="Eric Morgan"/>
    <s v="kimberly18@example.net"/>
    <x v="1"/>
    <x v="1"/>
    <x v="13"/>
    <x v="2"/>
    <s v="Credit Card"/>
    <s v="Completed"/>
    <n v="9"/>
    <n v="795.38"/>
    <n v="0.2"/>
    <x v="0"/>
    <s v="TH"/>
    <n v="7.0000000000000007E-2"/>
    <n v="45000"/>
    <n v="7158.42"/>
    <n v="1431.6840000000002"/>
    <n v="5726.7359999999999"/>
    <n v="720"/>
    <n v="5006.7359999999999"/>
    <x v="10"/>
    <n v="4"/>
    <n v="2024"/>
  </r>
  <r>
    <s v="ORD-202418094"/>
    <s v="2024-10-07 16:12"/>
    <s v="Jordan Bullock"/>
    <s v="michael23@example.org"/>
    <x v="6"/>
    <x v="1"/>
    <x v="9"/>
    <x v="0"/>
    <s v="Debit Card"/>
    <s v="Returned"/>
    <n v="9"/>
    <n v="259.33999999999997"/>
    <n v="0.1"/>
    <x v="2"/>
    <s v="IN"/>
    <n v="0.18"/>
    <n v="45000"/>
    <n v="2334.06"/>
    <n v="233.40600000000001"/>
    <n v="2100.654"/>
    <n v="720"/>
    <n v="1380.654"/>
    <x v="9"/>
    <n v="4"/>
    <n v="2024"/>
  </r>
  <r>
    <s v="ORD-202421919"/>
    <s v="2024-09-18 14:51"/>
    <s v="Craig Morrison"/>
    <s v="thompsonkendra@example.com"/>
    <x v="3"/>
    <x v="2"/>
    <x v="21"/>
    <x v="0"/>
    <s v="Cash"/>
    <s v="Returned"/>
    <n v="8"/>
    <n v="777.17"/>
    <n v="0.15"/>
    <x v="0"/>
    <s v="ID"/>
    <n v="0.11"/>
    <n v="35000"/>
    <n v="6217.36"/>
    <n v="932.60399999999993"/>
    <n v="5284.7559999999994"/>
    <n v="1200"/>
    <n v="4084.7559999999994"/>
    <x v="6"/>
    <n v="3"/>
    <n v="2024"/>
  </r>
  <r>
    <s v="ORD-202498181"/>
    <s v="2024-06-06 23:01"/>
    <s v="Justin Riley"/>
    <s v="michelle52@example.com"/>
    <x v="8"/>
    <x v="4"/>
    <x v="16"/>
    <x v="0"/>
    <s v="Bank Transfer"/>
    <s v="Cancelled"/>
    <n v="10"/>
    <n v="1122.52"/>
    <n v="0"/>
    <x v="3"/>
    <s v="JP"/>
    <n v="0.1"/>
    <n v="30000"/>
    <n v="11225.2"/>
    <n v="0"/>
    <n v="11225.2"/>
    <n v="2000"/>
    <n v="9225.2000000000007"/>
    <x v="8"/>
    <n v="2"/>
    <n v="2024"/>
  </r>
  <r>
    <s v="ORD-202418357"/>
    <s v="2024-10-04 01:59"/>
    <s v="Jeremy Turner"/>
    <s v="brittany58@example.org"/>
    <x v="7"/>
    <x v="2"/>
    <x v="11"/>
    <x v="1"/>
    <s v="E-Wallet"/>
    <s v="Returned"/>
    <n v="3"/>
    <n v="441.33"/>
    <n v="0"/>
    <x v="0"/>
    <s v="MY"/>
    <n v="0.06"/>
    <n v="35000"/>
    <n v="1323.99"/>
    <n v="0"/>
    <n v="1323.99"/>
    <n v="450"/>
    <n v="873.99"/>
    <x v="9"/>
    <n v="4"/>
    <n v="2024"/>
  </r>
  <r>
    <s v="ORD-202468790"/>
    <s v="2024-07-12 12:05"/>
    <s v="Jesse Brown"/>
    <s v="chase19@example.net"/>
    <x v="5"/>
    <x v="0"/>
    <x v="4"/>
    <x v="3"/>
    <s v="Debit Card"/>
    <s v="Completed"/>
    <n v="9"/>
    <n v="191.17"/>
    <n v="0.1"/>
    <x v="1"/>
    <s v="AU"/>
    <n v="0.1"/>
    <n v="40000"/>
    <n v="1720.53"/>
    <n v="172.053"/>
    <n v="1548.4769999999999"/>
    <n v="1080"/>
    <n v="468.47699999999986"/>
    <x v="3"/>
    <n v="3"/>
    <n v="2024"/>
  </r>
  <r>
    <s v="ORD-202412979"/>
    <s v="2024-06-01 14:43"/>
    <s v="Julie Spencer"/>
    <s v="colelisa@example.net"/>
    <x v="5"/>
    <x v="2"/>
    <x v="18"/>
    <x v="1"/>
    <s v="E-Wallet"/>
    <s v="Pending"/>
    <n v="4"/>
    <n v="578.23"/>
    <n v="0"/>
    <x v="1"/>
    <s v="AU"/>
    <n v="0.1"/>
    <n v="35000"/>
    <n v="2312.92"/>
    <n v="0"/>
    <n v="2312.92"/>
    <n v="600"/>
    <n v="1712.92"/>
    <x v="8"/>
    <n v="2"/>
    <n v="2024"/>
  </r>
  <r>
    <s v="ORD-202446129"/>
    <s v="2024-04-06 23:48"/>
    <s v="Larry Mason"/>
    <s v="hayeslisa@example.com"/>
    <x v="7"/>
    <x v="3"/>
    <x v="3"/>
    <x v="3"/>
    <s v="Credit Card"/>
    <s v="Completed"/>
    <n v="1"/>
    <n v="928.16"/>
    <n v="0"/>
    <x v="0"/>
    <s v="MY"/>
    <n v="0.06"/>
    <n v="50000"/>
    <n v="928.16"/>
    <n v="0"/>
    <n v="928.16"/>
    <n v="450"/>
    <n v="478.15999999999997"/>
    <x v="4"/>
    <n v="2"/>
    <n v="2024"/>
  </r>
  <r>
    <s v="ORD-202487849"/>
    <s v="2024-01-18 14:38"/>
    <s v="Mrs. Maria Williams"/>
    <s v="hritter@example.net"/>
    <x v="3"/>
    <x v="0"/>
    <x v="20"/>
    <x v="3"/>
    <s v="Credit Card"/>
    <s v="Pending"/>
    <n v="4"/>
    <n v="612.36"/>
    <n v="0.15"/>
    <x v="0"/>
    <s v="ID"/>
    <n v="0.11"/>
    <n v="40000"/>
    <n v="2449.44"/>
    <n v="367.416"/>
    <n v="2082.0239999999999"/>
    <n v="480"/>
    <n v="1602.0239999999999"/>
    <x v="1"/>
    <n v="1"/>
    <n v="2024"/>
  </r>
  <r>
    <s v="ORD-202476046"/>
    <s v="2024-05-28 07:52"/>
    <s v="Helen Hardin"/>
    <s v="vortiz@example.net"/>
    <x v="6"/>
    <x v="4"/>
    <x v="6"/>
    <x v="2"/>
    <s v="Debit Card"/>
    <s v="Pending"/>
    <n v="6"/>
    <n v="902.91"/>
    <n v="0"/>
    <x v="2"/>
    <s v="IN"/>
    <n v="0.18"/>
    <n v="30000"/>
    <n v="5417.46"/>
    <n v="0"/>
    <n v="5417.46"/>
    <n v="1200"/>
    <n v="4217.46"/>
    <x v="2"/>
    <n v="2"/>
    <n v="2024"/>
  </r>
  <r>
    <s v="ORD-202464206"/>
    <s v="2024-06-02 08:03"/>
    <s v="Rachel Holland"/>
    <s v="riveraangela@example.com"/>
    <x v="5"/>
    <x v="1"/>
    <x v="9"/>
    <x v="1"/>
    <s v="Credit Card"/>
    <s v="Cancelled"/>
    <n v="7"/>
    <n v="944.6"/>
    <n v="0.15"/>
    <x v="1"/>
    <s v="AU"/>
    <n v="0.1"/>
    <n v="45000"/>
    <n v="6612.2"/>
    <n v="991.82999999999993"/>
    <n v="5620.37"/>
    <n v="560"/>
    <n v="5060.37"/>
    <x v="8"/>
    <n v="2"/>
    <n v="2024"/>
  </r>
  <r>
    <s v="ORD-202494320"/>
    <s v="2024-12-09 12:50"/>
    <s v="Nathaniel Douglas"/>
    <s v="mathewaguilar@example.org"/>
    <x v="5"/>
    <x v="4"/>
    <x v="19"/>
    <x v="3"/>
    <s v="Cash"/>
    <s v="Returned"/>
    <n v="5"/>
    <n v="621.26"/>
    <n v="0.1"/>
    <x v="1"/>
    <s v="AU"/>
    <n v="0.1"/>
    <n v="30000"/>
    <n v="3106.3"/>
    <n v="310.63000000000005"/>
    <n v="2795.67"/>
    <n v="1000"/>
    <n v="1795.67"/>
    <x v="10"/>
    <n v="4"/>
    <n v="2024"/>
  </r>
  <r>
    <s v="ORD-202441584"/>
    <s v="2024-04-25 09:54"/>
    <s v="Emily Douglas"/>
    <s v="tanderson@example.org"/>
    <x v="2"/>
    <x v="2"/>
    <x v="11"/>
    <x v="3"/>
    <s v="Bank Transfer"/>
    <s v="Pending"/>
    <n v="7"/>
    <n v="850.14"/>
    <n v="0.15"/>
    <x v="0"/>
    <s v="SG"/>
    <n v="7.0000000000000007E-2"/>
    <n v="35000"/>
    <n v="5950.98"/>
    <n v="892.64699999999993"/>
    <n v="5058.3329999999996"/>
    <n v="1050"/>
    <n v="4008.3329999999996"/>
    <x v="4"/>
    <n v="2"/>
    <n v="2024"/>
  </r>
  <r>
    <s v="ORD-202443422"/>
    <s v="2024-04-14 10:41"/>
    <s v="James Conner"/>
    <s v="elizabethcalderon@example.net"/>
    <x v="7"/>
    <x v="2"/>
    <x v="2"/>
    <x v="2"/>
    <s v="Bank Transfer"/>
    <s v="Completed"/>
    <n v="4"/>
    <n v="152.31"/>
    <n v="0"/>
    <x v="0"/>
    <s v="MY"/>
    <n v="0.06"/>
    <n v="35000"/>
    <n v="609.24"/>
    <n v="0"/>
    <n v="609.24"/>
    <n v="600"/>
    <n v="9.2400000000000091"/>
    <x v="4"/>
    <n v="2"/>
    <n v="2024"/>
  </r>
  <r>
    <s v="ORD-202419539"/>
    <s v="2024-04-06 18:46"/>
    <s v="Susan Davis DDS"/>
    <s v="andrew42@example.org"/>
    <x v="5"/>
    <x v="0"/>
    <x v="15"/>
    <x v="0"/>
    <s v="Debit Card"/>
    <s v="Pending"/>
    <n v="6"/>
    <n v="325.2"/>
    <n v="0.05"/>
    <x v="1"/>
    <s v="AU"/>
    <n v="0.1"/>
    <n v="40000"/>
    <n v="1951.1999999999998"/>
    <n v="97.56"/>
    <n v="1853.6399999999999"/>
    <n v="720"/>
    <n v="1133.6399999999999"/>
    <x v="4"/>
    <n v="2"/>
    <n v="2024"/>
  </r>
  <r>
    <s v="ORD-202425376"/>
    <s v="2024-09-02 07:44"/>
    <s v="Ralph Lee"/>
    <s v="ericphillips@example.org"/>
    <x v="6"/>
    <x v="0"/>
    <x v="15"/>
    <x v="2"/>
    <s v="Bank Transfer"/>
    <s v="Returned"/>
    <n v="9"/>
    <n v="1373.96"/>
    <n v="0.05"/>
    <x v="2"/>
    <s v="IN"/>
    <n v="0.18"/>
    <n v="40000"/>
    <n v="12365.64"/>
    <n v="618.28200000000004"/>
    <n v="11747.358"/>
    <n v="1080"/>
    <n v="10667.358"/>
    <x v="6"/>
    <n v="3"/>
    <n v="2024"/>
  </r>
  <r>
    <s v="ORD-202479946"/>
    <s v="2024-11-28 11:19"/>
    <s v="Kimberly Rodgers"/>
    <s v="stanleynancy@example.net"/>
    <x v="0"/>
    <x v="4"/>
    <x v="6"/>
    <x v="1"/>
    <s v="E-Wallet"/>
    <s v="Pending"/>
    <n v="8"/>
    <n v="1325.98"/>
    <n v="0"/>
    <x v="0"/>
    <s v="VN"/>
    <n v="0.1"/>
    <n v="30000"/>
    <n v="10607.84"/>
    <n v="0"/>
    <n v="10607.84"/>
    <n v="1600"/>
    <n v="9007.84"/>
    <x v="11"/>
    <n v="4"/>
    <n v="2024"/>
  </r>
  <r>
    <s v="ORD-202458589"/>
    <s v="2024-06-09 13:02"/>
    <s v="James Martin"/>
    <s v="jenniferwilliams@example.com"/>
    <x v="6"/>
    <x v="0"/>
    <x v="0"/>
    <x v="1"/>
    <s v="E-Wallet"/>
    <s v="Pending"/>
    <n v="9"/>
    <n v="39.090000000000003"/>
    <n v="0.15"/>
    <x v="2"/>
    <s v="IN"/>
    <n v="0.18"/>
    <n v="40000"/>
    <n v="351.81000000000006"/>
    <n v="52.77150000000001"/>
    <n v="299.03850000000006"/>
    <n v="1080"/>
    <n v="-780.96149999999989"/>
    <x v="8"/>
    <n v="2"/>
    <n v="2024"/>
  </r>
  <r>
    <s v="ORD-202435715"/>
    <s v="2024-06-17 07:24"/>
    <s v="Cynthia Wallace"/>
    <s v="karen73@example.net"/>
    <x v="6"/>
    <x v="0"/>
    <x v="15"/>
    <x v="1"/>
    <s v="Bank Transfer"/>
    <s v="Returned"/>
    <n v="6"/>
    <n v="832.7"/>
    <n v="0.05"/>
    <x v="2"/>
    <s v="IN"/>
    <n v="0.18"/>
    <n v="40000"/>
    <n v="4996.2000000000007"/>
    <n v="249.81000000000006"/>
    <n v="4746.3900000000003"/>
    <n v="720"/>
    <n v="4026.3900000000003"/>
    <x v="8"/>
    <n v="2"/>
    <n v="2024"/>
  </r>
  <r>
    <s v="ORD-202432050"/>
    <s v="2024-06-29 05:08"/>
    <s v="Vincent Mueller"/>
    <s v="michealvalentine@example.com"/>
    <x v="5"/>
    <x v="2"/>
    <x v="21"/>
    <x v="0"/>
    <s v="Cash"/>
    <s v="Completed"/>
    <n v="9"/>
    <n v="1376.6"/>
    <n v="0.2"/>
    <x v="1"/>
    <s v="AU"/>
    <n v="0.1"/>
    <n v="35000"/>
    <n v="12389.4"/>
    <n v="2477.88"/>
    <n v="9911.52"/>
    <n v="1350"/>
    <n v="8561.52"/>
    <x v="8"/>
    <n v="2"/>
    <n v="2024"/>
  </r>
  <r>
    <s v="ORD-202419742"/>
    <s v="2024-12-08 01:48"/>
    <s v="Douglas Reyes"/>
    <s v="mburch@example.net"/>
    <x v="3"/>
    <x v="2"/>
    <x v="21"/>
    <x v="3"/>
    <s v="Credit Card"/>
    <s v="Pending"/>
    <n v="4"/>
    <n v="1266.18"/>
    <n v="0"/>
    <x v="0"/>
    <s v="ID"/>
    <n v="0.11"/>
    <n v="35000"/>
    <n v="5064.72"/>
    <n v="0"/>
    <n v="5064.72"/>
    <n v="600"/>
    <n v="4464.72"/>
    <x v="10"/>
    <n v="4"/>
    <n v="2024"/>
  </r>
  <r>
    <s v="ORD-202476287"/>
    <s v="2024-08-21 11:03"/>
    <s v="David Davidson"/>
    <s v="angela18@example.org"/>
    <x v="6"/>
    <x v="1"/>
    <x v="24"/>
    <x v="1"/>
    <s v="Credit Card"/>
    <s v="Completed"/>
    <n v="1"/>
    <n v="994.04"/>
    <n v="0"/>
    <x v="2"/>
    <s v="IN"/>
    <n v="0.18"/>
    <n v="45000"/>
    <n v="994.04"/>
    <n v="0"/>
    <n v="994.04"/>
    <n v="80"/>
    <n v="914.04"/>
    <x v="5"/>
    <n v="3"/>
    <n v="2024"/>
  </r>
  <r>
    <s v="ORD-202479391"/>
    <s v="2024-05-20 17:18"/>
    <s v="Phillip Nelson"/>
    <s v="mariahdavis@example.org"/>
    <x v="3"/>
    <x v="1"/>
    <x v="24"/>
    <x v="0"/>
    <s v="Cash"/>
    <s v="Pending"/>
    <n v="3"/>
    <n v="1212.1600000000001"/>
    <n v="0"/>
    <x v="0"/>
    <s v="ID"/>
    <n v="0.11"/>
    <n v="45000"/>
    <n v="3636.4800000000005"/>
    <n v="0"/>
    <n v="3636.4800000000005"/>
    <n v="240"/>
    <n v="3396.4800000000005"/>
    <x v="2"/>
    <n v="2"/>
    <n v="2024"/>
  </r>
  <r>
    <s v="ORD-202435156"/>
    <s v="2024-11-13 16:16"/>
    <s v="Stacey Arias"/>
    <s v="gbrown@example.com"/>
    <x v="4"/>
    <x v="4"/>
    <x v="19"/>
    <x v="3"/>
    <s v="Debit Card"/>
    <s v="Cancelled"/>
    <n v="7"/>
    <n v="132.34"/>
    <n v="0.1"/>
    <x v="0"/>
    <s v="PH"/>
    <n v="0.12"/>
    <n v="30000"/>
    <n v="926.38"/>
    <n v="92.638000000000005"/>
    <n v="833.74199999999996"/>
    <n v="1400"/>
    <n v="-566.25800000000004"/>
    <x v="11"/>
    <n v="4"/>
    <n v="2024"/>
  </r>
  <r>
    <s v="ORD-202499658"/>
    <s v="2024-02-11 20:54"/>
    <s v="Zachary Brooks"/>
    <s v="florescory@example.net"/>
    <x v="3"/>
    <x v="3"/>
    <x v="3"/>
    <x v="0"/>
    <s v="Credit Card"/>
    <s v="Pending"/>
    <n v="9"/>
    <n v="578.21"/>
    <n v="0.1"/>
    <x v="0"/>
    <s v="ID"/>
    <n v="0.11"/>
    <n v="50000"/>
    <n v="5203.8900000000003"/>
    <n v="520.38900000000001"/>
    <n v="4683.5010000000002"/>
    <n v="4050"/>
    <n v="633.5010000000002"/>
    <x v="0"/>
    <n v="1"/>
    <n v="2024"/>
  </r>
  <r>
    <s v="ORD-202420837"/>
    <s v="2024-09-12 13:41"/>
    <s v="Raven Taylor"/>
    <s v="samantha72@example.net"/>
    <x v="4"/>
    <x v="1"/>
    <x v="13"/>
    <x v="3"/>
    <s v="Cash"/>
    <s v="Returned"/>
    <n v="1"/>
    <n v="1343.76"/>
    <n v="0"/>
    <x v="0"/>
    <s v="PH"/>
    <n v="0.12"/>
    <n v="45000"/>
    <n v="1343.76"/>
    <n v="0"/>
    <n v="1343.76"/>
    <n v="80"/>
    <n v="1263.76"/>
    <x v="6"/>
    <n v="3"/>
    <n v="2024"/>
  </r>
  <r>
    <s v="ORD-202445532"/>
    <s v="2024-01-24 02:43"/>
    <s v="Luis Bullock"/>
    <s v="scottmary@example.net"/>
    <x v="0"/>
    <x v="1"/>
    <x v="1"/>
    <x v="0"/>
    <s v="Debit Card"/>
    <s v="Pending"/>
    <n v="3"/>
    <n v="992.29"/>
    <n v="0.05"/>
    <x v="0"/>
    <s v="VN"/>
    <n v="0.1"/>
    <n v="45000"/>
    <n v="2976.87"/>
    <n v="148.84350000000001"/>
    <n v="2828.0264999999999"/>
    <n v="240"/>
    <n v="2588.0264999999999"/>
    <x v="1"/>
    <n v="1"/>
    <n v="2024"/>
  </r>
  <r>
    <s v="ORD-202462205"/>
    <s v="2024-02-09 09:10"/>
    <s v="Lisa Henderson"/>
    <s v="john10@example.org"/>
    <x v="6"/>
    <x v="0"/>
    <x v="12"/>
    <x v="2"/>
    <s v="Bank Transfer"/>
    <s v="Pending"/>
    <n v="7"/>
    <n v="1254.46"/>
    <n v="0.2"/>
    <x v="2"/>
    <s v="IN"/>
    <n v="0.18"/>
    <n v="40000"/>
    <n v="8781.2200000000012"/>
    <n v="1756.2440000000004"/>
    <n v="7024.9760000000006"/>
    <n v="840"/>
    <n v="6184.9760000000006"/>
    <x v="0"/>
    <n v="1"/>
    <n v="2024"/>
  </r>
  <r>
    <s v="ORD-202420279"/>
    <s v="2024-09-13 23:22"/>
    <s v="Riley Bryant"/>
    <s v="copelandvincent@example.net"/>
    <x v="3"/>
    <x v="3"/>
    <x v="3"/>
    <x v="1"/>
    <s v="E-Wallet"/>
    <s v="Completed"/>
    <n v="2"/>
    <n v="359.73"/>
    <n v="0.05"/>
    <x v="0"/>
    <s v="ID"/>
    <n v="0.11"/>
    <n v="50000"/>
    <n v="719.46"/>
    <n v="35.973000000000006"/>
    <n v="683.48700000000008"/>
    <n v="900"/>
    <n v="-216.51299999999992"/>
    <x v="6"/>
    <n v="3"/>
    <n v="2024"/>
  </r>
  <r>
    <s v="ORD-202493115"/>
    <s v="2024-05-19 14:31"/>
    <s v="Jose Allen"/>
    <s v="kellysmith@example.com"/>
    <x v="1"/>
    <x v="4"/>
    <x v="6"/>
    <x v="1"/>
    <s v="Credit Card"/>
    <s v="Cancelled"/>
    <n v="7"/>
    <n v="1412.6"/>
    <n v="0"/>
    <x v="0"/>
    <s v="TH"/>
    <n v="7.0000000000000007E-2"/>
    <n v="30000"/>
    <n v="9888.1999999999989"/>
    <n v="0"/>
    <n v="9888.1999999999989"/>
    <n v="1400"/>
    <n v="8488.1999999999989"/>
    <x v="2"/>
    <n v="2"/>
    <n v="2024"/>
  </r>
  <r>
    <s v="ORD-202442302"/>
    <s v="2024-02-07 02:17"/>
    <s v="Jason Beck"/>
    <s v="millsmichael@example.net"/>
    <x v="2"/>
    <x v="2"/>
    <x v="21"/>
    <x v="0"/>
    <s v="Credit Card"/>
    <s v="Completed"/>
    <n v="6"/>
    <n v="1113.3900000000001"/>
    <n v="0.05"/>
    <x v="0"/>
    <s v="SG"/>
    <n v="7.0000000000000007E-2"/>
    <n v="35000"/>
    <n v="6680.34"/>
    <n v="334.01700000000005"/>
    <n v="6346.3230000000003"/>
    <n v="900"/>
    <n v="5446.3230000000003"/>
    <x v="0"/>
    <n v="1"/>
    <n v="2024"/>
  </r>
  <r>
    <s v="ORD-202450405"/>
    <s v="2024-08-15 11:48"/>
    <s v="Rachel Romero"/>
    <s v="myerstheodore@example.net"/>
    <x v="0"/>
    <x v="3"/>
    <x v="7"/>
    <x v="1"/>
    <s v="Credit Card"/>
    <s v="Completed"/>
    <n v="7"/>
    <n v="144.63999999999999"/>
    <n v="0.1"/>
    <x v="0"/>
    <s v="VN"/>
    <n v="0.1"/>
    <n v="50000"/>
    <n v="1012.4799999999999"/>
    <n v="101.24799999999999"/>
    <n v="911.23199999999997"/>
    <n v="3150"/>
    <n v="-2238.768"/>
    <x v="5"/>
    <n v="3"/>
    <n v="2024"/>
  </r>
  <r>
    <s v="ORD-202421746"/>
    <s v="2024-06-30 17:05"/>
    <s v="James Burgess"/>
    <s v="kristina53@example.net"/>
    <x v="6"/>
    <x v="1"/>
    <x v="22"/>
    <x v="1"/>
    <s v="Bank Transfer"/>
    <s v="Completed"/>
    <n v="1"/>
    <n v="1297.6199999999999"/>
    <n v="0.05"/>
    <x v="2"/>
    <s v="IN"/>
    <n v="0.18"/>
    <n v="45000"/>
    <n v="1297.6199999999999"/>
    <n v="64.881"/>
    <n v="1232.7389999999998"/>
    <n v="80"/>
    <n v="1152.7389999999998"/>
    <x v="8"/>
    <n v="2"/>
    <n v="2024"/>
  </r>
  <r>
    <s v="ORD-202483339"/>
    <s v="2024-05-04 18:33"/>
    <s v="Ashley Perkins"/>
    <s v="dennis58@example.com"/>
    <x v="2"/>
    <x v="2"/>
    <x v="21"/>
    <x v="1"/>
    <s v="Debit Card"/>
    <s v="Completed"/>
    <n v="5"/>
    <n v="221.18"/>
    <n v="0.05"/>
    <x v="0"/>
    <s v="SG"/>
    <n v="7.0000000000000007E-2"/>
    <n v="35000"/>
    <n v="1105.9000000000001"/>
    <n v="55.295000000000009"/>
    <n v="1050.605"/>
    <n v="750"/>
    <n v="300.60500000000002"/>
    <x v="2"/>
    <n v="2"/>
    <n v="2024"/>
  </r>
  <r>
    <s v="ORD-202431916"/>
    <s v="2024-08-10 08:26"/>
    <s v="Carrie Maxwell"/>
    <s v="epollard@example.net"/>
    <x v="0"/>
    <x v="2"/>
    <x v="11"/>
    <x v="1"/>
    <s v="Cash"/>
    <s v="Pending"/>
    <n v="4"/>
    <n v="551.27"/>
    <n v="0.2"/>
    <x v="0"/>
    <s v="VN"/>
    <n v="0.1"/>
    <n v="35000"/>
    <n v="2205.08"/>
    <n v="441.01600000000002"/>
    <n v="1764.0639999999999"/>
    <n v="600"/>
    <n v="1164.0639999999999"/>
    <x v="5"/>
    <n v="3"/>
    <n v="2024"/>
  </r>
  <r>
    <s v="ORD-202470012"/>
    <s v="2024-02-24 04:19"/>
    <s v="Chad Baldwin"/>
    <s v="mjohnson@example.org"/>
    <x v="3"/>
    <x v="2"/>
    <x v="2"/>
    <x v="1"/>
    <s v="E-Wallet"/>
    <s v="Returned"/>
    <n v="7"/>
    <n v="1264.8"/>
    <n v="0.05"/>
    <x v="0"/>
    <s v="ID"/>
    <n v="0.11"/>
    <n v="35000"/>
    <n v="8853.6"/>
    <n v="442.68000000000006"/>
    <n v="8410.92"/>
    <n v="1050"/>
    <n v="7360.92"/>
    <x v="0"/>
    <n v="1"/>
    <n v="2024"/>
  </r>
  <r>
    <s v="ORD-202495332"/>
    <s v="2024-10-31 04:19"/>
    <s v="Stacey Stewart"/>
    <s v="zachary87@example.com"/>
    <x v="4"/>
    <x v="1"/>
    <x v="9"/>
    <x v="2"/>
    <s v="E-Wallet"/>
    <s v="Returned"/>
    <n v="3"/>
    <n v="726.33"/>
    <n v="0.1"/>
    <x v="0"/>
    <s v="PH"/>
    <n v="0.12"/>
    <n v="45000"/>
    <n v="2178.9900000000002"/>
    <n v="217.89900000000003"/>
    <n v="1961.0910000000001"/>
    <n v="240"/>
    <n v="1721.0910000000001"/>
    <x v="9"/>
    <n v="4"/>
    <n v="2024"/>
  </r>
  <r>
    <s v="ORD-202485481"/>
    <s v="2024-05-04 10:24"/>
    <s v="Matthew Mitchell"/>
    <s v="glennmartin@example.org"/>
    <x v="0"/>
    <x v="2"/>
    <x v="2"/>
    <x v="3"/>
    <s v="Cash"/>
    <s v="Completed"/>
    <n v="10"/>
    <n v="184.12"/>
    <n v="0"/>
    <x v="0"/>
    <s v="VN"/>
    <n v="0.1"/>
    <n v="35000"/>
    <n v="1841.2"/>
    <n v="0"/>
    <n v="1841.2"/>
    <n v="1500"/>
    <n v="341.20000000000005"/>
    <x v="2"/>
    <n v="2"/>
    <n v="2024"/>
  </r>
  <r>
    <s v="ORD-202470505"/>
    <s v="2024-12-28 06:28"/>
    <s v="Jessica Ross"/>
    <s v="ykline@example.com"/>
    <x v="0"/>
    <x v="3"/>
    <x v="3"/>
    <x v="2"/>
    <s v="Debit Card"/>
    <s v="Cancelled"/>
    <n v="3"/>
    <n v="1014.37"/>
    <n v="0.2"/>
    <x v="0"/>
    <s v="VN"/>
    <n v="0.1"/>
    <n v="50000"/>
    <n v="3043.11"/>
    <n v="608.62200000000007"/>
    <n v="2434.4880000000003"/>
    <n v="1350"/>
    <n v="1084.4880000000003"/>
    <x v="10"/>
    <n v="4"/>
    <n v="2024"/>
  </r>
  <r>
    <s v="ORD-202496332"/>
    <s v="2024-03-19 22:27"/>
    <s v="Kathleen Jimenez"/>
    <s v="laurie61@example.com"/>
    <x v="8"/>
    <x v="3"/>
    <x v="3"/>
    <x v="1"/>
    <s v="Cash"/>
    <s v="Returned"/>
    <n v="8"/>
    <n v="1486.19"/>
    <n v="0.15"/>
    <x v="3"/>
    <s v="JP"/>
    <n v="0.1"/>
    <n v="50000"/>
    <n v="11889.52"/>
    <n v="1783.4280000000001"/>
    <n v="10106.092000000001"/>
    <n v="3600"/>
    <n v="6506.0920000000006"/>
    <x v="7"/>
    <n v="1"/>
    <n v="2024"/>
  </r>
  <r>
    <s v="ORD-202481256"/>
    <s v="2024-01-19 11:44"/>
    <s v="Samantha Gardner"/>
    <s v="curtis54@example.com"/>
    <x v="5"/>
    <x v="1"/>
    <x v="13"/>
    <x v="2"/>
    <s v="Debit Card"/>
    <s v="Completed"/>
    <n v="4"/>
    <n v="177.41"/>
    <n v="0.2"/>
    <x v="1"/>
    <s v="AU"/>
    <n v="0.1"/>
    <n v="45000"/>
    <n v="709.64"/>
    <n v="141.928"/>
    <n v="567.71199999999999"/>
    <n v="320"/>
    <n v="247.71199999999999"/>
    <x v="1"/>
    <n v="1"/>
    <n v="2024"/>
  </r>
  <r>
    <s v="ORD-202483822"/>
    <s v="2024-11-26 21:41"/>
    <s v="Mitchell Jackson"/>
    <s v="cbell@example.net"/>
    <x v="8"/>
    <x v="4"/>
    <x v="19"/>
    <x v="3"/>
    <s v="Cash"/>
    <s v="Pending"/>
    <n v="2"/>
    <n v="172.33"/>
    <n v="0.05"/>
    <x v="3"/>
    <s v="JP"/>
    <n v="0.1"/>
    <n v="30000"/>
    <n v="344.66"/>
    <n v="17.233000000000001"/>
    <n v="327.42700000000002"/>
    <n v="400"/>
    <n v="-72.572999999999979"/>
    <x v="11"/>
    <n v="4"/>
    <n v="2024"/>
  </r>
  <r>
    <s v="ORD-202468429"/>
    <s v="2024-07-10 12:29"/>
    <s v="Heather Bolton"/>
    <s v="danielle01@example.net"/>
    <x v="6"/>
    <x v="1"/>
    <x v="9"/>
    <x v="0"/>
    <s v="E-Wallet"/>
    <s v="Returned"/>
    <n v="1"/>
    <n v="527.28"/>
    <n v="0.1"/>
    <x v="2"/>
    <s v="IN"/>
    <n v="0.18"/>
    <n v="45000"/>
    <n v="527.28"/>
    <n v="52.728000000000002"/>
    <n v="474.55199999999996"/>
    <n v="80"/>
    <n v="394.55199999999996"/>
    <x v="3"/>
    <n v="3"/>
    <n v="2024"/>
  </r>
  <r>
    <s v="ORD-202421253"/>
    <s v="2024-02-29 23:09"/>
    <s v="Heidi Owen"/>
    <s v="stephaniethomas@example.net"/>
    <x v="4"/>
    <x v="4"/>
    <x v="23"/>
    <x v="1"/>
    <s v="E-Wallet"/>
    <s v="Returned"/>
    <n v="4"/>
    <n v="691.17"/>
    <n v="0.15"/>
    <x v="0"/>
    <s v="PH"/>
    <n v="0.12"/>
    <n v="30000"/>
    <n v="2764.68"/>
    <n v="414.70199999999994"/>
    <n v="2349.9780000000001"/>
    <n v="800"/>
    <n v="1549.9780000000001"/>
    <x v="0"/>
    <n v="1"/>
    <n v="2024"/>
  </r>
  <r>
    <s v="ORD-202422795"/>
    <s v="2024-08-12 23:44"/>
    <s v="Jessica Martinez"/>
    <s v="kimberlydiaz@example.com"/>
    <x v="9"/>
    <x v="4"/>
    <x v="16"/>
    <x v="2"/>
    <s v="Credit Card"/>
    <s v="Pending"/>
    <n v="2"/>
    <n v="460.89"/>
    <n v="0"/>
    <x v="3"/>
    <s v="KR"/>
    <n v="0.1"/>
    <n v="30000"/>
    <n v="921.78"/>
    <n v="0"/>
    <n v="921.78"/>
    <n v="400"/>
    <n v="521.78"/>
    <x v="5"/>
    <n v="3"/>
    <n v="2024"/>
  </r>
  <r>
    <s v="ORD-202441970"/>
    <s v="2024-09-21 05:35"/>
    <s v="Amanda Hernandez"/>
    <s v="xrush@example.com"/>
    <x v="2"/>
    <x v="4"/>
    <x v="6"/>
    <x v="1"/>
    <s v="Debit Card"/>
    <s v="Pending"/>
    <n v="8"/>
    <n v="648.16"/>
    <n v="0"/>
    <x v="0"/>
    <s v="SG"/>
    <n v="7.0000000000000007E-2"/>
    <n v="30000"/>
    <n v="5185.28"/>
    <n v="0"/>
    <n v="5185.28"/>
    <n v="1600"/>
    <n v="3585.2799999999997"/>
    <x v="6"/>
    <n v="3"/>
    <n v="2024"/>
  </r>
  <r>
    <s v="ORD-202493948"/>
    <s v="2024-12-02 13:25"/>
    <s v="Laura Moreno"/>
    <s v="redwards@example.org"/>
    <x v="3"/>
    <x v="1"/>
    <x v="9"/>
    <x v="0"/>
    <s v="Debit Card"/>
    <s v="Pending"/>
    <n v="7"/>
    <n v="682.62"/>
    <n v="0.1"/>
    <x v="0"/>
    <s v="ID"/>
    <n v="0.11"/>
    <n v="45000"/>
    <n v="4778.34"/>
    <n v="477.83400000000006"/>
    <n v="4300.5060000000003"/>
    <n v="560"/>
    <n v="3740.5060000000003"/>
    <x v="10"/>
    <n v="4"/>
    <n v="2024"/>
  </r>
  <r>
    <s v="ORD-202446483"/>
    <s v="2024-12-26 02:36"/>
    <s v="Allison Lopez"/>
    <s v="hmcintyre@example.com"/>
    <x v="7"/>
    <x v="1"/>
    <x v="9"/>
    <x v="0"/>
    <s v="E-Wallet"/>
    <s v="Returned"/>
    <n v="4"/>
    <n v="558.20000000000005"/>
    <n v="0.1"/>
    <x v="0"/>
    <s v="MY"/>
    <n v="0.06"/>
    <n v="45000"/>
    <n v="2232.8000000000002"/>
    <n v="223.28000000000003"/>
    <n v="2009.5200000000002"/>
    <n v="320"/>
    <n v="1689.5200000000002"/>
    <x v="10"/>
    <n v="4"/>
    <n v="2024"/>
  </r>
  <r>
    <s v="ORD-202479168"/>
    <s v="2024-11-23 10:38"/>
    <s v="Michele Lewis"/>
    <s v="heather73@example.org"/>
    <x v="8"/>
    <x v="1"/>
    <x v="24"/>
    <x v="1"/>
    <s v="Cash"/>
    <s v="Pending"/>
    <n v="6"/>
    <n v="886.7"/>
    <n v="0.05"/>
    <x v="3"/>
    <s v="JP"/>
    <n v="0.1"/>
    <n v="45000"/>
    <n v="5320.2000000000007"/>
    <n v="266.01000000000005"/>
    <n v="5054.1900000000005"/>
    <n v="480"/>
    <n v="4574.1900000000005"/>
    <x v="11"/>
    <n v="4"/>
    <n v="2024"/>
  </r>
  <r>
    <s v="ORD-202498288"/>
    <s v="2024-12-27 09:58"/>
    <s v="Benjamin Thompson"/>
    <s v="zosborn@example.net"/>
    <x v="6"/>
    <x v="1"/>
    <x v="13"/>
    <x v="3"/>
    <s v="E-Wallet"/>
    <s v="Completed"/>
    <n v="6"/>
    <n v="1013.08"/>
    <n v="0"/>
    <x v="2"/>
    <s v="IN"/>
    <n v="0.18"/>
    <n v="45000"/>
    <n v="6078.4800000000005"/>
    <n v="0"/>
    <n v="6078.4800000000005"/>
    <n v="480"/>
    <n v="5598.4800000000005"/>
    <x v="10"/>
    <n v="4"/>
    <n v="2024"/>
  </r>
  <r>
    <s v="ORD-202433992"/>
    <s v="2024-07-10 22:09"/>
    <s v="Victoria Contreras"/>
    <s v="piercekelly@example.com"/>
    <x v="5"/>
    <x v="2"/>
    <x v="17"/>
    <x v="1"/>
    <s v="Debit Card"/>
    <s v="Returned"/>
    <n v="10"/>
    <n v="900.69"/>
    <n v="0.1"/>
    <x v="1"/>
    <s v="AU"/>
    <n v="0.1"/>
    <n v="35000"/>
    <n v="9006.9000000000015"/>
    <n v="900.69000000000017"/>
    <n v="8106.2100000000009"/>
    <n v="1500"/>
    <n v="6606.2100000000009"/>
    <x v="3"/>
    <n v="3"/>
    <n v="2024"/>
  </r>
  <r>
    <s v="ORD-202493296"/>
    <s v="2024-10-02 22:58"/>
    <s v="Michelle Ho"/>
    <s v="laurahicks@example.org"/>
    <x v="2"/>
    <x v="1"/>
    <x v="9"/>
    <x v="2"/>
    <s v="Bank Transfer"/>
    <s v="Completed"/>
    <n v="3"/>
    <n v="742.12"/>
    <n v="0"/>
    <x v="0"/>
    <s v="SG"/>
    <n v="7.0000000000000007E-2"/>
    <n v="45000"/>
    <n v="2226.36"/>
    <n v="0"/>
    <n v="2226.36"/>
    <n v="240"/>
    <n v="1986.3600000000001"/>
    <x v="9"/>
    <n v="4"/>
    <n v="2024"/>
  </r>
  <r>
    <s v="ORD-202457059"/>
    <s v="2024-01-05 15:08"/>
    <s v="Dr. Cynthia Snyder"/>
    <s v="angela57@example.net"/>
    <x v="1"/>
    <x v="2"/>
    <x v="18"/>
    <x v="1"/>
    <s v="Bank Transfer"/>
    <s v="Returned"/>
    <n v="8"/>
    <n v="765.58"/>
    <n v="0.1"/>
    <x v="0"/>
    <s v="TH"/>
    <n v="7.0000000000000007E-2"/>
    <n v="35000"/>
    <n v="6124.64"/>
    <n v="612.46400000000006"/>
    <n v="5512.1760000000004"/>
    <n v="1200"/>
    <n v="4312.1760000000004"/>
    <x v="1"/>
    <n v="1"/>
    <n v="2024"/>
  </r>
  <r>
    <s v="ORD-202474054"/>
    <s v="2024-03-26 02:36"/>
    <s v="Stephen Jones"/>
    <s v="ukey@example.com"/>
    <x v="3"/>
    <x v="0"/>
    <x v="4"/>
    <x v="2"/>
    <s v="Debit Card"/>
    <s v="Returned"/>
    <n v="4"/>
    <n v="63.55"/>
    <n v="0.15"/>
    <x v="0"/>
    <s v="ID"/>
    <n v="0.11"/>
    <n v="40000"/>
    <n v="254.2"/>
    <n v="38.129999999999995"/>
    <n v="216.07"/>
    <n v="480"/>
    <n v="-263.93"/>
    <x v="7"/>
    <n v="1"/>
    <n v="2024"/>
  </r>
  <r>
    <s v="ORD-202484140"/>
    <s v="2024-09-10 17:32"/>
    <s v="Patricia Morrow"/>
    <s v="martinezlogan@example.org"/>
    <x v="7"/>
    <x v="1"/>
    <x v="13"/>
    <x v="0"/>
    <s v="Bank Transfer"/>
    <s v="Pending"/>
    <n v="9"/>
    <n v="412.82"/>
    <n v="0.05"/>
    <x v="0"/>
    <s v="MY"/>
    <n v="0.06"/>
    <n v="45000"/>
    <n v="3715.38"/>
    <n v="185.76900000000001"/>
    <n v="3529.6109999999999"/>
    <n v="720"/>
    <n v="2809.6109999999999"/>
    <x v="6"/>
    <n v="3"/>
    <n v="2024"/>
  </r>
  <r>
    <s v="ORD-202465725"/>
    <s v="2024-02-22 23:53"/>
    <s v="Michael Cooper"/>
    <s v="katrinaanderson@example.net"/>
    <x v="1"/>
    <x v="4"/>
    <x v="16"/>
    <x v="1"/>
    <s v="Credit Card"/>
    <s v="Pending"/>
    <n v="6"/>
    <n v="682.85"/>
    <n v="0"/>
    <x v="0"/>
    <s v="TH"/>
    <n v="7.0000000000000007E-2"/>
    <n v="30000"/>
    <n v="4097.1000000000004"/>
    <n v="0"/>
    <n v="4097.1000000000004"/>
    <n v="1200"/>
    <n v="2897.1000000000004"/>
    <x v="0"/>
    <n v="1"/>
    <n v="2024"/>
  </r>
  <r>
    <s v="ORD-202437509"/>
    <s v="2024-10-28 22:22"/>
    <s v="Amy Martinez"/>
    <s v="kevinmartin@example.net"/>
    <x v="6"/>
    <x v="2"/>
    <x v="21"/>
    <x v="0"/>
    <s v="Cash"/>
    <s v="Cancelled"/>
    <n v="4"/>
    <n v="929.98"/>
    <n v="0"/>
    <x v="2"/>
    <s v="IN"/>
    <n v="0.18"/>
    <n v="35000"/>
    <n v="3719.92"/>
    <n v="0"/>
    <n v="3719.92"/>
    <n v="600"/>
    <n v="3119.92"/>
    <x v="9"/>
    <n v="4"/>
    <n v="2024"/>
  </r>
  <r>
    <s v="ORD-202479767"/>
    <s v="2024-05-23 19:34"/>
    <s v="Travis Stone"/>
    <s v="meghan43@example.net"/>
    <x v="2"/>
    <x v="4"/>
    <x v="23"/>
    <x v="0"/>
    <s v="Debit Card"/>
    <s v="Returned"/>
    <n v="5"/>
    <n v="444.66"/>
    <n v="0.15"/>
    <x v="0"/>
    <s v="SG"/>
    <n v="7.0000000000000007E-2"/>
    <n v="30000"/>
    <n v="2223.3000000000002"/>
    <n v="333.495"/>
    <n v="1889.8050000000003"/>
    <n v="1000"/>
    <n v="889.80500000000029"/>
    <x v="2"/>
    <n v="2"/>
    <n v="2024"/>
  </r>
  <r>
    <s v="ORD-202417770"/>
    <s v="2024-05-21 20:08"/>
    <s v="Denise Weber"/>
    <s v="shawgary@example.net"/>
    <x v="2"/>
    <x v="0"/>
    <x v="0"/>
    <x v="1"/>
    <s v="Bank Transfer"/>
    <s v="Pending"/>
    <n v="4"/>
    <n v="1071.42"/>
    <n v="0.2"/>
    <x v="0"/>
    <s v="SG"/>
    <n v="7.0000000000000007E-2"/>
    <n v="40000"/>
    <n v="4285.68"/>
    <n v="857.13600000000008"/>
    <n v="3428.5440000000003"/>
    <n v="480"/>
    <n v="2948.5440000000003"/>
    <x v="2"/>
    <n v="2"/>
    <n v="2024"/>
  </r>
  <r>
    <s v="ORD-202485684"/>
    <s v="2024-11-19 08:40"/>
    <s v="Matthew Le"/>
    <s v="megan90@example.org"/>
    <x v="8"/>
    <x v="2"/>
    <x v="17"/>
    <x v="2"/>
    <s v="E-Wallet"/>
    <s v="Returned"/>
    <n v="2"/>
    <n v="127.14"/>
    <n v="0.1"/>
    <x v="3"/>
    <s v="JP"/>
    <n v="0.1"/>
    <n v="35000"/>
    <n v="254.28"/>
    <n v="25.428000000000001"/>
    <n v="228.852"/>
    <n v="300"/>
    <n v="-71.147999999999996"/>
    <x v="11"/>
    <n v="4"/>
    <n v="2024"/>
  </r>
  <r>
    <s v="ORD-202473968"/>
    <s v="2024-06-16 18:00"/>
    <s v="Travis Wise"/>
    <s v="debra96@example.net"/>
    <x v="7"/>
    <x v="2"/>
    <x v="2"/>
    <x v="3"/>
    <s v="Bank Transfer"/>
    <s v="Pending"/>
    <n v="9"/>
    <n v="1277.4100000000001"/>
    <n v="0.1"/>
    <x v="0"/>
    <s v="MY"/>
    <n v="0.06"/>
    <n v="35000"/>
    <n v="11496.69"/>
    <n v="1149.6690000000001"/>
    <n v="10347.021000000001"/>
    <n v="1350"/>
    <n v="8997.0210000000006"/>
    <x v="8"/>
    <n v="2"/>
    <n v="2024"/>
  </r>
  <r>
    <s v="ORD-202474843"/>
    <s v="2024-05-17 10:53"/>
    <s v="Kathleen Burton"/>
    <s v="dawn47@example.org"/>
    <x v="0"/>
    <x v="4"/>
    <x v="6"/>
    <x v="2"/>
    <s v="Credit Card"/>
    <s v="Completed"/>
    <n v="10"/>
    <n v="873.23"/>
    <n v="0.1"/>
    <x v="0"/>
    <s v="VN"/>
    <n v="0.1"/>
    <n v="30000"/>
    <n v="8732.2999999999993"/>
    <n v="873.23"/>
    <n v="7859.07"/>
    <n v="2000"/>
    <n v="5859.07"/>
    <x v="2"/>
    <n v="2"/>
    <n v="2024"/>
  </r>
  <r>
    <s v="ORD-202423051"/>
    <s v="2024-11-16 14:01"/>
    <s v="Melinda Evans"/>
    <s v="barkereric@example.com"/>
    <x v="7"/>
    <x v="0"/>
    <x v="15"/>
    <x v="3"/>
    <s v="E-Wallet"/>
    <s v="Pending"/>
    <n v="7"/>
    <n v="692.93"/>
    <n v="0"/>
    <x v="0"/>
    <s v="MY"/>
    <n v="0.06"/>
    <n v="40000"/>
    <n v="4850.5099999999993"/>
    <n v="0"/>
    <n v="4850.5099999999993"/>
    <n v="840"/>
    <n v="4010.5099999999993"/>
    <x v="11"/>
    <n v="4"/>
    <n v="2024"/>
  </r>
  <r>
    <s v="ORD-202445916"/>
    <s v="2024-02-17 20:23"/>
    <s v="Mr. Lawrence Edwards"/>
    <s v="jessica56@example.org"/>
    <x v="0"/>
    <x v="3"/>
    <x v="14"/>
    <x v="1"/>
    <s v="E-Wallet"/>
    <s v="Pending"/>
    <n v="3"/>
    <n v="1001.8"/>
    <n v="0"/>
    <x v="0"/>
    <s v="VN"/>
    <n v="0.1"/>
    <n v="50000"/>
    <n v="3005.3999999999996"/>
    <n v="0"/>
    <n v="3005.3999999999996"/>
    <n v="1350"/>
    <n v="1655.3999999999996"/>
    <x v="0"/>
    <n v="1"/>
    <n v="2024"/>
  </r>
  <r>
    <s v="ORD-202466260"/>
    <s v="2024-12-01 02:45"/>
    <s v="Kayla Rodriguez"/>
    <s v="stevenadams@example.org"/>
    <x v="7"/>
    <x v="3"/>
    <x v="7"/>
    <x v="3"/>
    <s v="Cash"/>
    <s v="Returned"/>
    <n v="3"/>
    <n v="723.06"/>
    <n v="0.15"/>
    <x v="0"/>
    <s v="MY"/>
    <n v="0.06"/>
    <n v="50000"/>
    <n v="2169.1799999999998"/>
    <n v="325.37699999999995"/>
    <n v="1843.8029999999999"/>
    <n v="1350"/>
    <n v="493.80299999999988"/>
    <x v="10"/>
    <n v="4"/>
    <n v="2024"/>
  </r>
  <r>
    <s v="ORD-202411217"/>
    <s v="2024-01-05 22:21"/>
    <s v="Anthony Dougherty"/>
    <s v="kwright@example.com"/>
    <x v="7"/>
    <x v="2"/>
    <x v="21"/>
    <x v="0"/>
    <s v="Credit Card"/>
    <s v="Completed"/>
    <n v="4"/>
    <n v="724.38"/>
    <n v="0.1"/>
    <x v="0"/>
    <s v="MY"/>
    <n v="0.06"/>
    <n v="35000"/>
    <n v="2897.52"/>
    <n v="289.75200000000001"/>
    <n v="2607.768"/>
    <n v="600"/>
    <n v="2007.768"/>
    <x v="1"/>
    <n v="1"/>
    <n v="2024"/>
  </r>
  <r>
    <s v="ORD-202451071"/>
    <s v="2024-07-07 09:08"/>
    <s v="Michelle Lee"/>
    <s v="tyronerobertson@example.com"/>
    <x v="8"/>
    <x v="0"/>
    <x v="0"/>
    <x v="3"/>
    <s v="Bank Transfer"/>
    <s v="Cancelled"/>
    <n v="10"/>
    <n v="116.59"/>
    <n v="0"/>
    <x v="3"/>
    <s v="JP"/>
    <n v="0.1"/>
    <n v="40000"/>
    <n v="1165.9000000000001"/>
    <n v="0"/>
    <n v="1165.9000000000001"/>
    <n v="1200"/>
    <n v="-34.099999999999909"/>
    <x v="3"/>
    <n v="3"/>
    <n v="2024"/>
  </r>
  <r>
    <s v="ORD-202437925"/>
    <s v="2024-11-17 23:09"/>
    <s v="Kathleen Davis"/>
    <s v="pwagner@example.org"/>
    <x v="8"/>
    <x v="1"/>
    <x v="24"/>
    <x v="3"/>
    <s v="Credit Card"/>
    <s v="Returned"/>
    <n v="2"/>
    <n v="1292.04"/>
    <n v="0"/>
    <x v="3"/>
    <s v="JP"/>
    <n v="0.1"/>
    <n v="45000"/>
    <n v="2584.08"/>
    <n v="0"/>
    <n v="2584.08"/>
    <n v="160"/>
    <n v="2424.08"/>
    <x v="11"/>
    <n v="4"/>
    <n v="2024"/>
  </r>
  <r>
    <s v="ORD-202456076"/>
    <s v="2024-08-07 10:50"/>
    <s v="Amber Campbell"/>
    <s v="amitchell@example.org"/>
    <x v="2"/>
    <x v="0"/>
    <x v="4"/>
    <x v="2"/>
    <s v="Credit Card"/>
    <s v="Cancelled"/>
    <n v="4"/>
    <n v="972.26"/>
    <n v="0.15"/>
    <x v="0"/>
    <s v="SG"/>
    <n v="7.0000000000000007E-2"/>
    <n v="40000"/>
    <n v="3889.04"/>
    <n v="583.35599999999999"/>
    <n v="3305.6840000000002"/>
    <n v="480"/>
    <n v="2825.6840000000002"/>
    <x v="5"/>
    <n v="3"/>
    <n v="2024"/>
  </r>
  <r>
    <s v="ORD-202436928"/>
    <s v="2024-09-22 19:32"/>
    <s v="Stephen Luna"/>
    <s v="zdiaz@example.org"/>
    <x v="1"/>
    <x v="2"/>
    <x v="2"/>
    <x v="1"/>
    <s v="Credit Card"/>
    <s v="Pending"/>
    <n v="4"/>
    <n v="974.56"/>
    <n v="0.1"/>
    <x v="0"/>
    <s v="TH"/>
    <n v="7.0000000000000007E-2"/>
    <n v="35000"/>
    <n v="3898.24"/>
    <n v="389.82400000000001"/>
    <n v="3508.4159999999997"/>
    <n v="600"/>
    <n v="2908.4159999999997"/>
    <x v="6"/>
    <n v="3"/>
    <n v="2024"/>
  </r>
  <r>
    <s v="ORD-202475481"/>
    <s v="2024-11-22 19:04"/>
    <s v="Chloe Tran"/>
    <s v="hughesshannon@example.net"/>
    <x v="5"/>
    <x v="3"/>
    <x v="14"/>
    <x v="1"/>
    <s v="E-Wallet"/>
    <s v="Pending"/>
    <n v="3"/>
    <n v="1401.88"/>
    <n v="0.1"/>
    <x v="1"/>
    <s v="AU"/>
    <n v="0.1"/>
    <n v="50000"/>
    <n v="4205.6400000000003"/>
    <n v="420.56400000000008"/>
    <n v="3785.076"/>
    <n v="1350"/>
    <n v="2435.076"/>
    <x v="11"/>
    <n v="4"/>
    <n v="2024"/>
  </r>
  <r>
    <s v="ORD-202471736"/>
    <s v="2024-02-07 00:37"/>
    <s v="William Becker"/>
    <s v="andersoncolin@example.com"/>
    <x v="7"/>
    <x v="3"/>
    <x v="14"/>
    <x v="2"/>
    <s v="Cash"/>
    <s v="Returned"/>
    <n v="1"/>
    <n v="335.38"/>
    <n v="0.1"/>
    <x v="0"/>
    <s v="MY"/>
    <n v="0.06"/>
    <n v="50000"/>
    <n v="335.38"/>
    <n v="33.538000000000004"/>
    <n v="301.84199999999998"/>
    <n v="450"/>
    <n v="-148.15800000000002"/>
    <x v="0"/>
    <n v="1"/>
    <n v="2024"/>
  </r>
  <r>
    <s v="ORD-202465518"/>
    <s v="2024-12-25 12:05"/>
    <s v="Gina Mcmillan"/>
    <s v="jameshicks@example.net"/>
    <x v="5"/>
    <x v="1"/>
    <x v="1"/>
    <x v="0"/>
    <s v="Cash"/>
    <s v="Pending"/>
    <n v="2"/>
    <n v="241.73"/>
    <n v="0.05"/>
    <x v="1"/>
    <s v="AU"/>
    <n v="0.1"/>
    <n v="45000"/>
    <n v="483.46"/>
    <n v="24.173000000000002"/>
    <n v="459.28699999999998"/>
    <n v="160"/>
    <n v="299.28699999999998"/>
    <x v="10"/>
    <n v="4"/>
    <n v="2024"/>
  </r>
  <r>
    <s v="ORD-202430365"/>
    <s v="2024-10-01 10:25"/>
    <s v="Andrew Reeves"/>
    <s v="jstone@example.net"/>
    <x v="6"/>
    <x v="3"/>
    <x v="14"/>
    <x v="3"/>
    <s v="Credit Card"/>
    <s v="Returned"/>
    <n v="4"/>
    <n v="1052.53"/>
    <n v="0"/>
    <x v="2"/>
    <s v="IN"/>
    <n v="0.18"/>
    <n v="50000"/>
    <n v="4210.12"/>
    <n v="0"/>
    <n v="4210.12"/>
    <n v="1800"/>
    <n v="2410.12"/>
    <x v="9"/>
    <n v="4"/>
    <n v="2024"/>
  </r>
  <r>
    <s v="ORD-202425202"/>
    <s v="2024-08-20 19:38"/>
    <s v="Brenda Velazquez"/>
    <s v="francisco94@example.net"/>
    <x v="3"/>
    <x v="4"/>
    <x v="5"/>
    <x v="0"/>
    <s v="Debit Card"/>
    <s v="Returned"/>
    <n v="3"/>
    <n v="192.37"/>
    <n v="0.2"/>
    <x v="0"/>
    <s v="ID"/>
    <n v="0.11"/>
    <n v="30000"/>
    <n v="577.11"/>
    <n v="115.42200000000001"/>
    <n v="461.68799999999999"/>
    <n v="600"/>
    <n v="-138.31200000000001"/>
    <x v="5"/>
    <n v="3"/>
    <n v="2024"/>
  </r>
  <r>
    <s v="ORD-202455443"/>
    <s v="2024-09-24 16:50"/>
    <s v="Ronald Patel"/>
    <s v="thomas05@example.com"/>
    <x v="0"/>
    <x v="0"/>
    <x v="4"/>
    <x v="0"/>
    <s v="Credit Card"/>
    <s v="Cancelled"/>
    <n v="5"/>
    <n v="203.49"/>
    <n v="0.2"/>
    <x v="0"/>
    <s v="VN"/>
    <n v="0.1"/>
    <n v="40000"/>
    <n v="1017.45"/>
    <n v="203.49"/>
    <n v="813.96"/>
    <n v="600"/>
    <n v="213.96000000000004"/>
    <x v="6"/>
    <n v="3"/>
    <n v="2024"/>
  </r>
  <r>
    <s v="ORD-202466272"/>
    <s v="2024-05-19 16:04"/>
    <s v="Veronica Silva"/>
    <s v="carlsonjoseph@example.net"/>
    <x v="0"/>
    <x v="1"/>
    <x v="13"/>
    <x v="0"/>
    <s v="Bank Transfer"/>
    <s v="Pending"/>
    <n v="9"/>
    <n v="751.78"/>
    <n v="0.05"/>
    <x v="0"/>
    <s v="VN"/>
    <n v="0.1"/>
    <n v="45000"/>
    <n v="6766.0199999999995"/>
    <n v="338.30099999999999"/>
    <n v="6427.7189999999991"/>
    <n v="720"/>
    <n v="5707.7189999999991"/>
    <x v="2"/>
    <n v="2"/>
    <n v="2024"/>
  </r>
  <r>
    <s v="ORD-202458193"/>
    <s v="2024-03-21 08:49"/>
    <s v="Paula Lane"/>
    <s v="silvageorge@example.net"/>
    <x v="7"/>
    <x v="1"/>
    <x v="13"/>
    <x v="0"/>
    <s v="Credit Card"/>
    <s v="Pending"/>
    <n v="9"/>
    <n v="354.18"/>
    <n v="0"/>
    <x v="0"/>
    <s v="MY"/>
    <n v="0.06"/>
    <n v="45000"/>
    <n v="3187.62"/>
    <n v="0"/>
    <n v="3187.62"/>
    <n v="720"/>
    <n v="2467.62"/>
    <x v="7"/>
    <n v="1"/>
    <n v="2024"/>
  </r>
  <r>
    <s v="ORD-202416026"/>
    <s v="2024-08-29 11:24"/>
    <s v="Patricia James"/>
    <s v="anthonyvaughan@example.org"/>
    <x v="2"/>
    <x v="0"/>
    <x v="20"/>
    <x v="2"/>
    <s v="Debit Card"/>
    <s v="Returned"/>
    <n v="7"/>
    <n v="836"/>
    <n v="0"/>
    <x v="0"/>
    <s v="SG"/>
    <n v="7.0000000000000007E-2"/>
    <n v="40000"/>
    <n v="5852"/>
    <n v="0"/>
    <n v="5852"/>
    <n v="840"/>
    <n v="5012"/>
    <x v="5"/>
    <n v="3"/>
    <n v="2024"/>
  </r>
  <r>
    <s v="ORD-202451934"/>
    <s v="2024-05-18 02:36"/>
    <s v="Jeremy Barnes"/>
    <s v="avaughn@example.net"/>
    <x v="4"/>
    <x v="3"/>
    <x v="10"/>
    <x v="3"/>
    <s v="Cash"/>
    <s v="Completed"/>
    <n v="1"/>
    <n v="1014.89"/>
    <n v="0"/>
    <x v="0"/>
    <s v="PH"/>
    <n v="0.12"/>
    <n v="50000"/>
    <n v="1014.89"/>
    <n v="0"/>
    <n v="1014.89"/>
    <n v="450"/>
    <n v="564.89"/>
    <x v="2"/>
    <n v="2"/>
    <n v="2024"/>
  </r>
  <r>
    <s v="ORD-202462550"/>
    <s v="2024-02-05 14:55"/>
    <s v="Tami Salas"/>
    <s v="thorntonapril@example.net"/>
    <x v="0"/>
    <x v="4"/>
    <x v="23"/>
    <x v="2"/>
    <s v="Debit Card"/>
    <s v="Cancelled"/>
    <n v="8"/>
    <n v="143.28"/>
    <n v="0"/>
    <x v="0"/>
    <s v="VN"/>
    <n v="0.1"/>
    <n v="30000"/>
    <n v="1146.24"/>
    <n v="0"/>
    <n v="1146.24"/>
    <n v="1600"/>
    <n v="-453.76"/>
    <x v="0"/>
    <n v="1"/>
    <n v="2024"/>
  </r>
  <r>
    <s v="ORD-202483899"/>
    <s v="2024-06-04 23:39"/>
    <s v="Matthew Fox"/>
    <s v="sue78@example.com"/>
    <x v="1"/>
    <x v="2"/>
    <x v="2"/>
    <x v="3"/>
    <s v="Debit Card"/>
    <s v="Completed"/>
    <n v="8"/>
    <n v="893.66"/>
    <n v="0"/>
    <x v="0"/>
    <s v="TH"/>
    <n v="7.0000000000000007E-2"/>
    <n v="35000"/>
    <n v="7149.28"/>
    <n v="0"/>
    <n v="7149.28"/>
    <n v="1200"/>
    <n v="5949.28"/>
    <x v="8"/>
    <n v="2"/>
    <n v="2024"/>
  </r>
  <r>
    <s v="ORD-202463744"/>
    <s v="2024-01-13 07:34"/>
    <s v="Megan Dillon"/>
    <s v="chelsea33@example.com"/>
    <x v="4"/>
    <x v="3"/>
    <x v="14"/>
    <x v="2"/>
    <s v="Credit Card"/>
    <s v="Pending"/>
    <n v="7"/>
    <n v="17.170000000000002"/>
    <n v="0.2"/>
    <x v="0"/>
    <s v="PH"/>
    <n v="0.12"/>
    <n v="50000"/>
    <n v="120.19000000000001"/>
    <n v="24.038000000000004"/>
    <n v="96.152000000000015"/>
    <n v="3150"/>
    <n v="-3053.848"/>
    <x v="1"/>
    <n v="1"/>
    <n v="2024"/>
  </r>
  <r>
    <s v="ORD-202479443"/>
    <s v="2024-05-01 13:31"/>
    <s v="Courtney Dudley"/>
    <s v="kellie37@example.com"/>
    <x v="3"/>
    <x v="0"/>
    <x v="4"/>
    <x v="1"/>
    <s v="E-Wallet"/>
    <s v="Returned"/>
    <n v="4"/>
    <n v="153.13999999999999"/>
    <n v="0.15"/>
    <x v="0"/>
    <s v="ID"/>
    <n v="0.11"/>
    <n v="40000"/>
    <n v="612.55999999999995"/>
    <n v="91.883999999999986"/>
    <n v="520.67599999999993"/>
    <n v="480"/>
    <n v="40.675999999999931"/>
    <x v="2"/>
    <n v="2"/>
    <n v="2024"/>
  </r>
  <r>
    <s v="ORD-202421128"/>
    <s v="2024-10-24 03:32"/>
    <s v="Justin Michael"/>
    <s v="keith98@example.com"/>
    <x v="2"/>
    <x v="2"/>
    <x v="11"/>
    <x v="3"/>
    <s v="Debit Card"/>
    <s v="Cancelled"/>
    <n v="1"/>
    <n v="893.97"/>
    <n v="0.1"/>
    <x v="0"/>
    <s v="SG"/>
    <n v="7.0000000000000007E-2"/>
    <n v="35000"/>
    <n v="893.97"/>
    <n v="89.397000000000006"/>
    <n v="804.57299999999998"/>
    <n v="150"/>
    <n v="654.57299999999998"/>
    <x v="9"/>
    <n v="4"/>
    <n v="2024"/>
  </r>
  <r>
    <s v="ORD-202444208"/>
    <s v="2024-06-10 12:44"/>
    <s v="Jennifer Reed"/>
    <s v="kellyroberts@example.net"/>
    <x v="4"/>
    <x v="4"/>
    <x v="19"/>
    <x v="3"/>
    <s v="Cash"/>
    <s v="Completed"/>
    <n v="2"/>
    <n v="418.85"/>
    <n v="0"/>
    <x v="0"/>
    <s v="PH"/>
    <n v="0.12"/>
    <n v="30000"/>
    <n v="837.7"/>
    <n v="0"/>
    <n v="837.7"/>
    <n v="400"/>
    <n v="437.70000000000005"/>
    <x v="8"/>
    <n v="2"/>
    <n v="2024"/>
  </r>
  <r>
    <s v="ORD-202430369"/>
    <s v="2024-02-24 05:28"/>
    <s v="Thomas Douglas"/>
    <s v="ilewis@example.com"/>
    <x v="9"/>
    <x v="4"/>
    <x v="19"/>
    <x v="1"/>
    <s v="E-Wallet"/>
    <s v="Returned"/>
    <n v="6"/>
    <n v="194.29"/>
    <n v="0"/>
    <x v="3"/>
    <s v="KR"/>
    <n v="0.1"/>
    <n v="30000"/>
    <n v="1165.74"/>
    <n v="0"/>
    <n v="1165.74"/>
    <n v="1200"/>
    <n v="-34.259999999999991"/>
    <x v="0"/>
    <n v="1"/>
    <n v="2024"/>
  </r>
  <r>
    <s v="ORD-202444735"/>
    <s v="2024-03-02 02:10"/>
    <s v="Melissa Taylor"/>
    <s v="johnsantiago@example.net"/>
    <x v="0"/>
    <x v="1"/>
    <x v="13"/>
    <x v="0"/>
    <s v="Debit Card"/>
    <s v="Cancelled"/>
    <n v="6"/>
    <n v="334.31"/>
    <n v="0"/>
    <x v="0"/>
    <s v="VN"/>
    <n v="0.1"/>
    <n v="45000"/>
    <n v="2005.8600000000001"/>
    <n v="0"/>
    <n v="2005.8600000000001"/>
    <n v="480"/>
    <n v="1525.8600000000001"/>
    <x v="7"/>
    <n v="1"/>
    <n v="2024"/>
  </r>
  <r>
    <s v="ORD-202461936"/>
    <s v="2024-09-19 01:43"/>
    <s v="David Garcia"/>
    <s v="jennifer12@example.org"/>
    <x v="0"/>
    <x v="4"/>
    <x v="5"/>
    <x v="3"/>
    <s v="Credit Card"/>
    <s v="Returned"/>
    <n v="7"/>
    <n v="61.16"/>
    <n v="0.1"/>
    <x v="0"/>
    <s v="VN"/>
    <n v="0.1"/>
    <n v="30000"/>
    <n v="428.12"/>
    <n v="42.812000000000005"/>
    <n v="385.30799999999999"/>
    <n v="1400"/>
    <n v="-1014.692"/>
    <x v="6"/>
    <n v="3"/>
    <n v="2024"/>
  </r>
  <r>
    <s v="ORD-202423357"/>
    <s v="2024-03-12 03:00"/>
    <s v="Vanessa Moore"/>
    <s v="mwoods@example.com"/>
    <x v="3"/>
    <x v="0"/>
    <x v="0"/>
    <x v="0"/>
    <s v="Cash"/>
    <s v="Cancelled"/>
    <n v="7"/>
    <n v="309.23"/>
    <n v="0.05"/>
    <x v="0"/>
    <s v="ID"/>
    <n v="0.11"/>
    <n v="40000"/>
    <n v="2164.61"/>
    <n v="108.23050000000001"/>
    <n v="2056.3795"/>
    <n v="840"/>
    <n v="1216.3795"/>
    <x v="7"/>
    <n v="1"/>
    <n v="2024"/>
  </r>
  <r>
    <s v="ORD-202419828"/>
    <s v="2024-01-12 02:12"/>
    <s v="Matthew Velez"/>
    <s v="pearsonjesse@example.net"/>
    <x v="9"/>
    <x v="0"/>
    <x v="20"/>
    <x v="0"/>
    <s v="Bank Transfer"/>
    <s v="Completed"/>
    <n v="6"/>
    <n v="1359.04"/>
    <n v="0"/>
    <x v="3"/>
    <s v="KR"/>
    <n v="0.1"/>
    <n v="40000"/>
    <n v="8154.24"/>
    <n v="0"/>
    <n v="8154.24"/>
    <n v="720"/>
    <n v="7434.24"/>
    <x v="1"/>
    <n v="1"/>
    <n v="2024"/>
  </r>
  <r>
    <s v="ORD-202432018"/>
    <s v="2024-10-20 13:52"/>
    <s v="Taylor Gentry"/>
    <s v="robertmonroe@example.org"/>
    <x v="8"/>
    <x v="2"/>
    <x v="11"/>
    <x v="2"/>
    <s v="Debit Card"/>
    <s v="Pending"/>
    <n v="7"/>
    <n v="583.35"/>
    <n v="0"/>
    <x v="3"/>
    <s v="JP"/>
    <n v="0.1"/>
    <n v="35000"/>
    <n v="4083.4500000000003"/>
    <n v="0"/>
    <n v="4083.4500000000003"/>
    <n v="1050"/>
    <n v="3033.4500000000003"/>
    <x v="9"/>
    <n v="4"/>
    <n v="2024"/>
  </r>
  <r>
    <s v="ORD-202446042"/>
    <s v="2024-05-23 14:56"/>
    <s v="Jennifer Simpson DVM"/>
    <s v="nancy04@example.net"/>
    <x v="2"/>
    <x v="3"/>
    <x v="10"/>
    <x v="2"/>
    <s v="Bank Transfer"/>
    <s v="Returned"/>
    <n v="4"/>
    <n v="934.48"/>
    <n v="0.2"/>
    <x v="0"/>
    <s v="SG"/>
    <n v="7.0000000000000007E-2"/>
    <n v="50000"/>
    <n v="3737.92"/>
    <n v="747.58400000000006"/>
    <n v="2990.3360000000002"/>
    <n v="1800"/>
    <n v="1190.3360000000002"/>
    <x v="2"/>
    <n v="2"/>
    <n v="2024"/>
  </r>
  <r>
    <s v="ORD-202482179"/>
    <s v="2024-09-02 01:05"/>
    <s v="Tanya Rogers"/>
    <s v="ihays@example.net"/>
    <x v="0"/>
    <x v="2"/>
    <x v="21"/>
    <x v="0"/>
    <s v="Bank Transfer"/>
    <s v="Cancelled"/>
    <n v="9"/>
    <n v="637.55999999999995"/>
    <n v="0"/>
    <x v="0"/>
    <s v="VN"/>
    <n v="0.1"/>
    <n v="35000"/>
    <n v="5738.0399999999991"/>
    <n v="0"/>
    <n v="5738.0399999999991"/>
    <n v="1350"/>
    <n v="4388.0399999999991"/>
    <x v="6"/>
    <n v="3"/>
    <n v="2024"/>
  </r>
  <r>
    <s v="ORD-202472873"/>
    <s v="2024-10-05 15:22"/>
    <s v="Todd Rosales MD"/>
    <s v="lisarivera@example.net"/>
    <x v="6"/>
    <x v="1"/>
    <x v="22"/>
    <x v="2"/>
    <s v="Cash"/>
    <s v="Pending"/>
    <n v="3"/>
    <n v="591.75"/>
    <n v="0"/>
    <x v="2"/>
    <s v="IN"/>
    <n v="0.18"/>
    <n v="45000"/>
    <n v="1775.25"/>
    <n v="0"/>
    <n v="1775.25"/>
    <n v="240"/>
    <n v="1535.25"/>
    <x v="9"/>
    <n v="4"/>
    <n v="2024"/>
  </r>
  <r>
    <s v="ORD-202413840"/>
    <s v="2024-05-23 01:51"/>
    <s v="David Lopez"/>
    <s v="krystal93@example.org"/>
    <x v="9"/>
    <x v="1"/>
    <x v="22"/>
    <x v="0"/>
    <s v="Debit Card"/>
    <s v="Pending"/>
    <n v="4"/>
    <n v="1153.76"/>
    <n v="0"/>
    <x v="3"/>
    <s v="KR"/>
    <n v="0.1"/>
    <n v="45000"/>
    <n v="4615.04"/>
    <n v="0"/>
    <n v="4615.04"/>
    <n v="320"/>
    <n v="4295.04"/>
    <x v="2"/>
    <n v="2"/>
    <n v="2024"/>
  </r>
  <r>
    <s v="ORD-202444934"/>
    <s v="2024-09-30 23:03"/>
    <s v="Margaret Sullivan"/>
    <s v="frobertson@example.com"/>
    <x v="1"/>
    <x v="1"/>
    <x v="24"/>
    <x v="3"/>
    <s v="Cash"/>
    <s v="Cancelled"/>
    <n v="3"/>
    <n v="541.88"/>
    <n v="0"/>
    <x v="0"/>
    <s v="TH"/>
    <n v="7.0000000000000007E-2"/>
    <n v="45000"/>
    <n v="1625.6399999999999"/>
    <n v="0"/>
    <n v="1625.6399999999999"/>
    <n v="240"/>
    <n v="1385.6399999999999"/>
    <x v="6"/>
    <n v="3"/>
    <n v="2024"/>
  </r>
  <r>
    <s v="ORD-202457026"/>
    <s v="2024-10-29 00:45"/>
    <s v="Cathy Taylor"/>
    <s v="shari04@example.com"/>
    <x v="4"/>
    <x v="1"/>
    <x v="1"/>
    <x v="2"/>
    <s v="Debit Card"/>
    <s v="Returned"/>
    <n v="4"/>
    <n v="226.02"/>
    <n v="0.1"/>
    <x v="0"/>
    <s v="PH"/>
    <n v="0.12"/>
    <n v="45000"/>
    <n v="904.08"/>
    <n v="90.408000000000015"/>
    <n v="813.67200000000003"/>
    <n v="320"/>
    <n v="493.67200000000003"/>
    <x v="9"/>
    <n v="4"/>
    <n v="2024"/>
  </r>
  <r>
    <s v="ORD-202414975"/>
    <s v="2024-02-16 01:14"/>
    <s v="Paul Finley"/>
    <s v="brandi90@example.com"/>
    <x v="6"/>
    <x v="0"/>
    <x v="20"/>
    <x v="3"/>
    <s v="Debit Card"/>
    <s v="Cancelled"/>
    <n v="1"/>
    <n v="796.78"/>
    <n v="0.05"/>
    <x v="2"/>
    <s v="IN"/>
    <n v="0.18"/>
    <n v="40000"/>
    <n v="796.78"/>
    <n v="39.838999999999999"/>
    <n v="756.94100000000003"/>
    <n v="120"/>
    <n v="636.94100000000003"/>
    <x v="0"/>
    <n v="1"/>
    <n v="2024"/>
  </r>
  <r>
    <s v="ORD-202433260"/>
    <s v="2024-06-14 01:01"/>
    <s v="Melissa Brown"/>
    <s v="marshallerik@example.net"/>
    <x v="2"/>
    <x v="1"/>
    <x v="9"/>
    <x v="0"/>
    <s v="E-Wallet"/>
    <s v="Returned"/>
    <n v="9"/>
    <n v="1164.93"/>
    <n v="0.05"/>
    <x v="0"/>
    <s v="SG"/>
    <n v="7.0000000000000007E-2"/>
    <n v="45000"/>
    <n v="10484.370000000001"/>
    <n v="524.21850000000006"/>
    <n v="9960.1514999999999"/>
    <n v="720"/>
    <n v="9240.1514999999999"/>
    <x v="8"/>
    <n v="2"/>
    <n v="2024"/>
  </r>
  <r>
    <s v="ORD-202486810"/>
    <s v="2024-02-21 10:19"/>
    <s v="Stephanie Padilla"/>
    <s v="hannah45@example.net"/>
    <x v="4"/>
    <x v="0"/>
    <x v="0"/>
    <x v="1"/>
    <s v="E-Wallet"/>
    <s v="Pending"/>
    <n v="7"/>
    <n v="1102.54"/>
    <n v="0.2"/>
    <x v="0"/>
    <s v="PH"/>
    <n v="0.12"/>
    <n v="40000"/>
    <n v="7717.78"/>
    <n v="1543.556"/>
    <n v="6174.2240000000002"/>
    <n v="840"/>
    <n v="5334.2240000000002"/>
    <x v="0"/>
    <n v="1"/>
    <n v="2024"/>
  </r>
  <r>
    <s v="ORD-202483659"/>
    <s v="2024-12-21 19:50"/>
    <s v="Tyler Mendoza"/>
    <s v="madkins@example.com"/>
    <x v="4"/>
    <x v="0"/>
    <x v="12"/>
    <x v="2"/>
    <s v="Debit Card"/>
    <s v="Pending"/>
    <n v="7"/>
    <n v="1224.46"/>
    <n v="0.05"/>
    <x v="0"/>
    <s v="PH"/>
    <n v="0.12"/>
    <n v="40000"/>
    <n v="8571.2200000000012"/>
    <n v="428.56100000000009"/>
    <n v="8142.6590000000015"/>
    <n v="840"/>
    <n v="7302.6590000000015"/>
    <x v="10"/>
    <n v="4"/>
    <n v="2024"/>
  </r>
  <r>
    <s v="ORD-202410235"/>
    <s v="2024-12-25 18:25"/>
    <s v="Joshua Ruiz"/>
    <s v="kathleenbecker@example.net"/>
    <x v="6"/>
    <x v="3"/>
    <x v="7"/>
    <x v="0"/>
    <s v="Bank Transfer"/>
    <s v="Pending"/>
    <n v="10"/>
    <n v="909.55"/>
    <n v="0"/>
    <x v="2"/>
    <s v="IN"/>
    <n v="0.18"/>
    <n v="50000"/>
    <n v="9095.5"/>
    <n v="0"/>
    <n v="9095.5"/>
    <n v="4500"/>
    <n v="4595.5"/>
    <x v="10"/>
    <n v="4"/>
    <n v="2024"/>
  </r>
  <r>
    <s v="ORD-202453406"/>
    <s v="2024-02-09 07:22"/>
    <s v="Angela Griffin"/>
    <s v="christian91@example.org"/>
    <x v="4"/>
    <x v="0"/>
    <x v="20"/>
    <x v="0"/>
    <s v="E-Wallet"/>
    <s v="Pending"/>
    <n v="6"/>
    <n v="1235.17"/>
    <n v="0.1"/>
    <x v="0"/>
    <s v="PH"/>
    <n v="0.12"/>
    <n v="40000"/>
    <n v="7411.02"/>
    <n v="741.10200000000009"/>
    <n v="6669.9180000000006"/>
    <n v="720"/>
    <n v="5949.9180000000006"/>
    <x v="0"/>
    <n v="1"/>
    <n v="2024"/>
  </r>
  <r>
    <s v="ORD-202442707"/>
    <s v="2024-12-20 02:22"/>
    <s v="Stephanie Harris"/>
    <s v="franklinbond@example.com"/>
    <x v="0"/>
    <x v="3"/>
    <x v="8"/>
    <x v="1"/>
    <s v="Debit Card"/>
    <s v="Returned"/>
    <n v="8"/>
    <n v="86.5"/>
    <n v="0.2"/>
    <x v="0"/>
    <s v="VN"/>
    <n v="0.1"/>
    <n v="50000"/>
    <n v="692"/>
    <n v="138.4"/>
    <n v="553.6"/>
    <n v="3600"/>
    <n v="-3046.4"/>
    <x v="10"/>
    <n v="4"/>
    <n v="2024"/>
  </r>
  <r>
    <s v="ORD-202474629"/>
    <s v="2024-07-12 11:34"/>
    <s v="Daniel Aguilar"/>
    <s v="nolansean@example.org"/>
    <x v="8"/>
    <x v="3"/>
    <x v="3"/>
    <x v="3"/>
    <s v="Debit Card"/>
    <s v="Returned"/>
    <n v="10"/>
    <n v="1186.26"/>
    <n v="0.2"/>
    <x v="3"/>
    <s v="JP"/>
    <n v="0.1"/>
    <n v="50000"/>
    <n v="11862.6"/>
    <n v="2372.52"/>
    <n v="9490.08"/>
    <n v="4500"/>
    <n v="4990.08"/>
    <x v="3"/>
    <n v="3"/>
    <n v="2024"/>
  </r>
  <r>
    <s v="ORD-202419661"/>
    <s v="2024-01-18 09:01"/>
    <s v="Jose Bryant"/>
    <s v="hansenemily@example.com"/>
    <x v="4"/>
    <x v="4"/>
    <x v="16"/>
    <x v="3"/>
    <s v="Credit Card"/>
    <s v="Completed"/>
    <n v="3"/>
    <n v="125.19"/>
    <n v="0.1"/>
    <x v="0"/>
    <s v="PH"/>
    <n v="0.12"/>
    <n v="30000"/>
    <n v="375.57"/>
    <n v="37.557000000000002"/>
    <n v="338.01299999999998"/>
    <n v="600"/>
    <n v="-261.98700000000002"/>
    <x v="1"/>
    <n v="1"/>
    <n v="2024"/>
  </r>
  <r>
    <s v="ORD-202454295"/>
    <s v="2024-10-31 19:57"/>
    <s v="Jennifer Velasquez"/>
    <s v="bethwilliams@example.com"/>
    <x v="9"/>
    <x v="3"/>
    <x v="3"/>
    <x v="1"/>
    <s v="Debit Card"/>
    <s v="Completed"/>
    <n v="3"/>
    <n v="1414.53"/>
    <n v="0.15"/>
    <x v="3"/>
    <s v="KR"/>
    <n v="0.1"/>
    <n v="50000"/>
    <n v="4243.59"/>
    <n v="636.5385"/>
    <n v="3607.0515"/>
    <n v="1350"/>
    <n v="2257.0515"/>
    <x v="9"/>
    <n v="4"/>
    <n v="2024"/>
  </r>
  <r>
    <s v="ORD-202423272"/>
    <s v="2024-06-18 06:12"/>
    <s v="Kimberly Brown"/>
    <s v="andersenthomas@example.com"/>
    <x v="8"/>
    <x v="1"/>
    <x v="1"/>
    <x v="3"/>
    <s v="Credit Card"/>
    <s v="Completed"/>
    <n v="5"/>
    <n v="408.92"/>
    <n v="0.05"/>
    <x v="3"/>
    <s v="JP"/>
    <n v="0.1"/>
    <n v="45000"/>
    <n v="2044.6000000000001"/>
    <n v="102.23000000000002"/>
    <n v="1942.3700000000001"/>
    <n v="400"/>
    <n v="1542.3700000000001"/>
    <x v="8"/>
    <n v="2"/>
    <n v="2024"/>
  </r>
  <r>
    <s v="ORD-202461498"/>
    <s v="2024-10-19 17:53"/>
    <s v="Randy Cannon"/>
    <s v="ybrooks@example.com"/>
    <x v="9"/>
    <x v="0"/>
    <x v="20"/>
    <x v="2"/>
    <s v="Cash"/>
    <s v="Returned"/>
    <n v="7"/>
    <n v="550.83000000000004"/>
    <n v="0"/>
    <x v="3"/>
    <s v="KR"/>
    <n v="0.1"/>
    <n v="40000"/>
    <n v="3855.8100000000004"/>
    <n v="0"/>
    <n v="3855.8100000000004"/>
    <n v="840"/>
    <n v="3015.8100000000004"/>
    <x v="9"/>
    <n v="4"/>
    <n v="2024"/>
  </r>
  <r>
    <s v="ORD-202436171"/>
    <s v="2024-02-19 00:13"/>
    <s v="Susan Bennett"/>
    <s v="desireebailey@example.org"/>
    <x v="2"/>
    <x v="4"/>
    <x v="16"/>
    <x v="1"/>
    <s v="Bank Transfer"/>
    <s v="Returned"/>
    <n v="2"/>
    <n v="718.25"/>
    <n v="0.05"/>
    <x v="0"/>
    <s v="SG"/>
    <n v="7.0000000000000007E-2"/>
    <n v="30000"/>
    <n v="1436.5"/>
    <n v="71.825000000000003"/>
    <n v="1364.675"/>
    <n v="400"/>
    <n v="964.67499999999995"/>
    <x v="0"/>
    <n v="1"/>
    <n v="2024"/>
  </r>
  <r>
    <s v="ORD-202496643"/>
    <s v="2024-05-15 02:41"/>
    <s v="Jenna Anderson DVM"/>
    <s v="avilatiffany@example.com"/>
    <x v="5"/>
    <x v="2"/>
    <x v="21"/>
    <x v="3"/>
    <s v="Bank Transfer"/>
    <s v="Completed"/>
    <n v="7"/>
    <n v="565.97"/>
    <n v="0.05"/>
    <x v="1"/>
    <s v="AU"/>
    <n v="0.1"/>
    <n v="35000"/>
    <n v="3961.79"/>
    <n v="198.08950000000002"/>
    <n v="3763.7004999999999"/>
    <n v="1050"/>
    <n v="2713.7004999999999"/>
    <x v="2"/>
    <n v="2"/>
    <n v="2024"/>
  </r>
  <r>
    <s v="ORD-202444510"/>
    <s v="2024-08-13 14:16"/>
    <s v="Kimberly Patel"/>
    <s v="johnreed@example.com"/>
    <x v="1"/>
    <x v="4"/>
    <x v="6"/>
    <x v="2"/>
    <s v="Cash"/>
    <s v="Returned"/>
    <n v="2"/>
    <n v="106.53"/>
    <n v="0"/>
    <x v="0"/>
    <s v="TH"/>
    <n v="7.0000000000000007E-2"/>
    <n v="30000"/>
    <n v="213.06"/>
    <n v="0"/>
    <n v="213.06"/>
    <n v="400"/>
    <n v="-186.94"/>
    <x v="5"/>
    <n v="3"/>
    <n v="2024"/>
  </r>
  <r>
    <s v="ORD-202487296"/>
    <s v="2024-04-26 17:03"/>
    <s v="Shaun Cannon"/>
    <s v="pachecorobert@example.org"/>
    <x v="8"/>
    <x v="1"/>
    <x v="24"/>
    <x v="3"/>
    <s v="Bank Transfer"/>
    <s v="Cancelled"/>
    <n v="8"/>
    <n v="1448.96"/>
    <n v="0.15"/>
    <x v="3"/>
    <s v="JP"/>
    <n v="0.1"/>
    <n v="45000"/>
    <n v="11591.68"/>
    <n v="1738.752"/>
    <n v="9852.9279999999999"/>
    <n v="640"/>
    <n v="9212.9279999999999"/>
    <x v="4"/>
    <n v="2"/>
    <n v="2024"/>
  </r>
  <r>
    <s v="ORD-202420348"/>
    <s v="2024-07-21 22:02"/>
    <s v="Austin Wheeler"/>
    <s v="tharper@example.org"/>
    <x v="5"/>
    <x v="1"/>
    <x v="1"/>
    <x v="0"/>
    <s v="Bank Transfer"/>
    <s v="Pending"/>
    <n v="10"/>
    <n v="1203.67"/>
    <n v="0"/>
    <x v="1"/>
    <s v="AU"/>
    <n v="0.1"/>
    <n v="45000"/>
    <n v="12036.7"/>
    <n v="0"/>
    <n v="12036.7"/>
    <n v="800"/>
    <n v="11236.7"/>
    <x v="3"/>
    <n v="3"/>
    <n v="2024"/>
  </r>
  <r>
    <s v="ORD-202431910"/>
    <s v="2024-04-18 06:08"/>
    <s v="Andrew Gonzales"/>
    <s v="karenparsons@example.org"/>
    <x v="3"/>
    <x v="2"/>
    <x v="11"/>
    <x v="3"/>
    <s v="Cash"/>
    <s v="Cancelled"/>
    <n v="7"/>
    <n v="1482.6"/>
    <n v="0"/>
    <x v="0"/>
    <s v="ID"/>
    <n v="0.11"/>
    <n v="35000"/>
    <n v="10378.199999999999"/>
    <n v="0"/>
    <n v="10378.199999999999"/>
    <n v="1050"/>
    <n v="9328.1999999999989"/>
    <x v="4"/>
    <n v="2"/>
    <n v="2024"/>
  </r>
  <r>
    <s v="ORD-202451910"/>
    <s v="2024-02-04 02:24"/>
    <s v="Donna Cabrera"/>
    <s v="barbara53@example.com"/>
    <x v="5"/>
    <x v="2"/>
    <x v="18"/>
    <x v="1"/>
    <s v="Credit Card"/>
    <s v="Returned"/>
    <n v="5"/>
    <n v="499.3"/>
    <n v="0.15"/>
    <x v="1"/>
    <s v="AU"/>
    <n v="0.1"/>
    <n v="35000"/>
    <n v="2496.5"/>
    <n v="374.47499999999997"/>
    <n v="2122.0250000000001"/>
    <n v="750"/>
    <n v="1372.0250000000001"/>
    <x v="0"/>
    <n v="1"/>
    <n v="2024"/>
  </r>
  <r>
    <s v="ORD-202424748"/>
    <s v="2024-07-31 04:09"/>
    <s v="Victoria Boyd"/>
    <s v="dturner@example.net"/>
    <x v="6"/>
    <x v="1"/>
    <x v="1"/>
    <x v="0"/>
    <s v="E-Wallet"/>
    <s v="Cancelled"/>
    <n v="2"/>
    <n v="1141.19"/>
    <n v="0"/>
    <x v="2"/>
    <s v="IN"/>
    <n v="0.18"/>
    <n v="45000"/>
    <n v="2282.38"/>
    <n v="0"/>
    <n v="2282.38"/>
    <n v="160"/>
    <n v="2122.38"/>
    <x v="3"/>
    <n v="3"/>
    <n v="2024"/>
  </r>
  <r>
    <s v="ORD-202463856"/>
    <s v="2024-05-15 12:41"/>
    <s v="Sheryl Buck"/>
    <s v="dpeters@example.com"/>
    <x v="9"/>
    <x v="1"/>
    <x v="1"/>
    <x v="1"/>
    <s v="Debit Card"/>
    <s v="Returned"/>
    <n v="3"/>
    <n v="717.47"/>
    <n v="0.05"/>
    <x v="3"/>
    <s v="KR"/>
    <n v="0.1"/>
    <n v="45000"/>
    <n v="2152.41"/>
    <n v="107.62049999999999"/>
    <n v="2044.7894999999999"/>
    <n v="240"/>
    <n v="1804.7894999999999"/>
    <x v="2"/>
    <n v="2"/>
    <n v="2024"/>
  </r>
  <r>
    <s v="ORD-202415083"/>
    <s v="2024-07-21 10:44"/>
    <s v="Megan Floyd"/>
    <s v="heather62@example.com"/>
    <x v="1"/>
    <x v="3"/>
    <x v="3"/>
    <x v="2"/>
    <s v="E-Wallet"/>
    <s v="Cancelled"/>
    <n v="6"/>
    <n v="1382.44"/>
    <n v="0"/>
    <x v="0"/>
    <s v="TH"/>
    <n v="7.0000000000000007E-2"/>
    <n v="50000"/>
    <n v="8294.64"/>
    <n v="0"/>
    <n v="8294.64"/>
    <n v="2700"/>
    <n v="5594.6399999999994"/>
    <x v="3"/>
    <n v="3"/>
    <n v="2024"/>
  </r>
  <r>
    <s v="ORD-202446745"/>
    <s v="2024-09-08 22:43"/>
    <s v="Paul Wells"/>
    <s v="kevinzimmerman@example.com"/>
    <x v="7"/>
    <x v="0"/>
    <x v="0"/>
    <x v="2"/>
    <s v="Bank Transfer"/>
    <s v="Completed"/>
    <n v="8"/>
    <n v="461.21"/>
    <n v="0.05"/>
    <x v="0"/>
    <s v="MY"/>
    <n v="0.06"/>
    <n v="40000"/>
    <n v="3689.68"/>
    <n v="184.48400000000001"/>
    <n v="3505.1959999999999"/>
    <n v="960"/>
    <n v="2545.1959999999999"/>
    <x v="6"/>
    <n v="3"/>
    <n v="2024"/>
  </r>
  <r>
    <s v="ORD-202434633"/>
    <s v="2024-08-14 06:58"/>
    <s v="Kristina Faulkner"/>
    <s v="paulscott@example.com"/>
    <x v="8"/>
    <x v="2"/>
    <x v="18"/>
    <x v="3"/>
    <s v="Credit Card"/>
    <s v="Cancelled"/>
    <n v="1"/>
    <n v="1302.78"/>
    <n v="0.15"/>
    <x v="3"/>
    <s v="JP"/>
    <n v="0.1"/>
    <n v="35000"/>
    <n v="1302.78"/>
    <n v="195.417"/>
    <n v="1107.3630000000001"/>
    <n v="150"/>
    <n v="957.36300000000006"/>
    <x v="5"/>
    <n v="3"/>
    <n v="2024"/>
  </r>
  <r>
    <s v="ORD-202476426"/>
    <s v="2024-07-25 04:49"/>
    <s v="Tammy Boone"/>
    <s v="nicholsmaria@example.org"/>
    <x v="5"/>
    <x v="1"/>
    <x v="13"/>
    <x v="3"/>
    <s v="Credit Card"/>
    <s v="Returned"/>
    <n v="4"/>
    <n v="273"/>
    <n v="0"/>
    <x v="1"/>
    <s v="AU"/>
    <n v="0.1"/>
    <n v="45000"/>
    <n v="1092"/>
    <n v="0"/>
    <n v="1092"/>
    <n v="320"/>
    <n v="772"/>
    <x v="3"/>
    <n v="3"/>
    <n v="2024"/>
  </r>
  <r>
    <s v="ORD-202416626"/>
    <s v="2024-07-03 22:12"/>
    <s v="Michael Morrison"/>
    <s v="lopezkathleen@example.net"/>
    <x v="0"/>
    <x v="4"/>
    <x v="19"/>
    <x v="0"/>
    <s v="Debit Card"/>
    <s v="Cancelled"/>
    <n v="2"/>
    <n v="765.11"/>
    <n v="0.2"/>
    <x v="0"/>
    <s v="VN"/>
    <n v="0.1"/>
    <n v="30000"/>
    <n v="1530.22"/>
    <n v="306.04400000000004"/>
    <n v="1224.1759999999999"/>
    <n v="400"/>
    <n v="824.17599999999993"/>
    <x v="3"/>
    <n v="3"/>
    <n v="2024"/>
  </r>
  <r>
    <s v="ORD-202474066"/>
    <s v="2024-10-31 14:11"/>
    <s v="Claire Clark"/>
    <s v="kevin03@example.org"/>
    <x v="9"/>
    <x v="1"/>
    <x v="1"/>
    <x v="0"/>
    <s v="E-Wallet"/>
    <s v="Completed"/>
    <n v="3"/>
    <n v="534.39"/>
    <n v="0.05"/>
    <x v="3"/>
    <s v="KR"/>
    <n v="0.1"/>
    <n v="45000"/>
    <n v="1603.17"/>
    <n v="80.158500000000004"/>
    <n v="1523.0115000000001"/>
    <n v="240"/>
    <n v="1283.0115000000001"/>
    <x v="9"/>
    <n v="4"/>
    <n v="2024"/>
  </r>
  <r>
    <s v="ORD-202460667"/>
    <s v="2024-01-26 05:54"/>
    <s v="Autumn Key"/>
    <s v="srocha@example.net"/>
    <x v="6"/>
    <x v="0"/>
    <x v="0"/>
    <x v="1"/>
    <s v="Cash"/>
    <s v="Completed"/>
    <n v="4"/>
    <n v="976.36"/>
    <n v="0.05"/>
    <x v="2"/>
    <s v="IN"/>
    <n v="0.18"/>
    <n v="40000"/>
    <n v="3905.44"/>
    <n v="195.27200000000002"/>
    <n v="3710.1680000000001"/>
    <n v="480"/>
    <n v="3230.1680000000001"/>
    <x v="1"/>
    <n v="1"/>
    <n v="2024"/>
  </r>
  <r>
    <s v="ORD-202499417"/>
    <s v="2024-01-05 15:58"/>
    <s v="Jennifer Allen"/>
    <s v="kimberly67@example.net"/>
    <x v="2"/>
    <x v="0"/>
    <x v="12"/>
    <x v="2"/>
    <s v="E-Wallet"/>
    <s v="Returned"/>
    <n v="4"/>
    <n v="1204.28"/>
    <n v="0.05"/>
    <x v="0"/>
    <s v="SG"/>
    <n v="7.0000000000000007E-2"/>
    <n v="40000"/>
    <n v="4817.12"/>
    <n v="240.85599999999999"/>
    <n v="4576.2640000000001"/>
    <n v="480"/>
    <n v="4096.2640000000001"/>
    <x v="1"/>
    <n v="1"/>
    <n v="2024"/>
  </r>
  <r>
    <s v="ORD-202459345"/>
    <s v="2024-06-27 14:16"/>
    <s v="Elizabeth Ward"/>
    <s v="zowens@example.net"/>
    <x v="1"/>
    <x v="2"/>
    <x v="2"/>
    <x v="0"/>
    <s v="Credit Card"/>
    <s v="Cancelled"/>
    <n v="10"/>
    <n v="1020.64"/>
    <n v="0.1"/>
    <x v="0"/>
    <s v="TH"/>
    <n v="7.0000000000000007E-2"/>
    <n v="35000"/>
    <n v="10206.4"/>
    <n v="1020.64"/>
    <n v="9185.76"/>
    <n v="1500"/>
    <n v="7685.76"/>
    <x v="8"/>
    <n v="2"/>
    <n v="2024"/>
  </r>
  <r>
    <s v="ORD-202483591"/>
    <s v="2024-11-27 19:38"/>
    <s v="Ryan Rocha"/>
    <s v="lawrence09@example.org"/>
    <x v="0"/>
    <x v="4"/>
    <x v="16"/>
    <x v="2"/>
    <s v="E-Wallet"/>
    <s v="Cancelled"/>
    <n v="6"/>
    <n v="730.38"/>
    <n v="0.05"/>
    <x v="0"/>
    <s v="VN"/>
    <n v="0.1"/>
    <n v="30000"/>
    <n v="4382.28"/>
    <n v="219.114"/>
    <n v="4163.1660000000002"/>
    <n v="1200"/>
    <n v="2963.1660000000002"/>
    <x v="11"/>
    <n v="4"/>
    <n v="2024"/>
  </r>
  <r>
    <s v="ORD-202495998"/>
    <s v="2024-12-30 20:19"/>
    <s v="Alexis Tran"/>
    <s v="mphillips@example.com"/>
    <x v="1"/>
    <x v="0"/>
    <x v="12"/>
    <x v="1"/>
    <s v="E-Wallet"/>
    <s v="Pending"/>
    <n v="1"/>
    <n v="1151.73"/>
    <n v="0.15"/>
    <x v="0"/>
    <s v="TH"/>
    <n v="7.0000000000000007E-2"/>
    <n v="40000"/>
    <n v="1151.73"/>
    <n v="172.7595"/>
    <n v="978.97050000000002"/>
    <n v="120"/>
    <n v="858.97050000000002"/>
    <x v="10"/>
    <n v="4"/>
    <n v="2024"/>
  </r>
  <r>
    <s v="ORD-202413336"/>
    <s v="2024-12-01 15:18"/>
    <s v="Kelly Sanchez"/>
    <s v="jonathan77@example.com"/>
    <x v="0"/>
    <x v="2"/>
    <x v="17"/>
    <x v="3"/>
    <s v="E-Wallet"/>
    <s v="Pending"/>
    <n v="1"/>
    <n v="591.59"/>
    <n v="0.15"/>
    <x v="0"/>
    <s v="VN"/>
    <n v="0.1"/>
    <n v="35000"/>
    <n v="591.59"/>
    <n v="88.738500000000002"/>
    <n v="502.85150000000004"/>
    <n v="150"/>
    <n v="352.85150000000004"/>
    <x v="10"/>
    <n v="4"/>
    <n v="2024"/>
  </r>
  <r>
    <s v="ORD-202499957"/>
    <s v="2024-09-30 20:50"/>
    <s v="Robert Jackson"/>
    <s v="iwhite@example.net"/>
    <x v="9"/>
    <x v="4"/>
    <x v="6"/>
    <x v="3"/>
    <s v="E-Wallet"/>
    <s v="Completed"/>
    <n v="3"/>
    <n v="460.79"/>
    <n v="0.2"/>
    <x v="3"/>
    <s v="KR"/>
    <n v="0.1"/>
    <n v="30000"/>
    <n v="1382.3700000000001"/>
    <n v="276.47400000000005"/>
    <n v="1105.8960000000002"/>
    <n v="600"/>
    <n v="505.89600000000019"/>
    <x v="6"/>
    <n v="3"/>
    <n v="2024"/>
  </r>
  <r>
    <s v="ORD-202471706"/>
    <s v="2024-03-06 23:16"/>
    <s v="Kelly Combs"/>
    <s v="landryelizabeth@example.org"/>
    <x v="5"/>
    <x v="0"/>
    <x v="4"/>
    <x v="3"/>
    <s v="E-Wallet"/>
    <s v="Returned"/>
    <n v="4"/>
    <n v="986.84"/>
    <n v="0.05"/>
    <x v="1"/>
    <s v="AU"/>
    <n v="0.1"/>
    <n v="40000"/>
    <n v="3947.36"/>
    <n v="197.36800000000002"/>
    <n v="3749.9920000000002"/>
    <n v="480"/>
    <n v="3269.9920000000002"/>
    <x v="7"/>
    <n v="1"/>
    <n v="2024"/>
  </r>
  <r>
    <s v="ORD-202453426"/>
    <s v="2024-07-09 08:37"/>
    <s v="Ryan Hall"/>
    <s v="albertwagner@example.com"/>
    <x v="0"/>
    <x v="2"/>
    <x v="11"/>
    <x v="0"/>
    <s v="Bank Transfer"/>
    <s v="Pending"/>
    <n v="10"/>
    <n v="713.75"/>
    <n v="0.15"/>
    <x v="0"/>
    <s v="VN"/>
    <n v="0.1"/>
    <n v="35000"/>
    <n v="7137.5"/>
    <n v="1070.625"/>
    <n v="6066.875"/>
    <n v="1500"/>
    <n v="4566.875"/>
    <x v="3"/>
    <n v="3"/>
    <n v="2024"/>
  </r>
  <r>
    <s v="ORD-202475598"/>
    <s v="2024-03-02 21:24"/>
    <s v="Mark Peck"/>
    <s v="bhopkins@example.org"/>
    <x v="5"/>
    <x v="4"/>
    <x v="19"/>
    <x v="3"/>
    <s v="E-Wallet"/>
    <s v="Returned"/>
    <n v="3"/>
    <n v="95.28"/>
    <n v="0"/>
    <x v="1"/>
    <s v="AU"/>
    <n v="0.1"/>
    <n v="30000"/>
    <n v="285.84000000000003"/>
    <n v="0"/>
    <n v="285.84000000000003"/>
    <n v="600"/>
    <n v="-314.15999999999997"/>
    <x v="7"/>
    <n v="1"/>
    <n v="2024"/>
  </r>
  <r>
    <s v="ORD-202484632"/>
    <s v="2024-08-22 04:20"/>
    <s v="Jennifer Smith"/>
    <s v="amanda40@example.net"/>
    <x v="2"/>
    <x v="3"/>
    <x v="3"/>
    <x v="0"/>
    <s v="Credit Card"/>
    <s v="Returned"/>
    <n v="3"/>
    <n v="508.95"/>
    <n v="0.05"/>
    <x v="0"/>
    <s v="SG"/>
    <n v="7.0000000000000007E-2"/>
    <n v="50000"/>
    <n v="1526.85"/>
    <n v="76.342500000000001"/>
    <n v="1450.5074999999999"/>
    <n v="1350"/>
    <n v="100.50749999999994"/>
    <x v="5"/>
    <n v="3"/>
    <n v="2024"/>
  </r>
  <r>
    <s v="ORD-202445851"/>
    <s v="2024-04-17 05:36"/>
    <s v="Megan Drake"/>
    <s v="danieldavis@example.org"/>
    <x v="2"/>
    <x v="2"/>
    <x v="11"/>
    <x v="1"/>
    <s v="Bank Transfer"/>
    <s v="Returned"/>
    <n v="7"/>
    <n v="207.17"/>
    <n v="0.2"/>
    <x v="0"/>
    <s v="SG"/>
    <n v="7.0000000000000007E-2"/>
    <n v="35000"/>
    <n v="1450.1899999999998"/>
    <n v="290.03799999999995"/>
    <n v="1160.1519999999998"/>
    <n v="1050"/>
    <n v="110.15199999999982"/>
    <x v="4"/>
    <n v="2"/>
    <n v="2024"/>
  </r>
  <r>
    <s v="ORD-202472573"/>
    <s v="2024-07-15 00:02"/>
    <s v="Manuel King"/>
    <s v="joseph61@example.com"/>
    <x v="5"/>
    <x v="0"/>
    <x v="4"/>
    <x v="3"/>
    <s v="Credit Card"/>
    <s v="Completed"/>
    <n v="6"/>
    <n v="1425.85"/>
    <n v="0.15"/>
    <x v="1"/>
    <s v="AU"/>
    <n v="0.1"/>
    <n v="40000"/>
    <n v="8555.0999999999985"/>
    <n v="1283.2649999999996"/>
    <n v="7271.8349999999991"/>
    <n v="720"/>
    <n v="6551.8349999999991"/>
    <x v="3"/>
    <n v="3"/>
    <n v="2024"/>
  </r>
  <r>
    <s v="ORD-202492141"/>
    <s v="2024-05-07 07:44"/>
    <s v="Judy Sanchez"/>
    <s v="kevinclayton@example.org"/>
    <x v="4"/>
    <x v="4"/>
    <x v="5"/>
    <x v="2"/>
    <s v="Debit Card"/>
    <s v="Completed"/>
    <n v="9"/>
    <n v="167.52"/>
    <n v="0.15"/>
    <x v="0"/>
    <s v="PH"/>
    <n v="0.12"/>
    <n v="30000"/>
    <n v="1507.68"/>
    <n v="226.15200000000002"/>
    <n v="1281.528"/>
    <n v="1800"/>
    <n v="-518.47199999999998"/>
    <x v="2"/>
    <n v="2"/>
    <n v="2024"/>
  </r>
  <r>
    <s v="ORD-202415992"/>
    <s v="2024-06-01 09:29"/>
    <s v="Shannon Malone"/>
    <s v="sullivannicholas@example.com"/>
    <x v="5"/>
    <x v="1"/>
    <x v="1"/>
    <x v="1"/>
    <s v="E-Wallet"/>
    <s v="Pending"/>
    <n v="3"/>
    <n v="516.69000000000005"/>
    <n v="0.05"/>
    <x v="1"/>
    <s v="AU"/>
    <n v="0.1"/>
    <n v="45000"/>
    <n v="1550.0700000000002"/>
    <n v="77.503500000000017"/>
    <n v="1472.5665000000001"/>
    <n v="240"/>
    <n v="1232.5665000000001"/>
    <x v="8"/>
    <n v="2"/>
    <n v="2024"/>
  </r>
  <r>
    <s v="ORD-202431611"/>
    <s v="2024-07-25 00:14"/>
    <s v="Adam Jackson"/>
    <s v="pbruce@example.com"/>
    <x v="1"/>
    <x v="0"/>
    <x v="0"/>
    <x v="3"/>
    <s v="Credit Card"/>
    <s v="Cancelled"/>
    <n v="10"/>
    <n v="1105.0999999999999"/>
    <n v="0.15"/>
    <x v="0"/>
    <s v="TH"/>
    <n v="7.0000000000000007E-2"/>
    <n v="40000"/>
    <n v="11051"/>
    <n v="1657.6499999999999"/>
    <n v="9393.35"/>
    <n v="1200"/>
    <n v="8193.35"/>
    <x v="3"/>
    <n v="3"/>
    <n v="2024"/>
  </r>
  <r>
    <s v="ORD-202495267"/>
    <s v="2024-01-20 12:56"/>
    <s v="Shannon Davis"/>
    <s v="hallrachel@example.net"/>
    <x v="0"/>
    <x v="1"/>
    <x v="1"/>
    <x v="0"/>
    <s v="Credit Card"/>
    <s v="Completed"/>
    <n v="1"/>
    <n v="87.15"/>
    <n v="0.2"/>
    <x v="0"/>
    <s v="VN"/>
    <n v="0.1"/>
    <n v="45000"/>
    <n v="87.15"/>
    <n v="17.430000000000003"/>
    <n v="69.72"/>
    <n v="80"/>
    <n v="-10.280000000000001"/>
    <x v="1"/>
    <n v="1"/>
    <n v="2024"/>
  </r>
  <r>
    <s v="ORD-202425176"/>
    <s v="2024-08-01 14:24"/>
    <s v="Karen Williams"/>
    <s v="cohenjuan@example.net"/>
    <x v="7"/>
    <x v="1"/>
    <x v="22"/>
    <x v="0"/>
    <s v="E-Wallet"/>
    <s v="Returned"/>
    <n v="3"/>
    <n v="719.48"/>
    <n v="0"/>
    <x v="0"/>
    <s v="MY"/>
    <n v="0.06"/>
    <n v="45000"/>
    <n v="2158.44"/>
    <n v="0"/>
    <n v="2158.44"/>
    <n v="240"/>
    <n v="1918.44"/>
    <x v="5"/>
    <n v="3"/>
    <n v="2024"/>
  </r>
  <r>
    <s v="ORD-202496725"/>
    <s v="2024-02-21 21:33"/>
    <s v="Amanda Mcfarland"/>
    <s v="alexis39@example.org"/>
    <x v="0"/>
    <x v="1"/>
    <x v="1"/>
    <x v="0"/>
    <s v="E-Wallet"/>
    <s v="Completed"/>
    <n v="7"/>
    <n v="1055.58"/>
    <n v="0"/>
    <x v="0"/>
    <s v="VN"/>
    <n v="0.1"/>
    <n v="45000"/>
    <n v="7389.0599999999995"/>
    <n v="0"/>
    <n v="7389.0599999999995"/>
    <n v="560"/>
    <n v="6829.0599999999995"/>
    <x v="0"/>
    <n v="1"/>
    <n v="2024"/>
  </r>
  <r>
    <s v="ORD-202423928"/>
    <s v="2024-09-11 06:38"/>
    <s v="Michelle Sanders"/>
    <s v="evansanne@example.net"/>
    <x v="1"/>
    <x v="4"/>
    <x v="6"/>
    <x v="1"/>
    <s v="E-Wallet"/>
    <s v="Pending"/>
    <n v="6"/>
    <n v="1460.08"/>
    <n v="0.2"/>
    <x v="0"/>
    <s v="TH"/>
    <n v="7.0000000000000007E-2"/>
    <n v="30000"/>
    <n v="8760.48"/>
    <n v="1752.096"/>
    <n v="7008.384"/>
    <n v="1200"/>
    <n v="5808.384"/>
    <x v="6"/>
    <n v="3"/>
    <n v="2024"/>
  </r>
  <r>
    <s v="ORD-202415164"/>
    <s v="2024-10-07 15:58"/>
    <s v="Jasmine Mosley"/>
    <s v="patrick21@example.net"/>
    <x v="1"/>
    <x v="2"/>
    <x v="2"/>
    <x v="0"/>
    <s v="Credit Card"/>
    <s v="Returned"/>
    <n v="1"/>
    <n v="363.24"/>
    <n v="0.2"/>
    <x v="0"/>
    <s v="TH"/>
    <n v="7.0000000000000007E-2"/>
    <n v="35000"/>
    <n v="363.24"/>
    <n v="72.64800000000001"/>
    <n v="290.59199999999998"/>
    <n v="150"/>
    <n v="140.59199999999998"/>
    <x v="9"/>
    <n v="4"/>
    <n v="2024"/>
  </r>
  <r>
    <s v="ORD-202429548"/>
    <s v="2024-02-16 16:04"/>
    <s v="Haley Davis"/>
    <s v="marypeterson@example.net"/>
    <x v="7"/>
    <x v="4"/>
    <x v="5"/>
    <x v="1"/>
    <s v="Credit Card"/>
    <s v="Completed"/>
    <n v="5"/>
    <n v="693.28"/>
    <n v="0.05"/>
    <x v="0"/>
    <s v="MY"/>
    <n v="0.06"/>
    <n v="30000"/>
    <n v="3466.3999999999996"/>
    <n v="173.32"/>
    <n v="3293.0799999999995"/>
    <n v="1000"/>
    <n v="2293.0799999999995"/>
    <x v="0"/>
    <n v="1"/>
    <n v="2024"/>
  </r>
  <r>
    <s v="ORD-202432898"/>
    <s v="2024-01-21 09:23"/>
    <s v="Jennifer Ayala"/>
    <s v="walterskristen@example.com"/>
    <x v="4"/>
    <x v="2"/>
    <x v="11"/>
    <x v="3"/>
    <s v="Debit Card"/>
    <s v="Cancelled"/>
    <n v="1"/>
    <n v="156.07"/>
    <n v="0"/>
    <x v="0"/>
    <s v="PH"/>
    <n v="0.12"/>
    <n v="35000"/>
    <n v="156.07"/>
    <n v="0"/>
    <n v="156.07"/>
    <n v="150"/>
    <n v="6.0699999999999932"/>
    <x v="1"/>
    <n v="1"/>
    <n v="2024"/>
  </r>
  <r>
    <s v="ORD-202456861"/>
    <s v="2024-08-12 19:17"/>
    <s v="Henry Pugh MD"/>
    <s v="nmiller@example.com"/>
    <x v="7"/>
    <x v="4"/>
    <x v="23"/>
    <x v="1"/>
    <s v="E-Wallet"/>
    <s v="Returned"/>
    <n v="7"/>
    <n v="286.56"/>
    <n v="0.1"/>
    <x v="0"/>
    <s v="MY"/>
    <n v="0.06"/>
    <n v="30000"/>
    <n v="2005.92"/>
    <n v="200.59200000000001"/>
    <n v="1805.328"/>
    <n v="1400"/>
    <n v="405.32799999999997"/>
    <x v="5"/>
    <n v="3"/>
    <n v="2024"/>
  </r>
  <r>
    <s v="ORD-202472684"/>
    <s v="2024-08-03 20:56"/>
    <s v="Michelle Miller"/>
    <s v="normanbowers@example.org"/>
    <x v="2"/>
    <x v="3"/>
    <x v="7"/>
    <x v="0"/>
    <s v="Bank Transfer"/>
    <s v="Returned"/>
    <n v="1"/>
    <n v="1048.81"/>
    <n v="0"/>
    <x v="0"/>
    <s v="SG"/>
    <n v="7.0000000000000007E-2"/>
    <n v="50000"/>
    <n v="1048.81"/>
    <n v="0"/>
    <n v="1048.81"/>
    <n v="450"/>
    <n v="598.80999999999995"/>
    <x v="5"/>
    <n v="3"/>
    <n v="2024"/>
  </r>
  <r>
    <s v="ORD-202484572"/>
    <s v="2024-12-13 14:11"/>
    <s v="Emily Rodriguez"/>
    <s v="hahnsean@example.com"/>
    <x v="6"/>
    <x v="2"/>
    <x v="2"/>
    <x v="1"/>
    <s v="Credit Card"/>
    <s v="Returned"/>
    <n v="3"/>
    <n v="922.87"/>
    <n v="0.1"/>
    <x v="2"/>
    <s v="IN"/>
    <n v="0.18"/>
    <n v="35000"/>
    <n v="2768.61"/>
    <n v="276.86100000000005"/>
    <n v="2491.7490000000003"/>
    <n v="450"/>
    <n v="2041.7490000000003"/>
    <x v="10"/>
    <n v="4"/>
    <n v="2024"/>
  </r>
  <r>
    <s v="ORD-202467761"/>
    <s v="2024-01-24 02:16"/>
    <s v="Brandon Jordan"/>
    <s v="fgarcia@example.com"/>
    <x v="4"/>
    <x v="3"/>
    <x v="10"/>
    <x v="3"/>
    <s v="E-Wallet"/>
    <s v="Completed"/>
    <n v="10"/>
    <n v="1154.78"/>
    <n v="0.2"/>
    <x v="0"/>
    <s v="PH"/>
    <n v="0.12"/>
    <n v="50000"/>
    <n v="11547.8"/>
    <n v="2309.56"/>
    <n v="9238.24"/>
    <n v="4500"/>
    <n v="4738.24"/>
    <x v="1"/>
    <n v="1"/>
    <n v="2024"/>
  </r>
  <r>
    <s v="ORD-202466734"/>
    <s v="2024-12-04 23:15"/>
    <s v="Linda Mueller"/>
    <s v="asmith@example.com"/>
    <x v="9"/>
    <x v="4"/>
    <x v="19"/>
    <x v="0"/>
    <s v="Credit Card"/>
    <s v="Pending"/>
    <n v="9"/>
    <n v="235.75"/>
    <n v="0.15"/>
    <x v="3"/>
    <s v="KR"/>
    <n v="0.1"/>
    <n v="30000"/>
    <n v="2121.75"/>
    <n v="318.26249999999999"/>
    <n v="1803.4875"/>
    <n v="1800"/>
    <n v="3.4874999999999545"/>
    <x v="10"/>
    <n v="4"/>
    <n v="2024"/>
  </r>
  <r>
    <s v="ORD-202476265"/>
    <s v="2024-08-28 15:55"/>
    <s v="Misty Hansen"/>
    <s v="ashleyjackson@example.com"/>
    <x v="2"/>
    <x v="3"/>
    <x v="3"/>
    <x v="0"/>
    <s v="Cash"/>
    <s v="Pending"/>
    <n v="6"/>
    <n v="491.14"/>
    <n v="0.05"/>
    <x v="0"/>
    <s v="SG"/>
    <n v="7.0000000000000007E-2"/>
    <n v="50000"/>
    <n v="2946.84"/>
    <n v="147.34200000000001"/>
    <n v="2799.498"/>
    <n v="2700"/>
    <n v="99.498000000000047"/>
    <x v="5"/>
    <n v="3"/>
    <n v="2024"/>
  </r>
  <r>
    <s v="ORD-202482154"/>
    <s v="2024-11-25 12:25"/>
    <s v="Derrick Adams"/>
    <s v="bryanhamilton@example.com"/>
    <x v="1"/>
    <x v="3"/>
    <x v="3"/>
    <x v="0"/>
    <s v="Bank Transfer"/>
    <s v="Returned"/>
    <n v="10"/>
    <n v="674.62"/>
    <n v="0.1"/>
    <x v="0"/>
    <s v="TH"/>
    <n v="7.0000000000000007E-2"/>
    <n v="50000"/>
    <n v="6746.2"/>
    <n v="674.62"/>
    <n v="6071.58"/>
    <n v="4500"/>
    <n v="1571.58"/>
    <x v="11"/>
    <n v="4"/>
    <n v="2024"/>
  </r>
  <r>
    <s v="ORD-202451426"/>
    <s v="2024-03-01 15:47"/>
    <s v="Richard Ward"/>
    <s v="jennifersimpson@example.net"/>
    <x v="3"/>
    <x v="3"/>
    <x v="3"/>
    <x v="0"/>
    <s v="Credit Card"/>
    <s v="Cancelled"/>
    <n v="9"/>
    <n v="627.32000000000005"/>
    <n v="0.15"/>
    <x v="0"/>
    <s v="ID"/>
    <n v="0.11"/>
    <n v="50000"/>
    <n v="5645.88"/>
    <n v="846.88199999999995"/>
    <n v="4798.9980000000005"/>
    <n v="4050"/>
    <n v="748.9980000000005"/>
    <x v="7"/>
    <n v="1"/>
    <n v="2024"/>
  </r>
  <r>
    <s v="ORD-202476628"/>
    <s v="2024-10-14 06:41"/>
    <s v="Brian Torres"/>
    <s v="ncook@example.com"/>
    <x v="9"/>
    <x v="4"/>
    <x v="23"/>
    <x v="2"/>
    <s v="Cash"/>
    <s v="Returned"/>
    <n v="4"/>
    <n v="1240.5899999999999"/>
    <n v="0.1"/>
    <x v="3"/>
    <s v="KR"/>
    <n v="0.1"/>
    <n v="30000"/>
    <n v="4962.3599999999997"/>
    <n v="496.23599999999999"/>
    <n v="4466.1239999999998"/>
    <n v="800"/>
    <n v="3666.1239999999998"/>
    <x v="9"/>
    <n v="4"/>
    <n v="2024"/>
  </r>
  <r>
    <s v="ORD-202496136"/>
    <s v="2024-07-05 22:28"/>
    <s v="Erin Cook"/>
    <s v="kevinmorrison@example.net"/>
    <x v="7"/>
    <x v="3"/>
    <x v="7"/>
    <x v="2"/>
    <s v="Cash"/>
    <s v="Cancelled"/>
    <n v="6"/>
    <n v="18.260000000000002"/>
    <n v="0.2"/>
    <x v="0"/>
    <s v="MY"/>
    <n v="0.06"/>
    <n v="50000"/>
    <n v="109.56"/>
    <n v="21.912000000000003"/>
    <n v="87.647999999999996"/>
    <n v="2700"/>
    <n v="-2612.3519999999999"/>
    <x v="3"/>
    <n v="3"/>
    <n v="2024"/>
  </r>
  <r>
    <s v="ORD-202423935"/>
    <s v="2024-01-24 05:31"/>
    <s v="Ernest Oconnell"/>
    <s v="kelly79@example.org"/>
    <x v="2"/>
    <x v="2"/>
    <x v="11"/>
    <x v="0"/>
    <s v="Bank Transfer"/>
    <s v="Pending"/>
    <n v="4"/>
    <n v="392.62"/>
    <n v="0"/>
    <x v="0"/>
    <s v="SG"/>
    <n v="7.0000000000000007E-2"/>
    <n v="35000"/>
    <n v="1570.48"/>
    <n v="0"/>
    <n v="1570.48"/>
    <n v="600"/>
    <n v="970.48"/>
    <x v="1"/>
    <n v="1"/>
    <n v="2024"/>
  </r>
  <r>
    <s v="ORD-202469905"/>
    <s v="2024-04-07 22:21"/>
    <s v="Douglas Hartman"/>
    <s v="daniel93@example.net"/>
    <x v="7"/>
    <x v="2"/>
    <x v="11"/>
    <x v="1"/>
    <s v="Bank Transfer"/>
    <s v="Pending"/>
    <n v="10"/>
    <n v="1391.04"/>
    <n v="0"/>
    <x v="0"/>
    <s v="MY"/>
    <n v="0.06"/>
    <n v="35000"/>
    <n v="13910.4"/>
    <n v="0"/>
    <n v="13910.4"/>
    <n v="1500"/>
    <n v="12410.4"/>
    <x v="4"/>
    <n v="2"/>
    <n v="2024"/>
  </r>
  <r>
    <s v="ORD-202475382"/>
    <s v="2024-01-03 16:47"/>
    <s v="Catherine Saunders MD"/>
    <s v="nhahn@example.com"/>
    <x v="3"/>
    <x v="1"/>
    <x v="24"/>
    <x v="3"/>
    <s v="Cash"/>
    <s v="Pending"/>
    <n v="8"/>
    <n v="1260.6400000000001"/>
    <n v="0.15"/>
    <x v="0"/>
    <s v="ID"/>
    <n v="0.11"/>
    <n v="45000"/>
    <n v="10085.120000000001"/>
    <n v="1512.768"/>
    <n v="8572.3520000000008"/>
    <n v="640"/>
    <n v="7932.3520000000008"/>
    <x v="1"/>
    <n v="1"/>
    <n v="2024"/>
  </r>
  <r>
    <s v="ORD-202426827"/>
    <s v="2024-02-23 12:42"/>
    <s v="Sandra Jones"/>
    <s v="ichambers@example.net"/>
    <x v="6"/>
    <x v="1"/>
    <x v="22"/>
    <x v="3"/>
    <s v="E-Wallet"/>
    <s v="Returned"/>
    <n v="7"/>
    <n v="763.6"/>
    <n v="0.1"/>
    <x v="2"/>
    <s v="IN"/>
    <n v="0.18"/>
    <n v="45000"/>
    <n v="5345.2"/>
    <n v="534.52"/>
    <n v="4810.68"/>
    <n v="560"/>
    <n v="4250.68"/>
    <x v="0"/>
    <n v="1"/>
    <n v="2024"/>
  </r>
  <r>
    <s v="ORD-202454939"/>
    <s v="2024-05-30 14:51"/>
    <s v="David Moore"/>
    <s v="emccormick@example.com"/>
    <x v="2"/>
    <x v="0"/>
    <x v="15"/>
    <x v="2"/>
    <s v="Cash"/>
    <s v="Pending"/>
    <n v="9"/>
    <n v="909.75"/>
    <n v="0.05"/>
    <x v="0"/>
    <s v="SG"/>
    <n v="7.0000000000000007E-2"/>
    <n v="40000"/>
    <n v="8187.75"/>
    <n v="409.38750000000005"/>
    <n v="7778.3625000000002"/>
    <n v="1080"/>
    <n v="6698.3625000000002"/>
    <x v="2"/>
    <n v="2"/>
    <n v="2024"/>
  </r>
  <r>
    <s v="ORD-202436330"/>
    <s v="2024-04-17 19:45"/>
    <s v="Karen Morales DDS"/>
    <s v="ystephens@example.com"/>
    <x v="0"/>
    <x v="4"/>
    <x v="5"/>
    <x v="2"/>
    <s v="Credit Card"/>
    <s v="Cancelled"/>
    <n v="3"/>
    <n v="1472.28"/>
    <n v="0.15"/>
    <x v="0"/>
    <s v="VN"/>
    <n v="0.1"/>
    <n v="30000"/>
    <n v="4416.84"/>
    <n v="662.52599999999995"/>
    <n v="3754.3140000000003"/>
    <n v="600"/>
    <n v="3154.3140000000003"/>
    <x v="4"/>
    <n v="2"/>
    <n v="2024"/>
  </r>
  <r>
    <s v="ORD-202483699"/>
    <s v="2024-09-02 18:36"/>
    <s v="Robin Wheeler"/>
    <s v="rodriguezjohn@example.net"/>
    <x v="8"/>
    <x v="1"/>
    <x v="22"/>
    <x v="0"/>
    <s v="Credit Card"/>
    <s v="Returned"/>
    <n v="7"/>
    <n v="1318.05"/>
    <n v="0"/>
    <x v="3"/>
    <s v="JP"/>
    <n v="0.1"/>
    <n v="45000"/>
    <n v="9226.35"/>
    <n v="0"/>
    <n v="9226.35"/>
    <n v="560"/>
    <n v="8666.35"/>
    <x v="6"/>
    <n v="3"/>
    <n v="2024"/>
  </r>
  <r>
    <s v="ORD-202429048"/>
    <s v="2024-01-28 21:03"/>
    <s v="Matthew Williams"/>
    <s v="vrasmussen@example.com"/>
    <x v="1"/>
    <x v="4"/>
    <x v="5"/>
    <x v="0"/>
    <s v="E-Wallet"/>
    <s v="Pending"/>
    <n v="5"/>
    <n v="1475.55"/>
    <n v="0"/>
    <x v="0"/>
    <s v="TH"/>
    <n v="7.0000000000000007E-2"/>
    <n v="30000"/>
    <n v="7377.75"/>
    <n v="0"/>
    <n v="7377.75"/>
    <n v="1000"/>
    <n v="6377.75"/>
    <x v="1"/>
    <n v="1"/>
    <n v="2024"/>
  </r>
  <r>
    <s v="ORD-202480932"/>
    <s v="2024-01-17 11:52"/>
    <s v="Brett Walker"/>
    <s v="seanmyers@example.net"/>
    <x v="9"/>
    <x v="3"/>
    <x v="10"/>
    <x v="1"/>
    <s v="Debit Card"/>
    <s v="Cancelled"/>
    <n v="9"/>
    <n v="1304.03"/>
    <n v="0"/>
    <x v="3"/>
    <s v="KR"/>
    <n v="0.1"/>
    <n v="50000"/>
    <n v="11736.27"/>
    <n v="0"/>
    <n v="11736.27"/>
    <n v="4050"/>
    <n v="7686.27"/>
    <x v="1"/>
    <n v="1"/>
    <n v="2024"/>
  </r>
  <r>
    <s v="ORD-202497096"/>
    <s v="2024-01-25 12:24"/>
    <s v="Kathryn Cooper"/>
    <s v="webbkenneth@example.org"/>
    <x v="8"/>
    <x v="4"/>
    <x v="6"/>
    <x v="1"/>
    <s v="Debit Card"/>
    <s v="Cancelled"/>
    <n v="5"/>
    <n v="94.9"/>
    <n v="0"/>
    <x v="3"/>
    <s v="JP"/>
    <n v="0.1"/>
    <n v="30000"/>
    <n v="474.5"/>
    <n v="0"/>
    <n v="474.5"/>
    <n v="1000"/>
    <n v="-525.5"/>
    <x v="1"/>
    <n v="1"/>
    <n v="2024"/>
  </r>
  <r>
    <s v="ORD-202487120"/>
    <s v="2024-10-06 23:38"/>
    <s v="Todd Thomas"/>
    <s v="matthew38@example.com"/>
    <x v="1"/>
    <x v="0"/>
    <x v="4"/>
    <x v="3"/>
    <s v="Cash"/>
    <s v="Completed"/>
    <n v="2"/>
    <n v="681.49"/>
    <n v="0"/>
    <x v="0"/>
    <s v="TH"/>
    <n v="7.0000000000000007E-2"/>
    <n v="40000"/>
    <n v="1362.98"/>
    <n v="0"/>
    <n v="1362.98"/>
    <n v="240"/>
    <n v="1122.98"/>
    <x v="9"/>
    <n v="4"/>
    <n v="2024"/>
  </r>
  <r>
    <s v="ORD-202459440"/>
    <s v="2024-01-21 13:17"/>
    <s v="Brent Bowen"/>
    <s v="tflores@example.org"/>
    <x v="5"/>
    <x v="4"/>
    <x v="5"/>
    <x v="2"/>
    <s v="Bank Transfer"/>
    <s v="Pending"/>
    <n v="5"/>
    <n v="253.98"/>
    <n v="0"/>
    <x v="1"/>
    <s v="AU"/>
    <n v="0.1"/>
    <n v="30000"/>
    <n v="1269.8999999999999"/>
    <n v="0"/>
    <n v="1269.8999999999999"/>
    <n v="1000"/>
    <n v="269.89999999999986"/>
    <x v="1"/>
    <n v="1"/>
    <n v="2024"/>
  </r>
  <r>
    <s v="ORD-202415235"/>
    <s v="2024-03-19 10:38"/>
    <s v="Ashley Sweeney"/>
    <s v="byrdfrank@example.net"/>
    <x v="3"/>
    <x v="1"/>
    <x v="22"/>
    <x v="2"/>
    <s v="Credit Card"/>
    <s v="Cancelled"/>
    <n v="10"/>
    <n v="743.47"/>
    <n v="0.15"/>
    <x v="0"/>
    <s v="ID"/>
    <n v="0.11"/>
    <n v="45000"/>
    <n v="7434.7000000000007"/>
    <n v="1115.2050000000002"/>
    <n v="6319.4950000000008"/>
    <n v="800"/>
    <n v="5519.4950000000008"/>
    <x v="7"/>
    <n v="1"/>
    <n v="2024"/>
  </r>
  <r>
    <s v="ORD-202478864"/>
    <s v="2024-04-22 05:33"/>
    <s v="Christopher Moore"/>
    <s v="omullen@example.com"/>
    <x v="7"/>
    <x v="1"/>
    <x v="9"/>
    <x v="0"/>
    <s v="E-Wallet"/>
    <s v="Pending"/>
    <n v="9"/>
    <n v="632.66"/>
    <n v="0.1"/>
    <x v="0"/>
    <s v="MY"/>
    <n v="0.06"/>
    <n v="45000"/>
    <n v="5693.94"/>
    <n v="569.39400000000001"/>
    <n v="5124.5459999999994"/>
    <n v="720"/>
    <n v="4404.5459999999994"/>
    <x v="4"/>
    <n v="2"/>
    <n v="2024"/>
  </r>
  <r>
    <s v="ORD-202437964"/>
    <s v="2024-12-05 10:21"/>
    <s v="Charlotte Sandoval"/>
    <s v="njohnson@example.org"/>
    <x v="4"/>
    <x v="4"/>
    <x v="5"/>
    <x v="1"/>
    <s v="Cash"/>
    <s v="Completed"/>
    <n v="10"/>
    <n v="1426.21"/>
    <n v="0.15"/>
    <x v="0"/>
    <s v="PH"/>
    <n v="0.12"/>
    <n v="30000"/>
    <n v="14262.1"/>
    <n v="2139.3150000000001"/>
    <n v="12122.785"/>
    <n v="2000"/>
    <n v="10122.785"/>
    <x v="10"/>
    <n v="4"/>
    <n v="2024"/>
  </r>
  <r>
    <s v="ORD-202425036"/>
    <s v="2024-12-08 11:28"/>
    <s v="Jeffrey Smith"/>
    <s v="jamiegoodwin@example.org"/>
    <x v="1"/>
    <x v="1"/>
    <x v="1"/>
    <x v="2"/>
    <s v="Bank Transfer"/>
    <s v="Completed"/>
    <n v="1"/>
    <n v="377.08"/>
    <n v="0.2"/>
    <x v="0"/>
    <s v="TH"/>
    <n v="7.0000000000000007E-2"/>
    <n v="45000"/>
    <n v="377.08"/>
    <n v="75.415999999999997"/>
    <n v="301.66399999999999"/>
    <n v="80"/>
    <n v="221.66399999999999"/>
    <x v="10"/>
    <n v="4"/>
    <n v="2024"/>
  </r>
  <r>
    <s v="ORD-202460577"/>
    <s v="2024-05-11 17:46"/>
    <s v="Rebecca Herrera"/>
    <s v="mark71@example.com"/>
    <x v="0"/>
    <x v="3"/>
    <x v="10"/>
    <x v="1"/>
    <s v="Bank Transfer"/>
    <s v="Completed"/>
    <n v="6"/>
    <n v="1235.83"/>
    <n v="0.15"/>
    <x v="0"/>
    <s v="VN"/>
    <n v="0.1"/>
    <n v="50000"/>
    <n v="7414.98"/>
    <n v="1112.2469999999998"/>
    <n v="6302.7330000000002"/>
    <n v="2700"/>
    <n v="3602.7330000000002"/>
    <x v="2"/>
    <n v="2"/>
    <n v="2024"/>
  </r>
  <r>
    <s v="ORD-202448854"/>
    <s v="2024-11-29 06:20"/>
    <s v="Katherine Church"/>
    <s v="candice96@example.net"/>
    <x v="5"/>
    <x v="3"/>
    <x v="8"/>
    <x v="0"/>
    <s v="Credit Card"/>
    <s v="Pending"/>
    <n v="9"/>
    <n v="263.58"/>
    <n v="0.15"/>
    <x v="1"/>
    <s v="AU"/>
    <n v="0.1"/>
    <n v="50000"/>
    <n v="2372.2199999999998"/>
    <n v="355.83299999999997"/>
    <n v="2016.3869999999997"/>
    <n v="4050"/>
    <n v="-2033.6130000000003"/>
    <x v="11"/>
    <n v="4"/>
    <n v="2024"/>
  </r>
  <r>
    <s v="ORD-202497862"/>
    <s v="2024-11-18 06:55"/>
    <s v="Harold Ellis"/>
    <s v="lisamccarthy@example.com"/>
    <x v="8"/>
    <x v="3"/>
    <x v="7"/>
    <x v="0"/>
    <s v="Debit Card"/>
    <s v="Completed"/>
    <n v="7"/>
    <n v="813.57"/>
    <n v="0.2"/>
    <x v="3"/>
    <s v="JP"/>
    <n v="0.1"/>
    <n v="50000"/>
    <n v="5694.9900000000007"/>
    <n v="1138.9980000000003"/>
    <n v="4555.9920000000002"/>
    <n v="3150"/>
    <n v="1405.9920000000002"/>
    <x v="11"/>
    <n v="4"/>
    <n v="2024"/>
  </r>
  <r>
    <s v="ORD-202470191"/>
    <s v="2024-06-18 01:05"/>
    <s v="Leslie Powers"/>
    <s v="david41@example.org"/>
    <x v="7"/>
    <x v="3"/>
    <x v="7"/>
    <x v="3"/>
    <s v="E-Wallet"/>
    <s v="Returned"/>
    <n v="9"/>
    <n v="1194.4100000000001"/>
    <n v="0"/>
    <x v="0"/>
    <s v="MY"/>
    <n v="0.06"/>
    <n v="50000"/>
    <n v="10749.69"/>
    <n v="0"/>
    <n v="10749.69"/>
    <n v="4050"/>
    <n v="6699.6900000000005"/>
    <x v="8"/>
    <n v="2"/>
    <n v="2024"/>
  </r>
  <r>
    <s v="ORD-202460860"/>
    <s v="2024-08-18 20:25"/>
    <s v="Charles Price"/>
    <s v="baileyhenderson@example.com"/>
    <x v="8"/>
    <x v="4"/>
    <x v="16"/>
    <x v="0"/>
    <s v="Cash"/>
    <s v="Completed"/>
    <n v="2"/>
    <n v="593.41"/>
    <n v="0.15"/>
    <x v="3"/>
    <s v="JP"/>
    <n v="0.1"/>
    <n v="30000"/>
    <n v="1186.82"/>
    <n v="178.023"/>
    <n v="1008.7969999999999"/>
    <n v="400"/>
    <n v="608.79699999999991"/>
    <x v="5"/>
    <n v="3"/>
    <n v="2024"/>
  </r>
  <r>
    <s v="ORD-202486756"/>
    <s v="2024-01-24 22:54"/>
    <s v="Melissa Brewer"/>
    <s v="angelaburns@example.org"/>
    <x v="7"/>
    <x v="4"/>
    <x v="6"/>
    <x v="0"/>
    <s v="E-Wallet"/>
    <s v="Returned"/>
    <n v="5"/>
    <n v="172.61"/>
    <n v="0.15"/>
    <x v="0"/>
    <s v="MY"/>
    <n v="0.06"/>
    <n v="30000"/>
    <n v="863.05000000000007"/>
    <n v="129.45750000000001"/>
    <n v="733.59250000000009"/>
    <n v="1000"/>
    <n v="-266.40749999999991"/>
    <x v="1"/>
    <n v="1"/>
    <n v="2024"/>
  </r>
  <r>
    <s v="ORD-202459992"/>
    <s v="2024-07-21 21:01"/>
    <s v="Ryan Harvey"/>
    <s v="stephanie72@example.org"/>
    <x v="9"/>
    <x v="0"/>
    <x v="12"/>
    <x v="2"/>
    <s v="Debit Card"/>
    <s v="Cancelled"/>
    <n v="7"/>
    <n v="341.5"/>
    <n v="0.15"/>
    <x v="3"/>
    <s v="KR"/>
    <n v="0.1"/>
    <n v="40000"/>
    <n v="2390.5"/>
    <n v="358.57499999999999"/>
    <n v="2031.925"/>
    <n v="840"/>
    <n v="1191.925"/>
    <x v="3"/>
    <n v="3"/>
    <n v="2024"/>
  </r>
  <r>
    <s v="ORD-202498773"/>
    <s v="2024-11-27 11:00"/>
    <s v="Tracey Wagner"/>
    <s v="fortiz@example.com"/>
    <x v="5"/>
    <x v="1"/>
    <x v="9"/>
    <x v="1"/>
    <s v="Cash"/>
    <s v="Completed"/>
    <n v="1"/>
    <n v="198"/>
    <n v="0.15"/>
    <x v="1"/>
    <s v="AU"/>
    <n v="0.1"/>
    <n v="45000"/>
    <n v="198"/>
    <n v="29.7"/>
    <n v="168.3"/>
    <n v="80"/>
    <n v="88.300000000000011"/>
    <x v="11"/>
    <n v="4"/>
    <n v="2024"/>
  </r>
  <r>
    <s v="ORD-202449936"/>
    <s v="2024-04-17 23:47"/>
    <s v="Jill Jackson"/>
    <s v="flynnjeffrey@example.org"/>
    <x v="4"/>
    <x v="0"/>
    <x v="15"/>
    <x v="3"/>
    <s v="Debit Card"/>
    <s v="Pending"/>
    <n v="9"/>
    <n v="1359.86"/>
    <n v="0"/>
    <x v="0"/>
    <s v="PH"/>
    <n v="0.12"/>
    <n v="40000"/>
    <n v="12238.74"/>
    <n v="0"/>
    <n v="12238.74"/>
    <n v="1080"/>
    <n v="11158.74"/>
    <x v="4"/>
    <n v="2"/>
    <n v="2024"/>
  </r>
  <r>
    <s v="ORD-202490856"/>
    <s v="2024-05-09 06:07"/>
    <s v="Joshua Jackson"/>
    <s v="xcunningham@example.com"/>
    <x v="2"/>
    <x v="1"/>
    <x v="13"/>
    <x v="0"/>
    <s v="E-Wallet"/>
    <s v="Completed"/>
    <n v="9"/>
    <n v="1279.31"/>
    <n v="0.1"/>
    <x v="0"/>
    <s v="SG"/>
    <n v="7.0000000000000007E-2"/>
    <n v="45000"/>
    <n v="11513.789999999999"/>
    <n v="1151.3789999999999"/>
    <n v="10362.411"/>
    <n v="720"/>
    <n v="9642.4110000000001"/>
    <x v="2"/>
    <n v="2"/>
    <n v="2024"/>
  </r>
  <r>
    <s v="ORD-202442858"/>
    <s v="2024-02-20 06:46"/>
    <s v="Ashley Wilson"/>
    <s v="amber07@example.net"/>
    <x v="6"/>
    <x v="2"/>
    <x v="2"/>
    <x v="2"/>
    <s v="Cash"/>
    <s v="Completed"/>
    <n v="4"/>
    <n v="545.35"/>
    <n v="0"/>
    <x v="2"/>
    <s v="IN"/>
    <n v="0.18"/>
    <n v="35000"/>
    <n v="2181.4"/>
    <n v="0"/>
    <n v="2181.4"/>
    <n v="600"/>
    <n v="1581.4"/>
    <x v="0"/>
    <n v="1"/>
    <n v="2024"/>
  </r>
  <r>
    <s v="ORD-202435362"/>
    <s v="2024-06-11 15:28"/>
    <s v="Jeffery Fitzgerald"/>
    <s v="kennethkidd@example.com"/>
    <x v="4"/>
    <x v="1"/>
    <x v="22"/>
    <x v="2"/>
    <s v="E-Wallet"/>
    <s v="Returned"/>
    <n v="3"/>
    <n v="1044.79"/>
    <n v="0.15"/>
    <x v="0"/>
    <s v="PH"/>
    <n v="0.12"/>
    <n v="45000"/>
    <n v="3134.37"/>
    <n v="470.15549999999996"/>
    <n v="2664.2145"/>
    <n v="240"/>
    <n v="2424.2145"/>
    <x v="8"/>
    <n v="2"/>
    <n v="2024"/>
  </r>
  <r>
    <s v="ORD-202432103"/>
    <s v="2024-01-03 10:15"/>
    <s v="Scott Miller"/>
    <s v="rowejoel@example.net"/>
    <x v="1"/>
    <x v="2"/>
    <x v="2"/>
    <x v="2"/>
    <s v="Bank Transfer"/>
    <s v="Returned"/>
    <n v="3"/>
    <n v="1262.56"/>
    <n v="0.2"/>
    <x v="0"/>
    <s v="TH"/>
    <n v="7.0000000000000007E-2"/>
    <n v="35000"/>
    <n v="3787.68"/>
    <n v="757.53600000000006"/>
    <n v="3030.1439999999998"/>
    <n v="450"/>
    <n v="2580.1439999999998"/>
    <x v="1"/>
    <n v="1"/>
    <n v="2024"/>
  </r>
  <r>
    <s v="ORD-202468373"/>
    <s v="2024-07-02 09:31"/>
    <s v="Heather Page"/>
    <s v="imartin@example.org"/>
    <x v="5"/>
    <x v="3"/>
    <x v="7"/>
    <x v="3"/>
    <s v="Cash"/>
    <s v="Pending"/>
    <n v="2"/>
    <n v="973.64"/>
    <n v="0.05"/>
    <x v="1"/>
    <s v="AU"/>
    <n v="0.1"/>
    <n v="50000"/>
    <n v="1947.28"/>
    <n v="97.364000000000004"/>
    <n v="1849.9159999999999"/>
    <n v="900"/>
    <n v="949.91599999999994"/>
    <x v="3"/>
    <n v="3"/>
    <n v="2024"/>
  </r>
  <r>
    <s v="ORD-202444502"/>
    <s v="2024-11-16 02:46"/>
    <s v="Renee Hudson"/>
    <s v="candice25@example.net"/>
    <x v="7"/>
    <x v="3"/>
    <x v="10"/>
    <x v="1"/>
    <s v="Cash"/>
    <s v="Pending"/>
    <n v="10"/>
    <n v="952.97"/>
    <n v="0.15"/>
    <x v="0"/>
    <s v="MY"/>
    <n v="0.06"/>
    <n v="50000"/>
    <n v="9529.7000000000007"/>
    <n v="1429.4550000000002"/>
    <n v="8100.2450000000008"/>
    <n v="4500"/>
    <n v="3600.2450000000008"/>
    <x v="11"/>
    <n v="4"/>
    <n v="2024"/>
  </r>
  <r>
    <s v="ORD-202414804"/>
    <s v="2024-10-09 08:34"/>
    <s v="Kenneth Farley"/>
    <s v="taylorkaren@example.com"/>
    <x v="5"/>
    <x v="2"/>
    <x v="21"/>
    <x v="2"/>
    <s v="Debit Card"/>
    <s v="Returned"/>
    <n v="4"/>
    <n v="558.24"/>
    <n v="0.15"/>
    <x v="1"/>
    <s v="AU"/>
    <n v="0.1"/>
    <n v="35000"/>
    <n v="2232.96"/>
    <n v="334.94400000000002"/>
    <n v="1898.0160000000001"/>
    <n v="600"/>
    <n v="1298.0160000000001"/>
    <x v="9"/>
    <n v="4"/>
    <n v="2024"/>
  </r>
  <r>
    <s v="ORD-202475683"/>
    <s v="2024-09-18 02:25"/>
    <s v="Wendy Camacho"/>
    <s v="jacquelineanderson@example.org"/>
    <x v="4"/>
    <x v="1"/>
    <x v="13"/>
    <x v="3"/>
    <s v="Cash"/>
    <s v="Pending"/>
    <n v="10"/>
    <n v="999.08"/>
    <n v="0.2"/>
    <x v="0"/>
    <s v="PH"/>
    <n v="0.12"/>
    <n v="45000"/>
    <n v="9990.8000000000011"/>
    <n v="1998.1600000000003"/>
    <n v="7992.6400000000012"/>
    <n v="800"/>
    <n v="7192.6400000000012"/>
    <x v="6"/>
    <n v="3"/>
    <n v="2024"/>
  </r>
  <r>
    <s v="ORD-202468487"/>
    <s v="2024-03-22 05:36"/>
    <s v="Sandra Juarez"/>
    <s v="kburns@example.net"/>
    <x v="6"/>
    <x v="0"/>
    <x v="15"/>
    <x v="1"/>
    <s v="Debit Card"/>
    <s v="Completed"/>
    <n v="1"/>
    <n v="1409.68"/>
    <n v="0"/>
    <x v="2"/>
    <s v="IN"/>
    <n v="0.18"/>
    <n v="40000"/>
    <n v="1409.68"/>
    <n v="0"/>
    <n v="1409.68"/>
    <n v="120"/>
    <n v="1289.68"/>
    <x v="7"/>
    <n v="1"/>
    <n v="2024"/>
  </r>
  <r>
    <s v="ORD-202444649"/>
    <s v="2024-07-08 07:02"/>
    <s v="Jason Hayes"/>
    <s v="powellkara@example.net"/>
    <x v="1"/>
    <x v="1"/>
    <x v="22"/>
    <x v="0"/>
    <s v="E-Wallet"/>
    <s v="Completed"/>
    <n v="8"/>
    <n v="591.32000000000005"/>
    <n v="0"/>
    <x v="0"/>
    <s v="TH"/>
    <n v="7.0000000000000007E-2"/>
    <n v="45000"/>
    <n v="4730.5600000000004"/>
    <n v="0"/>
    <n v="4730.5600000000004"/>
    <n v="640"/>
    <n v="4090.5600000000004"/>
    <x v="3"/>
    <n v="3"/>
    <n v="2024"/>
  </r>
  <r>
    <s v="ORD-202478337"/>
    <s v="2024-11-20 08:53"/>
    <s v="Jackie Clements"/>
    <s v="brandi17@example.net"/>
    <x v="0"/>
    <x v="1"/>
    <x v="1"/>
    <x v="1"/>
    <s v="E-Wallet"/>
    <s v="Completed"/>
    <n v="7"/>
    <n v="861.69"/>
    <n v="0.2"/>
    <x v="0"/>
    <s v="VN"/>
    <n v="0.1"/>
    <n v="45000"/>
    <n v="6031.83"/>
    <n v="1206.366"/>
    <n v="4825.4639999999999"/>
    <n v="560"/>
    <n v="4265.4639999999999"/>
    <x v="11"/>
    <n v="4"/>
    <n v="2024"/>
  </r>
  <r>
    <s v="ORD-202477720"/>
    <s v="2024-05-08 12:58"/>
    <s v="Heather Brown"/>
    <s v="brobinson@example.org"/>
    <x v="1"/>
    <x v="1"/>
    <x v="24"/>
    <x v="1"/>
    <s v="Cash"/>
    <s v="Completed"/>
    <n v="6"/>
    <n v="539.04999999999995"/>
    <n v="0.1"/>
    <x v="0"/>
    <s v="TH"/>
    <n v="7.0000000000000007E-2"/>
    <n v="45000"/>
    <n v="3234.2999999999997"/>
    <n v="323.43"/>
    <n v="2910.87"/>
    <n v="480"/>
    <n v="2430.87"/>
    <x v="2"/>
    <n v="2"/>
    <n v="2024"/>
  </r>
  <r>
    <s v="ORD-202475776"/>
    <s v="2024-03-12 14:10"/>
    <s v="Frank Campbell MD"/>
    <s v="ashleewashington@example.com"/>
    <x v="1"/>
    <x v="3"/>
    <x v="10"/>
    <x v="3"/>
    <s v="Debit Card"/>
    <s v="Cancelled"/>
    <n v="4"/>
    <n v="970.56"/>
    <n v="0"/>
    <x v="0"/>
    <s v="TH"/>
    <n v="7.0000000000000007E-2"/>
    <n v="50000"/>
    <n v="3882.24"/>
    <n v="0"/>
    <n v="3882.24"/>
    <n v="1800"/>
    <n v="2082.2399999999998"/>
    <x v="7"/>
    <n v="1"/>
    <n v="2024"/>
  </r>
  <r>
    <s v="ORD-202488908"/>
    <s v="2024-03-01 21:14"/>
    <s v="Pamela Williams"/>
    <s v="ksmith@example.com"/>
    <x v="8"/>
    <x v="4"/>
    <x v="16"/>
    <x v="3"/>
    <s v="Cash"/>
    <s v="Pending"/>
    <n v="8"/>
    <n v="730.05"/>
    <n v="0.1"/>
    <x v="3"/>
    <s v="JP"/>
    <n v="0.1"/>
    <n v="30000"/>
    <n v="5840.4"/>
    <n v="584.04"/>
    <n v="5256.36"/>
    <n v="1600"/>
    <n v="3656.3599999999997"/>
    <x v="7"/>
    <n v="1"/>
    <n v="2024"/>
  </r>
  <r>
    <s v="ORD-202494837"/>
    <s v="2024-07-29 00:15"/>
    <s v="William Patterson"/>
    <s v="nicoleturner@example.com"/>
    <x v="3"/>
    <x v="0"/>
    <x v="12"/>
    <x v="0"/>
    <s v="Cash"/>
    <s v="Pending"/>
    <n v="3"/>
    <n v="894.64"/>
    <n v="0.2"/>
    <x v="0"/>
    <s v="ID"/>
    <n v="0.11"/>
    <n v="40000"/>
    <n v="2683.92"/>
    <n v="536.78399999999999"/>
    <n v="2147.136"/>
    <n v="360"/>
    <n v="1787.136"/>
    <x v="3"/>
    <n v="3"/>
    <n v="2024"/>
  </r>
  <r>
    <s v="ORD-202417328"/>
    <s v="2024-03-26 08:59"/>
    <s v="Isaac Miller"/>
    <s v="brettgarrett@example.net"/>
    <x v="2"/>
    <x v="1"/>
    <x v="24"/>
    <x v="0"/>
    <s v="E-Wallet"/>
    <s v="Completed"/>
    <n v="10"/>
    <n v="905.05"/>
    <n v="0.2"/>
    <x v="0"/>
    <s v="SG"/>
    <n v="7.0000000000000007E-2"/>
    <n v="45000"/>
    <n v="9050.5"/>
    <n v="1810.1000000000001"/>
    <n v="7240.4"/>
    <n v="800"/>
    <n v="6440.4"/>
    <x v="7"/>
    <n v="1"/>
    <n v="2024"/>
  </r>
  <r>
    <s v="ORD-202438389"/>
    <s v="2024-08-17 19:30"/>
    <s v="Cynthia Rios"/>
    <s v="smiththomas@example.org"/>
    <x v="9"/>
    <x v="0"/>
    <x v="0"/>
    <x v="3"/>
    <s v="Cash"/>
    <s v="Cancelled"/>
    <n v="10"/>
    <n v="1248.0899999999999"/>
    <n v="0"/>
    <x v="3"/>
    <s v="KR"/>
    <n v="0.1"/>
    <n v="40000"/>
    <n v="12480.9"/>
    <n v="0"/>
    <n v="12480.9"/>
    <n v="1200"/>
    <n v="11280.9"/>
    <x v="5"/>
    <n v="3"/>
    <n v="2024"/>
  </r>
  <r>
    <s v="ORD-202431983"/>
    <s v="2024-12-17 10:59"/>
    <s v="Kelly Wallace"/>
    <s v="dominguezlisa@example.com"/>
    <x v="9"/>
    <x v="1"/>
    <x v="1"/>
    <x v="3"/>
    <s v="Credit Card"/>
    <s v="Completed"/>
    <n v="7"/>
    <n v="117.23"/>
    <n v="0.1"/>
    <x v="3"/>
    <s v="KR"/>
    <n v="0.1"/>
    <n v="45000"/>
    <n v="820.61"/>
    <n v="82.061000000000007"/>
    <n v="738.54899999999998"/>
    <n v="560"/>
    <n v="178.54899999999998"/>
    <x v="10"/>
    <n v="4"/>
    <n v="2024"/>
  </r>
  <r>
    <s v="ORD-202436522"/>
    <s v="2024-09-24 16:43"/>
    <s v="Karen Perez"/>
    <s v="crosscurtis@example.com"/>
    <x v="8"/>
    <x v="0"/>
    <x v="12"/>
    <x v="0"/>
    <s v="Cash"/>
    <s v="Completed"/>
    <n v="8"/>
    <n v="158"/>
    <n v="0.15"/>
    <x v="3"/>
    <s v="JP"/>
    <n v="0.1"/>
    <n v="40000"/>
    <n v="1264"/>
    <n v="189.6"/>
    <n v="1074.4000000000001"/>
    <n v="960"/>
    <n v="114.40000000000009"/>
    <x v="6"/>
    <n v="3"/>
    <n v="2024"/>
  </r>
  <r>
    <s v="ORD-202422214"/>
    <s v="2024-09-03 21:08"/>
    <s v="Edwin Reyes"/>
    <s v="darlenebyrd@example.org"/>
    <x v="6"/>
    <x v="1"/>
    <x v="13"/>
    <x v="1"/>
    <s v="E-Wallet"/>
    <s v="Completed"/>
    <n v="7"/>
    <n v="1347"/>
    <n v="0.15"/>
    <x v="2"/>
    <s v="IN"/>
    <n v="0.18"/>
    <n v="45000"/>
    <n v="9429"/>
    <n v="1414.35"/>
    <n v="8014.65"/>
    <n v="560"/>
    <n v="7454.65"/>
    <x v="6"/>
    <n v="3"/>
    <n v="2024"/>
  </r>
  <r>
    <s v="ORD-202479444"/>
    <s v="2024-08-07 07:51"/>
    <s v="Alejandra Santos"/>
    <s v="nbell@example.net"/>
    <x v="9"/>
    <x v="2"/>
    <x v="2"/>
    <x v="1"/>
    <s v="Debit Card"/>
    <s v="Cancelled"/>
    <n v="10"/>
    <n v="889.74"/>
    <n v="0"/>
    <x v="3"/>
    <s v="KR"/>
    <n v="0.1"/>
    <n v="35000"/>
    <n v="8897.4"/>
    <n v="0"/>
    <n v="8897.4"/>
    <n v="1500"/>
    <n v="7397.4"/>
    <x v="5"/>
    <n v="3"/>
    <n v="2024"/>
  </r>
  <r>
    <s v="ORD-202472539"/>
    <s v="2024-04-29 02:18"/>
    <s v="Tamara Jensen"/>
    <s v="fheath@example.org"/>
    <x v="6"/>
    <x v="1"/>
    <x v="24"/>
    <x v="0"/>
    <s v="Cash"/>
    <s v="Completed"/>
    <n v="1"/>
    <n v="397.84"/>
    <n v="0.2"/>
    <x v="2"/>
    <s v="IN"/>
    <n v="0.18"/>
    <n v="45000"/>
    <n v="397.84"/>
    <n v="79.567999999999998"/>
    <n v="318.27199999999999"/>
    <n v="80"/>
    <n v="238.27199999999999"/>
    <x v="4"/>
    <n v="2"/>
    <n v="2024"/>
  </r>
  <r>
    <s v="ORD-202478126"/>
    <s v="2024-01-04 12:41"/>
    <s v="Bryce Blair"/>
    <s v="sylvia52@example.org"/>
    <x v="1"/>
    <x v="4"/>
    <x v="19"/>
    <x v="2"/>
    <s v="E-Wallet"/>
    <s v="Returned"/>
    <n v="3"/>
    <n v="552.97"/>
    <n v="0.1"/>
    <x v="0"/>
    <s v="TH"/>
    <n v="7.0000000000000007E-2"/>
    <n v="30000"/>
    <n v="1658.91"/>
    <n v="165.89100000000002"/>
    <n v="1493.019"/>
    <n v="600"/>
    <n v="893.01900000000001"/>
    <x v="1"/>
    <n v="1"/>
    <n v="2024"/>
  </r>
  <r>
    <s v="ORD-202484012"/>
    <s v="2024-07-06 19:17"/>
    <s v="Bradley Tran"/>
    <s v="kimberly04@example.org"/>
    <x v="8"/>
    <x v="0"/>
    <x v="15"/>
    <x v="3"/>
    <s v="E-Wallet"/>
    <s v="Returned"/>
    <n v="9"/>
    <n v="834.88"/>
    <n v="0.1"/>
    <x v="3"/>
    <s v="JP"/>
    <n v="0.1"/>
    <n v="40000"/>
    <n v="7513.92"/>
    <n v="751.39200000000005"/>
    <n v="6762.5280000000002"/>
    <n v="1080"/>
    <n v="5682.5280000000002"/>
    <x v="3"/>
    <n v="3"/>
    <n v="2024"/>
  </r>
  <r>
    <s v="ORD-202443263"/>
    <s v="2024-06-06 18:22"/>
    <s v="Katrina Adkins"/>
    <s v="debbie37@example.com"/>
    <x v="8"/>
    <x v="0"/>
    <x v="20"/>
    <x v="3"/>
    <s v="Credit Card"/>
    <s v="Pending"/>
    <n v="8"/>
    <n v="1125.5"/>
    <n v="0.2"/>
    <x v="3"/>
    <s v="JP"/>
    <n v="0.1"/>
    <n v="40000"/>
    <n v="9004"/>
    <n v="1800.8000000000002"/>
    <n v="7203.2"/>
    <n v="960"/>
    <n v="6243.2"/>
    <x v="8"/>
    <n v="2"/>
    <n v="2024"/>
  </r>
  <r>
    <s v="ORD-202476629"/>
    <s v="2024-07-24 10:51"/>
    <s v="Jonathan Wheeler"/>
    <s v="hatfieldsarah@example.org"/>
    <x v="5"/>
    <x v="1"/>
    <x v="13"/>
    <x v="3"/>
    <s v="Bank Transfer"/>
    <s v="Returned"/>
    <n v="1"/>
    <n v="253.7"/>
    <n v="0"/>
    <x v="1"/>
    <s v="AU"/>
    <n v="0.1"/>
    <n v="45000"/>
    <n v="253.7"/>
    <n v="0"/>
    <n v="253.7"/>
    <n v="80"/>
    <n v="173.7"/>
    <x v="3"/>
    <n v="3"/>
    <n v="2024"/>
  </r>
  <r>
    <s v="ORD-202421552"/>
    <s v="2024-02-02 08:14"/>
    <s v="Ryan Fisher"/>
    <s v="kathrynbest@example.org"/>
    <x v="4"/>
    <x v="3"/>
    <x v="10"/>
    <x v="2"/>
    <s v="Cash"/>
    <s v="Completed"/>
    <n v="7"/>
    <n v="71.069999999999993"/>
    <n v="0.1"/>
    <x v="0"/>
    <s v="PH"/>
    <n v="0.12"/>
    <n v="50000"/>
    <n v="497.48999999999995"/>
    <n v="49.748999999999995"/>
    <n v="447.74099999999999"/>
    <n v="3150"/>
    <n v="-2702.259"/>
    <x v="0"/>
    <n v="1"/>
    <n v="2024"/>
  </r>
  <r>
    <s v="ORD-202432973"/>
    <s v="2024-11-23 15:28"/>
    <s v="Austin Baker"/>
    <s v="livingstonstacy@example.com"/>
    <x v="3"/>
    <x v="0"/>
    <x v="12"/>
    <x v="3"/>
    <s v="Cash"/>
    <s v="Pending"/>
    <n v="1"/>
    <n v="439.72"/>
    <n v="0.15"/>
    <x v="0"/>
    <s v="ID"/>
    <n v="0.11"/>
    <n v="40000"/>
    <n v="439.72"/>
    <n v="65.957999999999998"/>
    <n v="373.76200000000006"/>
    <n v="120"/>
    <n v="253.76200000000006"/>
    <x v="11"/>
    <n v="4"/>
    <n v="2024"/>
  </r>
  <r>
    <s v="ORD-202498345"/>
    <s v="2024-01-19 11:15"/>
    <s v="Lori Mason"/>
    <s v="zhenderson@example.org"/>
    <x v="3"/>
    <x v="0"/>
    <x v="20"/>
    <x v="1"/>
    <s v="Bank Transfer"/>
    <s v="Pending"/>
    <n v="7"/>
    <n v="1495.27"/>
    <n v="0.05"/>
    <x v="0"/>
    <s v="ID"/>
    <n v="0.11"/>
    <n v="40000"/>
    <n v="10466.89"/>
    <n v="523.34450000000004"/>
    <n v="9943.5455000000002"/>
    <n v="840"/>
    <n v="9103.5455000000002"/>
    <x v="1"/>
    <n v="1"/>
    <n v="2024"/>
  </r>
  <r>
    <s v="ORD-202477861"/>
    <s v="2024-01-08 23:45"/>
    <s v="Kimberly Hernandez"/>
    <s v="collinswilliam@example.org"/>
    <x v="7"/>
    <x v="3"/>
    <x v="10"/>
    <x v="2"/>
    <s v="E-Wallet"/>
    <s v="Cancelled"/>
    <n v="9"/>
    <n v="437.47"/>
    <n v="0.15"/>
    <x v="0"/>
    <s v="MY"/>
    <n v="0.06"/>
    <n v="50000"/>
    <n v="3937.2300000000005"/>
    <n v="590.58450000000005"/>
    <n v="3346.6455000000005"/>
    <n v="4050"/>
    <n v="-703.35449999999946"/>
    <x v="1"/>
    <n v="1"/>
    <n v="2024"/>
  </r>
  <r>
    <s v="ORD-202439661"/>
    <s v="2024-11-06 06:29"/>
    <s v="Brittney Murphy"/>
    <s v="collinssamuel@example.org"/>
    <x v="8"/>
    <x v="1"/>
    <x v="13"/>
    <x v="0"/>
    <s v="Cash"/>
    <s v="Completed"/>
    <n v="7"/>
    <n v="402.74"/>
    <n v="0.15"/>
    <x v="3"/>
    <s v="JP"/>
    <n v="0.1"/>
    <n v="45000"/>
    <n v="2819.1800000000003"/>
    <n v="422.87700000000001"/>
    <n v="2396.3030000000003"/>
    <n v="560"/>
    <n v="1836.3030000000003"/>
    <x v="11"/>
    <n v="4"/>
    <n v="2024"/>
  </r>
  <r>
    <s v="ORD-202475951"/>
    <s v="2024-05-30 10:07"/>
    <s v="Brandon Hamilton"/>
    <s v="dsalazar@example.com"/>
    <x v="5"/>
    <x v="4"/>
    <x v="6"/>
    <x v="1"/>
    <s v="Bank Transfer"/>
    <s v="Returned"/>
    <n v="10"/>
    <n v="1222.52"/>
    <n v="0.05"/>
    <x v="1"/>
    <s v="AU"/>
    <n v="0.1"/>
    <n v="30000"/>
    <n v="12225.2"/>
    <n v="611.2600000000001"/>
    <n v="11613.94"/>
    <n v="2000"/>
    <n v="9613.94"/>
    <x v="2"/>
    <n v="2"/>
    <n v="2024"/>
  </r>
  <r>
    <s v="ORD-202441886"/>
    <s v="2024-06-22 14:43"/>
    <s v="Mary Thompson"/>
    <s v="zimmermanjacqueline@example.org"/>
    <x v="9"/>
    <x v="1"/>
    <x v="13"/>
    <x v="1"/>
    <s v="Debit Card"/>
    <s v="Pending"/>
    <n v="5"/>
    <n v="730.73"/>
    <n v="0"/>
    <x v="3"/>
    <s v="KR"/>
    <n v="0.1"/>
    <n v="45000"/>
    <n v="3653.65"/>
    <n v="0"/>
    <n v="3653.65"/>
    <n v="400"/>
    <n v="3253.65"/>
    <x v="8"/>
    <n v="2"/>
    <n v="2024"/>
  </r>
  <r>
    <s v="ORD-202451383"/>
    <s v="2024-07-30 11:33"/>
    <s v="Gregory Holmes PhD"/>
    <s v="gary24@example.net"/>
    <x v="5"/>
    <x v="3"/>
    <x v="14"/>
    <x v="2"/>
    <s v="Credit Card"/>
    <s v="Pending"/>
    <n v="2"/>
    <n v="383.66"/>
    <n v="0.1"/>
    <x v="1"/>
    <s v="AU"/>
    <n v="0.1"/>
    <n v="50000"/>
    <n v="767.32"/>
    <n v="76.732000000000014"/>
    <n v="690.58800000000008"/>
    <n v="900"/>
    <n v="-209.41199999999992"/>
    <x v="3"/>
    <n v="3"/>
    <n v="2024"/>
  </r>
  <r>
    <s v="ORD-202472463"/>
    <s v="2024-06-09 11:13"/>
    <s v="Patricia Johnson"/>
    <s v="enelson@example.com"/>
    <x v="6"/>
    <x v="4"/>
    <x v="5"/>
    <x v="3"/>
    <s v="Debit Card"/>
    <s v="Pending"/>
    <n v="4"/>
    <n v="1421.47"/>
    <n v="0.1"/>
    <x v="2"/>
    <s v="IN"/>
    <n v="0.18"/>
    <n v="30000"/>
    <n v="5685.88"/>
    <n v="568.58800000000008"/>
    <n v="5117.2920000000004"/>
    <n v="800"/>
    <n v="4317.2920000000004"/>
    <x v="8"/>
    <n v="2"/>
    <n v="2024"/>
  </r>
  <r>
    <s v="ORD-202444787"/>
    <s v="2024-04-15 07:12"/>
    <s v="Laura Jones"/>
    <s v="ddixon@example.com"/>
    <x v="1"/>
    <x v="1"/>
    <x v="22"/>
    <x v="0"/>
    <s v="Bank Transfer"/>
    <s v="Completed"/>
    <n v="2"/>
    <n v="246.65"/>
    <n v="0"/>
    <x v="0"/>
    <s v="TH"/>
    <n v="7.0000000000000007E-2"/>
    <n v="45000"/>
    <n v="493.3"/>
    <n v="0"/>
    <n v="493.3"/>
    <n v="160"/>
    <n v="333.3"/>
    <x v="4"/>
    <n v="2"/>
    <n v="2024"/>
  </r>
  <r>
    <s v="ORD-202480972"/>
    <s v="2024-01-22 15:23"/>
    <s v="Carol Moore"/>
    <s v="shannonemily@example.org"/>
    <x v="6"/>
    <x v="4"/>
    <x v="19"/>
    <x v="1"/>
    <s v="Debit Card"/>
    <s v="Cancelled"/>
    <n v="10"/>
    <n v="1348.71"/>
    <n v="0.05"/>
    <x v="2"/>
    <s v="IN"/>
    <n v="0.18"/>
    <n v="30000"/>
    <n v="13487.1"/>
    <n v="674.35500000000002"/>
    <n v="12812.745000000001"/>
    <n v="2000"/>
    <n v="10812.745000000001"/>
    <x v="1"/>
    <n v="1"/>
    <n v="2024"/>
  </r>
  <r>
    <s v="ORD-202462150"/>
    <s v="2024-04-23 18:08"/>
    <s v="Jordan Williams"/>
    <s v="sanchezthomas@example.com"/>
    <x v="3"/>
    <x v="1"/>
    <x v="24"/>
    <x v="2"/>
    <s v="Bank Transfer"/>
    <s v="Pending"/>
    <n v="9"/>
    <n v="725.31"/>
    <n v="0"/>
    <x v="0"/>
    <s v="ID"/>
    <n v="0.11"/>
    <n v="45000"/>
    <n v="6527.7899999999991"/>
    <n v="0"/>
    <n v="6527.7899999999991"/>
    <n v="720"/>
    <n v="5807.7899999999991"/>
    <x v="4"/>
    <n v="2"/>
    <n v="2024"/>
  </r>
  <r>
    <s v="ORD-202469925"/>
    <s v="2024-03-02 22:33"/>
    <s v="Cassidy Horne"/>
    <s v="tranrobin@example.net"/>
    <x v="9"/>
    <x v="4"/>
    <x v="16"/>
    <x v="0"/>
    <s v="E-Wallet"/>
    <s v="Cancelled"/>
    <n v="4"/>
    <n v="32.549999999999997"/>
    <n v="0.1"/>
    <x v="3"/>
    <s v="KR"/>
    <n v="0.1"/>
    <n v="30000"/>
    <n v="130.19999999999999"/>
    <n v="13.02"/>
    <n v="117.17999999999999"/>
    <n v="800"/>
    <n v="-682.82"/>
    <x v="7"/>
    <n v="1"/>
    <n v="2024"/>
  </r>
  <r>
    <s v="ORD-202490318"/>
    <s v="2024-05-12 05:35"/>
    <s v="Courtney Wright"/>
    <s v="joseph19@example.com"/>
    <x v="0"/>
    <x v="0"/>
    <x v="4"/>
    <x v="2"/>
    <s v="Debit Card"/>
    <s v="Returned"/>
    <n v="10"/>
    <n v="714.95"/>
    <n v="0.05"/>
    <x v="0"/>
    <s v="VN"/>
    <n v="0.1"/>
    <n v="40000"/>
    <n v="7149.5"/>
    <n v="357.47500000000002"/>
    <n v="6792.0249999999996"/>
    <n v="1200"/>
    <n v="5592.0249999999996"/>
    <x v="2"/>
    <n v="2"/>
    <n v="2024"/>
  </r>
  <r>
    <s v="ORD-202465567"/>
    <s v="2024-04-17 13:44"/>
    <s v="Michael Williams"/>
    <s v="lindajarvis@example.com"/>
    <x v="4"/>
    <x v="4"/>
    <x v="19"/>
    <x v="3"/>
    <s v="Cash"/>
    <s v="Pending"/>
    <n v="3"/>
    <n v="430.25"/>
    <n v="0.15"/>
    <x v="0"/>
    <s v="PH"/>
    <n v="0.12"/>
    <n v="30000"/>
    <n v="1290.75"/>
    <n v="193.61249999999998"/>
    <n v="1097.1375"/>
    <n v="600"/>
    <n v="497.13750000000005"/>
    <x v="4"/>
    <n v="2"/>
    <n v="2024"/>
  </r>
  <r>
    <s v="ORD-202423090"/>
    <s v="2024-05-18 07:35"/>
    <s v="John Campbell"/>
    <s v="mark87@example.org"/>
    <x v="8"/>
    <x v="2"/>
    <x v="21"/>
    <x v="0"/>
    <s v="Debit Card"/>
    <s v="Returned"/>
    <n v="3"/>
    <n v="231.58"/>
    <n v="0.1"/>
    <x v="3"/>
    <s v="JP"/>
    <n v="0.1"/>
    <n v="35000"/>
    <n v="694.74"/>
    <n v="69.474000000000004"/>
    <n v="625.26599999999996"/>
    <n v="450"/>
    <n v="175.26599999999996"/>
    <x v="2"/>
    <n v="2"/>
    <n v="2024"/>
  </r>
  <r>
    <s v="ORD-202475483"/>
    <s v="2024-03-09 20:33"/>
    <s v="Eddie Mueller"/>
    <s v="stevenvargas@example.com"/>
    <x v="5"/>
    <x v="4"/>
    <x v="19"/>
    <x v="0"/>
    <s v="Bank Transfer"/>
    <s v="Completed"/>
    <n v="9"/>
    <n v="460.55"/>
    <n v="0.15"/>
    <x v="1"/>
    <s v="AU"/>
    <n v="0.1"/>
    <n v="30000"/>
    <n v="4144.95"/>
    <n v="621.74249999999995"/>
    <n v="3523.2075"/>
    <n v="1800"/>
    <n v="1723.2075"/>
    <x v="7"/>
    <n v="1"/>
    <n v="2024"/>
  </r>
  <r>
    <s v="ORD-202431409"/>
    <s v="2024-01-31 06:52"/>
    <s v="Dr. Morgan Payne PhD"/>
    <s v="adamortiz@example.org"/>
    <x v="0"/>
    <x v="2"/>
    <x v="11"/>
    <x v="2"/>
    <s v="E-Wallet"/>
    <s v="Cancelled"/>
    <n v="6"/>
    <n v="683.03"/>
    <n v="0.05"/>
    <x v="0"/>
    <s v="VN"/>
    <n v="0.1"/>
    <n v="35000"/>
    <n v="4098.18"/>
    <n v="204.90900000000002"/>
    <n v="3893.2710000000002"/>
    <n v="900"/>
    <n v="2993.2710000000002"/>
    <x v="1"/>
    <n v="1"/>
    <n v="2024"/>
  </r>
  <r>
    <s v="ORD-202455107"/>
    <s v="2024-01-11 13:07"/>
    <s v="Makayla Steele"/>
    <s v="tapiaaaron@example.net"/>
    <x v="4"/>
    <x v="1"/>
    <x v="9"/>
    <x v="2"/>
    <s v="E-Wallet"/>
    <s v="Cancelled"/>
    <n v="9"/>
    <n v="871.63"/>
    <n v="0"/>
    <x v="0"/>
    <s v="PH"/>
    <n v="0.12"/>
    <n v="45000"/>
    <n v="7844.67"/>
    <n v="0"/>
    <n v="7844.67"/>
    <n v="720"/>
    <n v="7124.67"/>
    <x v="1"/>
    <n v="1"/>
    <n v="2024"/>
  </r>
  <r>
    <s v="ORD-202498236"/>
    <s v="2024-09-18 15:49"/>
    <s v="Oscar Parker"/>
    <s v="alyssaallen@example.com"/>
    <x v="9"/>
    <x v="3"/>
    <x v="3"/>
    <x v="3"/>
    <s v="Debit Card"/>
    <s v="Cancelled"/>
    <n v="8"/>
    <n v="926.29"/>
    <n v="0.2"/>
    <x v="3"/>
    <s v="KR"/>
    <n v="0.1"/>
    <n v="50000"/>
    <n v="7410.32"/>
    <n v="1482.0640000000001"/>
    <n v="5928.2559999999994"/>
    <n v="3600"/>
    <n v="2328.2559999999994"/>
    <x v="6"/>
    <n v="3"/>
    <n v="2024"/>
  </r>
  <r>
    <s v="ORD-202465288"/>
    <s v="2024-11-19 19:36"/>
    <s v="Valerie Thomas"/>
    <s v="christopher38@example.com"/>
    <x v="8"/>
    <x v="3"/>
    <x v="8"/>
    <x v="2"/>
    <s v="E-Wallet"/>
    <s v="Cancelled"/>
    <n v="4"/>
    <n v="255.57"/>
    <n v="0.05"/>
    <x v="3"/>
    <s v="JP"/>
    <n v="0.1"/>
    <n v="50000"/>
    <n v="1022.28"/>
    <n v="51.114000000000004"/>
    <n v="971.16599999999994"/>
    <n v="1800"/>
    <n v="-828.83400000000006"/>
    <x v="11"/>
    <n v="4"/>
    <n v="2024"/>
  </r>
  <r>
    <s v="ORD-202489349"/>
    <s v="2024-11-26 12:17"/>
    <s v="Jacqueline Villegas"/>
    <s v="carpenterwilliam@example.net"/>
    <x v="9"/>
    <x v="4"/>
    <x v="6"/>
    <x v="3"/>
    <s v="Debit Card"/>
    <s v="Completed"/>
    <n v="8"/>
    <n v="788.59"/>
    <n v="0.1"/>
    <x v="3"/>
    <s v="KR"/>
    <n v="0.1"/>
    <n v="30000"/>
    <n v="6308.72"/>
    <n v="630.87200000000007"/>
    <n v="5677.848"/>
    <n v="1600"/>
    <n v="4077.848"/>
    <x v="11"/>
    <n v="4"/>
    <n v="2024"/>
  </r>
  <r>
    <s v="ORD-202426389"/>
    <s v="2024-04-30 21:16"/>
    <s v="Angela Bradley"/>
    <s v="ibates@example.org"/>
    <x v="7"/>
    <x v="0"/>
    <x v="0"/>
    <x v="1"/>
    <s v="Cash"/>
    <s v="Completed"/>
    <n v="2"/>
    <n v="604.61"/>
    <n v="0"/>
    <x v="0"/>
    <s v="MY"/>
    <n v="0.06"/>
    <n v="40000"/>
    <n v="1209.22"/>
    <n v="0"/>
    <n v="1209.22"/>
    <n v="240"/>
    <n v="969.22"/>
    <x v="4"/>
    <n v="2"/>
    <n v="2024"/>
  </r>
  <r>
    <s v="ORD-202413455"/>
    <s v="2024-07-22 16:48"/>
    <s v="Samuel Howe"/>
    <s v="vhaynes@example.com"/>
    <x v="7"/>
    <x v="3"/>
    <x v="14"/>
    <x v="1"/>
    <s v="E-Wallet"/>
    <s v="Pending"/>
    <n v="2"/>
    <n v="932.88"/>
    <n v="0.2"/>
    <x v="0"/>
    <s v="MY"/>
    <n v="0.06"/>
    <n v="50000"/>
    <n v="1865.76"/>
    <n v="373.15200000000004"/>
    <n v="1492.6079999999999"/>
    <n v="900"/>
    <n v="592.60799999999995"/>
    <x v="3"/>
    <n v="3"/>
    <n v="2024"/>
  </r>
  <r>
    <s v="ORD-202442426"/>
    <s v="2024-05-25 14:40"/>
    <s v="Dillon Jones"/>
    <s v="derekcarrillo@example.org"/>
    <x v="2"/>
    <x v="0"/>
    <x v="12"/>
    <x v="2"/>
    <s v="E-Wallet"/>
    <s v="Returned"/>
    <n v="1"/>
    <n v="1260.2"/>
    <n v="0"/>
    <x v="0"/>
    <s v="SG"/>
    <n v="7.0000000000000007E-2"/>
    <n v="40000"/>
    <n v="1260.2"/>
    <n v="0"/>
    <n v="1260.2"/>
    <n v="120"/>
    <n v="1140.2"/>
    <x v="2"/>
    <n v="2"/>
    <n v="2024"/>
  </r>
  <r>
    <s v="ORD-202471235"/>
    <s v="2024-10-03 08:35"/>
    <s v="Christopher Owens"/>
    <s v="wmartinez@example.org"/>
    <x v="9"/>
    <x v="0"/>
    <x v="12"/>
    <x v="1"/>
    <s v="Cash"/>
    <s v="Cancelled"/>
    <n v="10"/>
    <n v="277.89999999999998"/>
    <n v="0.1"/>
    <x v="3"/>
    <s v="KR"/>
    <n v="0.1"/>
    <n v="40000"/>
    <n v="2779"/>
    <n v="277.90000000000003"/>
    <n v="2501.1"/>
    <n v="1200"/>
    <n v="1301.0999999999999"/>
    <x v="9"/>
    <n v="4"/>
    <n v="2024"/>
  </r>
  <r>
    <s v="ORD-202455504"/>
    <s v="2024-09-03 17:14"/>
    <s v="John Phelps"/>
    <s v="mooregina@example.net"/>
    <x v="7"/>
    <x v="2"/>
    <x v="2"/>
    <x v="2"/>
    <s v="Credit Card"/>
    <s v="Completed"/>
    <n v="5"/>
    <n v="558.19000000000005"/>
    <n v="0"/>
    <x v="0"/>
    <s v="MY"/>
    <n v="0.06"/>
    <n v="35000"/>
    <n v="2790.9500000000003"/>
    <n v="0"/>
    <n v="2790.9500000000003"/>
    <n v="750"/>
    <n v="2040.9500000000003"/>
    <x v="6"/>
    <n v="3"/>
    <n v="2024"/>
  </r>
  <r>
    <s v="ORD-202478592"/>
    <s v="2024-03-10 11:18"/>
    <s v="Amanda Huff"/>
    <s v="eddie35@example.com"/>
    <x v="9"/>
    <x v="1"/>
    <x v="13"/>
    <x v="2"/>
    <s v="Credit Card"/>
    <s v="Returned"/>
    <n v="8"/>
    <n v="1036.3399999999999"/>
    <n v="0.1"/>
    <x v="3"/>
    <s v="KR"/>
    <n v="0.1"/>
    <n v="45000"/>
    <n v="8290.7199999999993"/>
    <n v="829.072"/>
    <n v="7461.6479999999992"/>
    <n v="640"/>
    <n v="6821.6479999999992"/>
    <x v="7"/>
    <n v="1"/>
    <n v="2024"/>
  </r>
  <r>
    <s v="ORD-202448393"/>
    <s v="2024-11-01 07:50"/>
    <s v="Megan Green"/>
    <s v="anthonysullivan@example.com"/>
    <x v="3"/>
    <x v="1"/>
    <x v="22"/>
    <x v="1"/>
    <s v="Debit Card"/>
    <s v="Pending"/>
    <n v="9"/>
    <n v="295.02999999999997"/>
    <n v="0.1"/>
    <x v="0"/>
    <s v="ID"/>
    <n v="0.11"/>
    <n v="45000"/>
    <n v="2655.2699999999995"/>
    <n v="265.52699999999999"/>
    <n v="2389.7429999999995"/>
    <n v="720"/>
    <n v="1669.7429999999995"/>
    <x v="11"/>
    <n v="4"/>
    <n v="2024"/>
  </r>
  <r>
    <s v="ORD-202494671"/>
    <s v="2024-07-18 12:14"/>
    <s v="Krista Davis"/>
    <s v="laradonald@example.org"/>
    <x v="0"/>
    <x v="3"/>
    <x v="3"/>
    <x v="2"/>
    <s v="E-Wallet"/>
    <s v="Cancelled"/>
    <n v="9"/>
    <n v="943.6"/>
    <n v="0.15"/>
    <x v="0"/>
    <s v="VN"/>
    <n v="0.1"/>
    <n v="50000"/>
    <n v="8492.4"/>
    <n v="1273.8599999999999"/>
    <n v="7218.54"/>
    <n v="4050"/>
    <n v="3168.54"/>
    <x v="3"/>
    <n v="3"/>
    <n v="2024"/>
  </r>
  <r>
    <s v="ORD-202464120"/>
    <s v="2024-04-06 02:11"/>
    <s v="Richard Walker"/>
    <s v="madisonwatson@example.net"/>
    <x v="2"/>
    <x v="4"/>
    <x v="16"/>
    <x v="2"/>
    <s v="Cash"/>
    <s v="Returned"/>
    <n v="10"/>
    <n v="960.79"/>
    <n v="0.1"/>
    <x v="0"/>
    <s v="SG"/>
    <n v="7.0000000000000007E-2"/>
    <n v="30000"/>
    <n v="9607.9"/>
    <n v="960.79"/>
    <n v="8647.11"/>
    <n v="2000"/>
    <n v="6647.1100000000006"/>
    <x v="4"/>
    <n v="2"/>
    <n v="2024"/>
  </r>
  <r>
    <s v="ORD-202434613"/>
    <s v="2024-06-13 00:09"/>
    <s v="Angela Willis"/>
    <s v="johnsoncaleb@example.net"/>
    <x v="3"/>
    <x v="1"/>
    <x v="13"/>
    <x v="2"/>
    <s v="Debit Card"/>
    <s v="Returned"/>
    <n v="2"/>
    <n v="291.12"/>
    <n v="0.05"/>
    <x v="0"/>
    <s v="ID"/>
    <n v="0.11"/>
    <n v="45000"/>
    <n v="582.24"/>
    <n v="29.112000000000002"/>
    <n v="553.12800000000004"/>
    <n v="160"/>
    <n v="393.12800000000004"/>
    <x v="8"/>
    <n v="2"/>
    <n v="2024"/>
  </r>
  <r>
    <s v="ORD-202411075"/>
    <s v="2024-04-29 02:09"/>
    <s v="Carl Stein"/>
    <s v="david70@example.org"/>
    <x v="3"/>
    <x v="2"/>
    <x v="21"/>
    <x v="2"/>
    <s v="Bank Transfer"/>
    <s v="Completed"/>
    <n v="5"/>
    <n v="522.74"/>
    <n v="0.1"/>
    <x v="0"/>
    <s v="ID"/>
    <n v="0.11"/>
    <n v="35000"/>
    <n v="2613.6999999999998"/>
    <n v="261.37"/>
    <n v="2352.33"/>
    <n v="750"/>
    <n v="1602.33"/>
    <x v="4"/>
    <n v="2"/>
    <n v="2024"/>
  </r>
  <r>
    <s v="ORD-202453286"/>
    <s v="2024-02-11 04:03"/>
    <s v="Jessica Ramsey"/>
    <s v="rjohnson@example.com"/>
    <x v="0"/>
    <x v="2"/>
    <x v="11"/>
    <x v="2"/>
    <s v="Bank Transfer"/>
    <s v="Completed"/>
    <n v="3"/>
    <n v="821.64"/>
    <n v="0"/>
    <x v="0"/>
    <s v="VN"/>
    <n v="0.1"/>
    <n v="35000"/>
    <n v="2464.92"/>
    <n v="0"/>
    <n v="2464.92"/>
    <n v="450"/>
    <n v="2014.92"/>
    <x v="0"/>
    <n v="1"/>
    <n v="2024"/>
  </r>
  <r>
    <s v="ORD-202425985"/>
    <s v="2024-05-07 12:49"/>
    <s v="Daniel Lopez"/>
    <s v="sean20@example.net"/>
    <x v="9"/>
    <x v="0"/>
    <x v="20"/>
    <x v="3"/>
    <s v="Bank Transfer"/>
    <s v="Returned"/>
    <n v="2"/>
    <n v="310.77999999999997"/>
    <n v="0.15"/>
    <x v="3"/>
    <s v="KR"/>
    <n v="0.1"/>
    <n v="40000"/>
    <n v="621.55999999999995"/>
    <n v="93.233999999999995"/>
    <n v="528.32599999999991"/>
    <n v="240"/>
    <n v="288.32599999999991"/>
    <x v="2"/>
    <n v="2"/>
    <n v="2024"/>
  </r>
  <r>
    <s v="ORD-202499318"/>
    <s v="2024-06-08 10:10"/>
    <s v="Danielle Phillips"/>
    <s v="eandrade@example.org"/>
    <x v="3"/>
    <x v="1"/>
    <x v="1"/>
    <x v="2"/>
    <s v="Debit Card"/>
    <s v="Cancelled"/>
    <n v="8"/>
    <n v="196.38"/>
    <n v="0.2"/>
    <x v="0"/>
    <s v="ID"/>
    <n v="0.11"/>
    <n v="45000"/>
    <n v="1571.04"/>
    <n v="314.20800000000003"/>
    <n v="1256.8319999999999"/>
    <n v="640"/>
    <n v="616.83199999999988"/>
    <x v="8"/>
    <n v="2"/>
    <n v="2024"/>
  </r>
  <r>
    <s v="ORD-202416827"/>
    <s v="2024-12-07 06:07"/>
    <s v="James Barnes"/>
    <s v="crystalpham@example.org"/>
    <x v="1"/>
    <x v="2"/>
    <x v="2"/>
    <x v="0"/>
    <s v="Bank Transfer"/>
    <s v="Pending"/>
    <n v="5"/>
    <n v="37.380000000000003"/>
    <n v="0.15"/>
    <x v="0"/>
    <s v="TH"/>
    <n v="7.0000000000000007E-2"/>
    <n v="35000"/>
    <n v="186.9"/>
    <n v="28.035"/>
    <n v="158.86500000000001"/>
    <n v="750"/>
    <n v="-591.13499999999999"/>
    <x v="10"/>
    <n v="4"/>
    <n v="2024"/>
  </r>
  <r>
    <s v="ORD-202411170"/>
    <s v="2024-01-22 18:50"/>
    <s v="Rachael Howard DDS"/>
    <s v="kcooper@example.net"/>
    <x v="9"/>
    <x v="1"/>
    <x v="9"/>
    <x v="3"/>
    <s v="Bank Transfer"/>
    <s v="Completed"/>
    <n v="2"/>
    <n v="566.53"/>
    <n v="0"/>
    <x v="3"/>
    <s v="KR"/>
    <n v="0.1"/>
    <n v="45000"/>
    <n v="1133.06"/>
    <n v="0"/>
    <n v="1133.06"/>
    <n v="160"/>
    <n v="973.06"/>
    <x v="1"/>
    <n v="1"/>
    <n v="2024"/>
  </r>
  <r>
    <s v="ORD-202499908"/>
    <s v="2024-11-12 10:59"/>
    <s v="Devin Johnson"/>
    <s v="anthonycochran@example.com"/>
    <x v="3"/>
    <x v="3"/>
    <x v="14"/>
    <x v="3"/>
    <s v="Bank Transfer"/>
    <s v="Pending"/>
    <n v="9"/>
    <n v="972.19"/>
    <n v="0"/>
    <x v="0"/>
    <s v="ID"/>
    <n v="0.11"/>
    <n v="50000"/>
    <n v="8749.7100000000009"/>
    <n v="0"/>
    <n v="8749.7100000000009"/>
    <n v="4050"/>
    <n v="4699.7100000000009"/>
    <x v="11"/>
    <n v="4"/>
    <n v="2024"/>
  </r>
  <r>
    <s v="ORD-202451515"/>
    <s v="2024-10-12 20:48"/>
    <s v="William Moreno"/>
    <s v="terrigarcia@example.net"/>
    <x v="4"/>
    <x v="2"/>
    <x v="21"/>
    <x v="3"/>
    <s v="E-Wallet"/>
    <s v="Completed"/>
    <n v="7"/>
    <n v="46.71"/>
    <n v="0.05"/>
    <x v="0"/>
    <s v="PH"/>
    <n v="0.12"/>
    <n v="35000"/>
    <n v="326.97000000000003"/>
    <n v="16.348500000000001"/>
    <n v="310.62150000000003"/>
    <n v="1050"/>
    <n v="-739.37850000000003"/>
    <x v="9"/>
    <n v="4"/>
    <n v="2024"/>
  </r>
  <r>
    <s v="ORD-202473609"/>
    <s v="2024-12-27 14:35"/>
    <s v="Joseph Moody"/>
    <s v="gallagherstacie@example.net"/>
    <x v="0"/>
    <x v="1"/>
    <x v="24"/>
    <x v="2"/>
    <s v="E-Wallet"/>
    <s v="Returned"/>
    <n v="3"/>
    <n v="296.82"/>
    <n v="0.15"/>
    <x v="0"/>
    <s v="VN"/>
    <n v="0.1"/>
    <n v="45000"/>
    <n v="890.46"/>
    <n v="133.56899999999999"/>
    <n v="756.89100000000008"/>
    <n v="240"/>
    <n v="516.89100000000008"/>
    <x v="10"/>
    <n v="4"/>
    <n v="2024"/>
  </r>
  <r>
    <s v="ORD-202446087"/>
    <s v="2024-11-02 17:10"/>
    <s v="Rebecca Kelly"/>
    <s v="gregorywatkins@example.net"/>
    <x v="7"/>
    <x v="1"/>
    <x v="9"/>
    <x v="2"/>
    <s v="Bank Transfer"/>
    <s v="Completed"/>
    <n v="5"/>
    <n v="682.34"/>
    <n v="0.15"/>
    <x v="0"/>
    <s v="MY"/>
    <n v="0.06"/>
    <n v="45000"/>
    <n v="3411.7000000000003"/>
    <n v="511.755"/>
    <n v="2899.9450000000002"/>
    <n v="400"/>
    <n v="2499.9450000000002"/>
    <x v="11"/>
    <n v="4"/>
    <n v="2024"/>
  </r>
  <r>
    <s v="ORD-202493627"/>
    <s v="2024-09-16 12:46"/>
    <s v="Suzanne Johnson"/>
    <s v="stacey92@example.net"/>
    <x v="2"/>
    <x v="3"/>
    <x v="10"/>
    <x v="2"/>
    <s v="Credit Card"/>
    <s v="Returned"/>
    <n v="10"/>
    <n v="1287.3900000000001"/>
    <n v="0"/>
    <x v="0"/>
    <s v="SG"/>
    <n v="7.0000000000000007E-2"/>
    <n v="50000"/>
    <n v="12873.900000000001"/>
    <n v="0"/>
    <n v="12873.900000000001"/>
    <n v="4500"/>
    <n v="8373.9000000000015"/>
    <x v="6"/>
    <n v="3"/>
    <n v="2024"/>
  </r>
  <r>
    <s v="ORD-202434886"/>
    <s v="2024-09-25 21:31"/>
    <s v="Sara Cochran"/>
    <s v="lweaver@example.com"/>
    <x v="5"/>
    <x v="0"/>
    <x v="12"/>
    <x v="2"/>
    <s v="Credit Card"/>
    <s v="Completed"/>
    <n v="7"/>
    <n v="435.45"/>
    <n v="0.2"/>
    <x v="1"/>
    <s v="AU"/>
    <n v="0.1"/>
    <n v="40000"/>
    <n v="3048.15"/>
    <n v="609.63"/>
    <n v="2438.52"/>
    <n v="840"/>
    <n v="1598.52"/>
    <x v="6"/>
    <n v="3"/>
    <n v="2024"/>
  </r>
  <r>
    <s v="ORD-202478576"/>
    <s v="2024-12-03 02:02"/>
    <s v="Anthony Guzman"/>
    <s v="foxaaron@example.net"/>
    <x v="2"/>
    <x v="0"/>
    <x v="20"/>
    <x v="0"/>
    <s v="Credit Card"/>
    <s v="Returned"/>
    <n v="8"/>
    <n v="315.08999999999997"/>
    <n v="0"/>
    <x v="0"/>
    <s v="SG"/>
    <n v="7.0000000000000007E-2"/>
    <n v="40000"/>
    <n v="2520.7199999999998"/>
    <n v="0"/>
    <n v="2520.7199999999998"/>
    <n v="960"/>
    <n v="1560.7199999999998"/>
    <x v="10"/>
    <n v="4"/>
    <n v="2024"/>
  </r>
  <r>
    <s v="ORD-202496235"/>
    <s v="2024-09-07 16:39"/>
    <s v="Carlos Love"/>
    <s v="brian29@example.net"/>
    <x v="6"/>
    <x v="4"/>
    <x v="16"/>
    <x v="0"/>
    <s v="Credit Card"/>
    <s v="Pending"/>
    <n v="10"/>
    <n v="559.04"/>
    <n v="0.2"/>
    <x v="2"/>
    <s v="IN"/>
    <n v="0.18"/>
    <n v="30000"/>
    <n v="5590.4"/>
    <n v="1118.08"/>
    <n v="4472.32"/>
    <n v="2000"/>
    <n v="2472.3199999999997"/>
    <x v="6"/>
    <n v="3"/>
    <n v="2024"/>
  </r>
  <r>
    <s v="ORD-202495950"/>
    <s v="2024-09-08 02:29"/>
    <s v="Patricia Mathis"/>
    <s v="susan56@example.net"/>
    <x v="3"/>
    <x v="4"/>
    <x v="6"/>
    <x v="0"/>
    <s v="Cash"/>
    <s v="Cancelled"/>
    <n v="7"/>
    <n v="1119.06"/>
    <n v="0.05"/>
    <x v="0"/>
    <s v="ID"/>
    <n v="0.11"/>
    <n v="30000"/>
    <n v="7833.42"/>
    <n v="391.67100000000005"/>
    <n v="7441.7489999999998"/>
    <n v="1400"/>
    <n v="6041.7489999999998"/>
    <x v="6"/>
    <n v="3"/>
    <n v="2024"/>
  </r>
  <r>
    <s v="ORD-202479339"/>
    <s v="2024-01-21 23:04"/>
    <s v="Eric Taylor"/>
    <s v="jessicakim@example.net"/>
    <x v="0"/>
    <x v="3"/>
    <x v="7"/>
    <x v="3"/>
    <s v="Cash"/>
    <s v="Returned"/>
    <n v="2"/>
    <n v="1441.47"/>
    <n v="0"/>
    <x v="0"/>
    <s v="VN"/>
    <n v="0.1"/>
    <n v="50000"/>
    <n v="2882.94"/>
    <n v="0"/>
    <n v="2882.94"/>
    <n v="900"/>
    <n v="1982.94"/>
    <x v="1"/>
    <n v="1"/>
    <n v="2024"/>
  </r>
  <r>
    <s v="ORD-202434832"/>
    <s v="2024-04-08 16:42"/>
    <s v="Marie Thompson"/>
    <s v="jeffrey92@example.com"/>
    <x v="1"/>
    <x v="1"/>
    <x v="9"/>
    <x v="0"/>
    <s v="Cash"/>
    <s v="Cancelled"/>
    <n v="9"/>
    <n v="844.26"/>
    <n v="0.1"/>
    <x v="0"/>
    <s v="TH"/>
    <n v="7.0000000000000007E-2"/>
    <n v="45000"/>
    <n v="7598.34"/>
    <n v="759.83400000000006"/>
    <n v="6838.5060000000003"/>
    <n v="720"/>
    <n v="6118.5060000000003"/>
    <x v="4"/>
    <n v="2"/>
    <n v="2024"/>
  </r>
  <r>
    <s v="ORD-202498407"/>
    <s v="2024-08-22 22:42"/>
    <s v="Michael Anderson"/>
    <s v="rushstacy@example.com"/>
    <x v="8"/>
    <x v="3"/>
    <x v="7"/>
    <x v="2"/>
    <s v="Debit Card"/>
    <s v="Returned"/>
    <n v="9"/>
    <n v="1191.81"/>
    <n v="0.1"/>
    <x v="3"/>
    <s v="JP"/>
    <n v="0.1"/>
    <n v="50000"/>
    <n v="10726.289999999999"/>
    <n v="1072.6289999999999"/>
    <n v="9653.6610000000001"/>
    <n v="4050"/>
    <n v="5603.6610000000001"/>
    <x v="5"/>
    <n v="3"/>
    <n v="2024"/>
  </r>
  <r>
    <s v="ORD-202456179"/>
    <s v="2024-06-10 17:20"/>
    <s v="Patricia Bradley"/>
    <s v="carriemccall@example.net"/>
    <x v="4"/>
    <x v="2"/>
    <x v="17"/>
    <x v="3"/>
    <s v="Cash"/>
    <s v="Pending"/>
    <n v="6"/>
    <n v="1241.8399999999999"/>
    <n v="0.15"/>
    <x v="0"/>
    <s v="PH"/>
    <n v="0.12"/>
    <n v="35000"/>
    <n v="7451.0399999999991"/>
    <n v="1117.6559999999997"/>
    <n v="6333.3839999999991"/>
    <n v="900"/>
    <n v="5433.3839999999991"/>
    <x v="8"/>
    <n v="2"/>
    <n v="2024"/>
  </r>
  <r>
    <s v="ORD-202459160"/>
    <s v="2024-10-08 23:16"/>
    <s v="Keith Zuniga"/>
    <s v="markmiller@example.com"/>
    <x v="4"/>
    <x v="2"/>
    <x v="17"/>
    <x v="0"/>
    <s v="E-Wallet"/>
    <s v="Completed"/>
    <n v="1"/>
    <n v="1440.34"/>
    <n v="0.2"/>
    <x v="0"/>
    <s v="PH"/>
    <n v="0.12"/>
    <n v="35000"/>
    <n v="1440.34"/>
    <n v="288.06799999999998"/>
    <n v="1152.2719999999999"/>
    <n v="150"/>
    <n v="1002.2719999999999"/>
    <x v="9"/>
    <n v="4"/>
    <n v="2024"/>
  </r>
  <r>
    <s v="ORD-202477844"/>
    <s v="2024-03-10 09:00"/>
    <s v="Mrs. Stacey Davis"/>
    <s v="sean43@example.org"/>
    <x v="0"/>
    <x v="0"/>
    <x v="0"/>
    <x v="2"/>
    <s v="Cash"/>
    <s v="Pending"/>
    <n v="1"/>
    <n v="1285.74"/>
    <n v="0.2"/>
    <x v="0"/>
    <s v="VN"/>
    <n v="0.1"/>
    <n v="40000"/>
    <n v="1285.74"/>
    <n v="257.14800000000002"/>
    <n v="1028.5920000000001"/>
    <n v="120"/>
    <n v="908.5920000000001"/>
    <x v="7"/>
    <n v="1"/>
    <n v="2024"/>
  </r>
  <r>
    <s v="ORD-202422358"/>
    <s v="2024-01-20 14:22"/>
    <s v="Hayley Buchanan"/>
    <s v="williamssamuel@example.com"/>
    <x v="2"/>
    <x v="0"/>
    <x v="4"/>
    <x v="3"/>
    <s v="E-Wallet"/>
    <s v="Cancelled"/>
    <n v="10"/>
    <n v="560.12"/>
    <n v="0"/>
    <x v="0"/>
    <s v="SG"/>
    <n v="7.0000000000000007E-2"/>
    <n v="40000"/>
    <n v="5601.2"/>
    <n v="0"/>
    <n v="5601.2"/>
    <n v="1200"/>
    <n v="4401.2"/>
    <x v="1"/>
    <n v="1"/>
    <n v="2024"/>
  </r>
  <r>
    <s v="ORD-202422046"/>
    <s v="2024-10-19 12:36"/>
    <s v="Stacey Snyder"/>
    <s v="ybell@example.org"/>
    <x v="1"/>
    <x v="3"/>
    <x v="14"/>
    <x v="0"/>
    <s v="Cash"/>
    <s v="Cancelled"/>
    <n v="3"/>
    <n v="1192.46"/>
    <n v="0.1"/>
    <x v="0"/>
    <s v="TH"/>
    <n v="7.0000000000000007E-2"/>
    <n v="50000"/>
    <n v="3577.38"/>
    <n v="357.73800000000006"/>
    <n v="3219.6419999999998"/>
    <n v="1350"/>
    <n v="1869.6419999999998"/>
    <x v="9"/>
    <n v="4"/>
    <n v="2024"/>
  </r>
  <r>
    <s v="ORD-202414898"/>
    <s v="2024-10-22 12:05"/>
    <s v="Rachel Lane"/>
    <s v="franciscojones@example.org"/>
    <x v="3"/>
    <x v="4"/>
    <x v="23"/>
    <x v="0"/>
    <s v="Debit Card"/>
    <s v="Completed"/>
    <n v="7"/>
    <n v="1321.49"/>
    <n v="0.1"/>
    <x v="0"/>
    <s v="ID"/>
    <n v="0.11"/>
    <n v="30000"/>
    <n v="9250.43"/>
    <n v="925.04300000000012"/>
    <n v="8325.3870000000006"/>
    <n v="1400"/>
    <n v="6925.3870000000006"/>
    <x v="9"/>
    <n v="4"/>
    <n v="2024"/>
  </r>
  <r>
    <s v="ORD-202493084"/>
    <s v="2024-11-19 12:03"/>
    <s v="Fernando Lynn"/>
    <s v="petersonpamela@example.org"/>
    <x v="0"/>
    <x v="1"/>
    <x v="13"/>
    <x v="2"/>
    <s v="Cash"/>
    <s v="Pending"/>
    <n v="10"/>
    <n v="489.19"/>
    <n v="0"/>
    <x v="0"/>
    <s v="VN"/>
    <n v="0.1"/>
    <n v="45000"/>
    <n v="4891.8999999999996"/>
    <n v="0"/>
    <n v="4891.8999999999996"/>
    <n v="800"/>
    <n v="4091.8999999999996"/>
    <x v="11"/>
    <n v="4"/>
    <n v="2024"/>
  </r>
  <r>
    <s v="ORD-202430079"/>
    <s v="2024-01-26 21:46"/>
    <s v="Kimberly Villanueva"/>
    <s v="morgantricia@example.com"/>
    <x v="8"/>
    <x v="2"/>
    <x v="18"/>
    <x v="1"/>
    <s v="E-Wallet"/>
    <s v="Returned"/>
    <n v="2"/>
    <n v="869.25"/>
    <n v="0"/>
    <x v="3"/>
    <s v="JP"/>
    <n v="0.1"/>
    <n v="35000"/>
    <n v="1738.5"/>
    <n v="0"/>
    <n v="1738.5"/>
    <n v="300"/>
    <n v="1438.5"/>
    <x v="1"/>
    <n v="1"/>
    <n v="2024"/>
  </r>
  <r>
    <s v="ORD-202429400"/>
    <s v="2024-03-08 10:05"/>
    <s v="Jessica Valdez"/>
    <s v="gmoore@example.com"/>
    <x v="9"/>
    <x v="1"/>
    <x v="13"/>
    <x v="1"/>
    <s v="Cash"/>
    <s v="Returned"/>
    <n v="5"/>
    <n v="829.01"/>
    <n v="0"/>
    <x v="3"/>
    <s v="KR"/>
    <n v="0.1"/>
    <n v="45000"/>
    <n v="4145.05"/>
    <n v="0"/>
    <n v="4145.05"/>
    <n v="400"/>
    <n v="3745.05"/>
    <x v="7"/>
    <n v="1"/>
    <n v="2024"/>
  </r>
  <r>
    <s v="ORD-202427088"/>
    <s v="2024-03-10 15:35"/>
    <s v="Colton Terry"/>
    <s v="donna43@example.org"/>
    <x v="1"/>
    <x v="2"/>
    <x v="17"/>
    <x v="3"/>
    <s v="Debit Card"/>
    <s v="Completed"/>
    <n v="4"/>
    <n v="983.59"/>
    <n v="0.15"/>
    <x v="0"/>
    <s v="TH"/>
    <n v="7.0000000000000007E-2"/>
    <n v="35000"/>
    <n v="3934.36"/>
    <n v="590.154"/>
    <n v="3344.2060000000001"/>
    <n v="600"/>
    <n v="2744.2060000000001"/>
    <x v="7"/>
    <n v="1"/>
    <n v="2024"/>
  </r>
  <r>
    <s v="ORD-202444898"/>
    <s v="2024-08-08 10:43"/>
    <s v="Kenneth Larsen"/>
    <s v="briansmith@example.org"/>
    <x v="6"/>
    <x v="3"/>
    <x v="8"/>
    <x v="2"/>
    <s v="Debit Card"/>
    <s v="Cancelled"/>
    <n v="7"/>
    <n v="1012.55"/>
    <n v="0.05"/>
    <x v="2"/>
    <s v="IN"/>
    <n v="0.18"/>
    <n v="50000"/>
    <n v="7087.8499999999995"/>
    <n v="354.39249999999998"/>
    <n v="6733.4574999999995"/>
    <n v="3150"/>
    <n v="3583.4574999999995"/>
    <x v="5"/>
    <n v="3"/>
    <n v="2024"/>
  </r>
  <r>
    <s v="ORD-202455157"/>
    <s v="2024-10-31 20:01"/>
    <s v="Matthew Greene"/>
    <s v="collinclark@example.net"/>
    <x v="0"/>
    <x v="0"/>
    <x v="4"/>
    <x v="3"/>
    <s v="Bank Transfer"/>
    <s v="Completed"/>
    <n v="8"/>
    <n v="930.09"/>
    <n v="0.15"/>
    <x v="0"/>
    <s v="VN"/>
    <n v="0.1"/>
    <n v="40000"/>
    <n v="7440.72"/>
    <n v="1116.1079999999999"/>
    <n v="6324.6120000000001"/>
    <n v="960"/>
    <n v="5364.6120000000001"/>
    <x v="9"/>
    <n v="4"/>
    <n v="2024"/>
  </r>
  <r>
    <s v="ORD-202440603"/>
    <s v="2024-04-12 21:23"/>
    <s v="Bradley Anthony"/>
    <s v="kristen77@example.net"/>
    <x v="2"/>
    <x v="3"/>
    <x v="8"/>
    <x v="3"/>
    <s v="E-Wallet"/>
    <s v="Completed"/>
    <n v="4"/>
    <n v="1113.28"/>
    <n v="0.15"/>
    <x v="0"/>
    <s v="SG"/>
    <n v="7.0000000000000007E-2"/>
    <n v="50000"/>
    <n v="4453.12"/>
    <n v="667.96799999999996"/>
    <n v="3785.152"/>
    <n v="1800"/>
    <n v="1985.152"/>
    <x v="4"/>
    <n v="2"/>
    <n v="2024"/>
  </r>
  <r>
    <s v="ORD-202454993"/>
    <s v="2024-12-21 03:19"/>
    <s v="Martin Hughes"/>
    <s v="nicole52@example.com"/>
    <x v="9"/>
    <x v="2"/>
    <x v="11"/>
    <x v="3"/>
    <s v="Cash"/>
    <s v="Cancelled"/>
    <n v="9"/>
    <n v="507.84"/>
    <n v="0"/>
    <x v="3"/>
    <s v="KR"/>
    <n v="0.1"/>
    <n v="35000"/>
    <n v="4570.5599999999995"/>
    <n v="0"/>
    <n v="4570.5599999999995"/>
    <n v="1350"/>
    <n v="3220.5599999999995"/>
    <x v="10"/>
    <n v="4"/>
    <n v="2024"/>
  </r>
  <r>
    <s v="ORD-202473311"/>
    <s v="2024-11-14 23:09"/>
    <s v="Jeremiah Baker"/>
    <s v="anne21@example.org"/>
    <x v="3"/>
    <x v="2"/>
    <x v="18"/>
    <x v="2"/>
    <s v="Debit Card"/>
    <s v="Completed"/>
    <n v="9"/>
    <n v="1360.47"/>
    <n v="0"/>
    <x v="0"/>
    <s v="ID"/>
    <n v="0.11"/>
    <n v="35000"/>
    <n v="12244.23"/>
    <n v="0"/>
    <n v="12244.23"/>
    <n v="1350"/>
    <n v="10894.23"/>
    <x v="11"/>
    <n v="4"/>
    <n v="2024"/>
  </r>
  <r>
    <s v="ORD-202447226"/>
    <s v="2024-04-12 22:39"/>
    <s v="Rhonda Gutierrez"/>
    <s v="angelarandall@example.net"/>
    <x v="0"/>
    <x v="3"/>
    <x v="3"/>
    <x v="1"/>
    <s v="E-Wallet"/>
    <s v="Cancelled"/>
    <n v="1"/>
    <n v="987.32"/>
    <n v="0"/>
    <x v="0"/>
    <s v="VN"/>
    <n v="0.1"/>
    <n v="50000"/>
    <n v="987.32"/>
    <n v="0"/>
    <n v="987.32"/>
    <n v="450"/>
    <n v="537.32000000000005"/>
    <x v="4"/>
    <n v="2"/>
    <n v="2024"/>
  </r>
  <r>
    <s v="ORD-202424141"/>
    <s v="2024-01-10 09:55"/>
    <s v="Joseph Camacho"/>
    <s v="parmstrong@example.com"/>
    <x v="8"/>
    <x v="0"/>
    <x v="15"/>
    <x v="1"/>
    <s v="Cash"/>
    <s v="Completed"/>
    <n v="2"/>
    <n v="770.18"/>
    <n v="0.05"/>
    <x v="3"/>
    <s v="JP"/>
    <n v="0.1"/>
    <n v="40000"/>
    <n v="1540.36"/>
    <n v="77.018000000000001"/>
    <n v="1463.3419999999999"/>
    <n v="240"/>
    <n v="1223.3419999999999"/>
    <x v="1"/>
    <n v="1"/>
    <n v="2024"/>
  </r>
  <r>
    <s v="ORD-202434434"/>
    <s v="2024-04-11 16:29"/>
    <s v="James Nash"/>
    <s v="shawrachel@example.net"/>
    <x v="5"/>
    <x v="3"/>
    <x v="8"/>
    <x v="2"/>
    <s v="Bank Transfer"/>
    <s v="Returned"/>
    <n v="9"/>
    <n v="382.38"/>
    <n v="0.05"/>
    <x v="1"/>
    <s v="AU"/>
    <n v="0.1"/>
    <n v="50000"/>
    <n v="3441.42"/>
    <n v="172.07100000000003"/>
    <n v="3269.3490000000002"/>
    <n v="4050"/>
    <n v="-780.65099999999984"/>
    <x v="4"/>
    <n v="2"/>
    <n v="2024"/>
  </r>
  <r>
    <s v="ORD-202430578"/>
    <s v="2024-01-10 11:43"/>
    <s v="Lisa Martinez"/>
    <s v="kthompson@example.org"/>
    <x v="4"/>
    <x v="4"/>
    <x v="23"/>
    <x v="0"/>
    <s v="E-Wallet"/>
    <s v="Returned"/>
    <n v="9"/>
    <n v="365.76"/>
    <n v="0.05"/>
    <x v="0"/>
    <s v="PH"/>
    <n v="0.12"/>
    <n v="30000"/>
    <n v="3291.84"/>
    <n v="164.59200000000001"/>
    <n v="3127.248"/>
    <n v="1800"/>
    <n v="1327.248"/>
    <x v="1"/>
    <n v="1"/>
    <n v="2024"/>
  </r>
  <r>
    <s v="ORD-202413862"/>
    <s v="2024-10-11 08:14"/>
    <s v="Beth Henderson"/>
    <s v="oharris@example.org"/>
    <x v="2"/>
    <x v="4"/>
    <x v="19"/>
    <x v="1"/>
    <s v="Cash"/>
    <s v="Pending"/>
    <n v="2"/>
    <n v="990.54"/>
    <n v="0.2"/>
    <x v="0"/>
    <s v="SG"/>
    <n v="7.0000000000000007E-2"/>
    <n v="30000"/>
    <n v="1981.08"/>
    <n v="396.21600000000001"/>
    <n v="1584.864"/>
    <n v="400"/>
    <n v="1184.864"/>
    <x v="9"/>
    <n v="4"/>
    <n v="2024"/>
  </r>
  <r>
    <s v="ORD-202464700"/>
    <s v="2024-05-03 18:09"/>
    <s v="Deanna Bartlett"/>
    <s v="millerangela@example.net"/>
    <x v="8"/>
    <x v="4"/>
    <x v="6"/>
    <x v="3"/>
    <s v="Debit Card"/>
    <s v="Pending"/>
    <n v="9"/>
    <n v="503.99"/>
    <n v="0"/>
    <x v="3"/>
    <s v="JP"/>
    <n v="0.1"/>
    <n v="30000"/>
    <n v="4535.91"/>
    <n v="0"/>
    <n v="4535.91"/>
    <n v="1800"/>
    <n v="2735.91"/>
    <x v="2"/>
    <n v="2"/>
    <n v="2024"/>
  </r>
  <r>
    <s v="ORD-202428102"/>
    <s v="2024-06-07 22:45"/>
    <s v="Donald Ellis"/>
    <s v="buchanancindy@example.net"/>
    <x v="5"/>
    <x v="0"/>
    <x v="15"/>
    <x v="3"/>
    <s v="E-Wallet"/>
    <s v="Completed"/>
    <n v="3"/>
    <n v="1493.59"/>
    <n v="0.2"/>
    <x v="1"/>
    <s v="AU"/>
    <n v="0.1"/>
    <n v="40000"/>
    <n v="4480.7699999999995"/>
    <n v="896.154"/>
    <n v="3584.6159999999995"/>
    <n v="360"/>
    <n v="3224.6159999999995"/>
    <x v="8"/>
    <n v="2"/>
    <n v="2024"/>
  </r>
  <r>
    <s v="ORD-202483051"/>
    <s v="2024-09-29 23:07"/>
    <s v="Ashley Hernandez"/>
    <s v="buckleyanna@example.org"/>
    <x v="2"/>
    <x v="4"/>
    <x v="5"/>
    <x v="1"/>
    <s v="E-Wallet"/>
    <s v="Returned"/>
    <n v="6"/>
    <n v="1094.71"/>
    <n v="0.1"/>
    <x v="0"/>
    <s v="SG"/>
    <n v="7.0000000000000007E-2"/>
    <n v="30000"/>
    <n v="6568.26"/>
    <n v="656.82600000000002"/>
    <n v="5911.4340000000002"/>
    <n v="1200"/>
    <n v="4711.4340000000002"/>
    <x v="6"/>
    <n v="3"/>
    <n v="2024"/>
  </r>
  <r>
    <s v="ORD-202493472"/>
    <s v="2024-05-20 04:49"/>
    <s v="Sharon Beard"/>
    <s v="pbaker@example.com"/>
    <x v="1"/>
    <x v="3"/>
    <x v="7"/>
    <x v="2"/>
    <s v="Cash"/>
    <s v="Pending"/>
    <n v="10"/>
    <n v="289.35000000000002"/>
    <n v="0.15"/>
    <x v="0"/>
    <s v="TH"/>
    <n v="7.0000000000000007E-2"/>
    <n v="50000"/>
    <n v="2893.5"/>
    <n v="434.02499999999998"/>
    <n v="2459.4749999999999"/>
    <n v="4500"/>
    <n v="-2040.5250000000001"/>
    <x v="2"/>
    <n v="2"/>
    <n v="2024"/>
  </r>
  <r>
    <s v="ORD-202488166"/>
    <s v="2024-04-28 07:43"/>
    <s v="Kara Jackson"/>
    <s v="mthomas@example.net"/>
    <x v="3"/>
    <x v="4"/>
    <x v="16"/>
    <x v="1"/>
    <s v="E-Wallet"/>
    <s v="Pending"/>
    <n v="8"/>
    <n v="1036.8900000000001"/>
    <n v="0"/>
    <x v="0"/>
    <s v="ID"/>
    <n v="0.11"/>
    <n v="30000"/>
    <n v="8295.1200000000008"/>
    <n v="0"/>
    <n v="8295.1200000000008"/>
    <n v="1600"/>
    <n v="6695.1200000000008"/>
    <x v="4"/>
    <n v="2"/>
    <n v="2024"/>
  </r>
  <r>
    <s v="ORD-202460785"/>
    <s v="2024-09-08 15:08"/>
    <s v="Amanda Preston"/>
    <s v="hannah07@example.com"/>
    <x v="2"/>
    <x v="0"/>
    <x v="0"/>
    <x v="1"/>
    <s v="Debit Card"/>
    <s v="Pending"/>
    <n v="1"/>
    <n v="62.86"/>
    <n v="0.05"/>
    <x v="0"/>
    <s v="SG"/>
    <n v="7.0000000000000007E-2"/>
    <n v="40000"/>
    <n v="62.86"/>
    <n v="3.1430000000000002"/>
    <n v="59.716999999999999"/>
    <n v="120"/>
    <n v="-60.283000000000001"/>
    <x v="6"/>
    <n v="3"/>
    <n v="2024"/>
  </r>
  <r>
    <s v="ORD-202436812"/>
    <s v="2024-02-03 05:59"/>
    <s v="Alicia Roth"/>
    <s v="larry71@example.org"/>
    <x v="9"/>
    <x v="1"/>
    <x v="24"/>
    <x v="1"/>
    <s v="Bank Transfer"/>
    <s v="Completed"/>
    <n v="8"/>
    <n v="1036.48"/>
    <n v="0"/>
    <x v="3"/>
    <s v="KR"/>
    <n v="0.1"/>
    <n v="45000"/>
    <n v="8291.84"/>
    <n v="0"/>
    <n v="8291.84"/>
    <n v="640"/>
    <n v="7651.84"/>
    <x v="0"/>
    <n v="1"/>
    <n v="2024"/>
  </r>
  <r>
    <s v="ORD-202489682"/>
    <s v="2024-07-13 23:20"/>
    <s v="William Ramos"/>
    <s v="joseph69@example.net"/>
    <x v="8"/>
    <x v="1"/>
    <x v="1"/>
    <x v="0"/>
    <s v="Cash"/>
    <s v="Completed"/>
    <n v="9"/>
    <n v="896.8"/>
    <n v="0.2"/>
    <x v="3"/>
    <s v="JP"/>
    <n v="0.1"/>
    <n v="45000"/>
    <n v="8071.2"/>
    <n v="1614.24"/>
    <n v="6456.96"/>
    <n v="720"/>
    <n v="5736.96"/>
    <x v="3"/>
    <n v="3"/>
    <n v="2024"/>
  </r>
  <r>
    <s v="ORD-202469193"/>
    <s v="2024-08-21 01:56"/>
    <s v="Jeremy Mcintyre"/>
    <s v="wfigueroa@example.net"/>
    <x v="1"/>
    <x v="1"/>
    <x v="1"/>
    <x v="1"/>
    <s v="Cash"/>
    <s v="Completed"/>
    <n v="1"/>
    <n v="602.48"/>
    <n v="0.15"/>
    <x v="0"/>
    <s v="TH"/>
    <n v="7.0000000000000007E-2"/>
    <n v="45000"/>
    <n v="602.48"/>
    <n v="90.372"/>
    <n v="512.10800000000006"/>
    <n v="80"/>
    <n v="432.10800000000006"/>
    <x v="5"/>
    <n v="3"/>
    <n v="2024"/>
  </r>
  <r>
    <s v="ORD-202434884"/>
    <s v="2024-05-29 14:25"/>
    <s v="Samantha Robertson"/>
    <s v="cameronmckinney@example.com"/>
    <x v="0"/>
    <x v="4"/>
    <x v="19"/>
    <x v="0"/>
    <s v="Cash"/>
    <s v="Pending"/>
    <n v="5"/>
    <n v="262.23"/>
    <n v="0.15"/>
    <x v="0"/>
    <s v="VN"/>
    <n v="0.1"/>
    <n v="30000"/>
    <n v="1311.15"/>
    <n v="196.67250000000001"/>
    <n v="1114.4775"/>
    <n v="1000"/>
    <n v="114.47749999999996"/>
    <x v="2"/>
    <n v="2"/>
    <n v="2024"/>
  </r>
  <r>
    <s v="ORD-202470762"/>
    <s v="2024-11-26 14:05"/>
    <s v="Samuel Suarez"/>
    <s v="thompsonnancy@example.org"/>
    <x v="5"/>
    <x v="3"/>
    <x v="7"/>
    <x v="1"/>
    <s v="Bank Transfer"/>
    <s v="Cancelled"/>
    <n v="9"/>
    <n v="1171.42"/>
    <n v="0"/>
    <x v="1"/>
    <s v="AU"/>
    <n v="0.1"/>
    <n v="50000"/>
    <n v="10542.78"/>
    <n v="0"/>
    <n v="10542.78"/>
    <n v="4050"/>
    <n v="6492.7800000000007"/>
    <x v="11"/>
    <n v="4"/>
    <n v="2024"/>
  </r>
  <r>
    <s v="ORD-202469098"/>
    <s v="2024-01-13 05:29"/>
    <s v="Danielle Bryant"/>
    <s v="janet45@example.com"/>
    <x v="6"/>
    <x v="0"/>
    <x v="15"/>
    <x v="3"/>
    <s v="Credit Card"/>
    <s v="Completed"/>
    <n v="6"/>
    <n v="148.91999999999999"/>
    <n v="0.2"/>
    <x v="2"/>
    <s v="IN"/>
    <n v="0.18"/>
    <n v="40000"/>
    <n v="893.52"/>
    <n v="178.70400000000001"/>
    <n v="714.81600000000003"/>
    <n v="720"/>
    <n v="-5.1839999999999691"/>
    <x v="1"/>
    <n v="1"/>
    <n v="2024"/>
  </r>
  <r>
    <s v="ORD-202424963"/>
    <s v="2024-12-27 14:40"/>
    <s v="Madison Martinez"/>
    <s v="allentracy@example.com"/>
    <x v="4"/>
    <x v="3"/>
    <x v="10"/>
    <x v="3"/>
    <s v="Bank Transfer"/>
    <s v="Returned"/>
    <n v="9"/>
    <n v="1065.31"/>
    <n v="0.15"/>
    <x v="0"/>
    <s v="PH"/>
    <n v="0.12"/>
    <n v="50000"/>
    <n v="9587.7899999999991"/>
    <n v="1438.1684999999998"/>
    <n v="8149.6214999999993"/>
    <n v="4050"/>
    <n v="4099.6214999999993"/>
    <x v="10"/>
    <n v="4"/>
    <n v="2024"/>
  </r>
  <r>
    <s v="ORD-202415754"/>
    <s v="2024-03-28 10:36"/>
    <s v="Seth Matthews"/>
    <s v="max41@example.com"/>
    <x v="2"/>
    <x v="0"/>
    <x v="0"/>
    <x v="2"/>
    <s v="E-Wallet"/>
    <s v="Returned"/>
    <n v="1"/>
    <n v="280.62"/>
    <n v="0.1"/>
    <x v="0"/>
    <s v="SG"/>
    <n v="7.0000000000000007E-2"/>
    <n v="40000"/>
    <n v="280.62"/>
    <n v="28.062000000000001"/>
    <n v="252.55799999999999"/>
    <n v="120"/>
    <n v="132.55799999999999"/>
    <x v="7"/>
    <n v="1"/>
    <n v="2024"/>
  </r>
  <r>
    <s v="ORD-202447851"/>
    <s v="2024-11-16 05:07"/>
    <s v="Anthony Nash"/>
    <s v="mercedesholland@example.net"/>
    <x v="2"/>
    <x v="0"/>
    <x v="20"/>
    <x v="1"/>
    <s v="Bank Transfer"/>
    <s v="Returned"/>
    <n v="5"/>
    <n v="939.5"/>
    <n v="0"/>
    <x v="0"/>
    <s v="SG"/>
    <n v="7.0000000000000007E-2"/>
    <n v="40000"/>
    <n v="4697.5"/>
    <n v="0"/>
    <n v="4697.5"/>
    <n v="600"/>
    <n v="4097.5"/>
    <x v="11"/>
    <n v="4"/>
    <n v="2024"/>
  </r>
  <r>
    <s v="ORD-202481237"/>
    <s v="2024-01-03 19:56"/>
    <s v="Matthew Palmer"/>
    <s v="wellsdavid@example.org"/>
    <x v="9"/>
    <x v="0"/>
    <x v="0"/>
    <x v="1"/>
    <s v="Bank Transfer"/>
    <s v="Completed"/>
    <n v="8"/>
    <n v="889.46"/>
    <n v="0.1"/>
    <x v="3"/>
    <s v="KR"/>
    <n v="0.1"/>
    <n v="40000"/>
    <n v="7115.68"/>
    <n v="711.5680000000001"/>
    <n v="6404.1120000000001"/>
    <n v="960"/>
    <n v="5444.1120000000001"/>
    <x v="1"/>
    <n v="1"/>
    <n v="2024"/>
  </r>
  <r>
    <s v="ORD-202488802"/>
    <s v="2024-11-03 00:15"/>
    <s v="Alejandra King"/>
    <s v="jennifer46@example.com"/>
    <x v="5"/>
    <x v="4"/>
    <x v="6"/>
    <x v="3"/>
    <s v="Debit Card"/>
    <s v="Completed"/>
    <n v="4"/>
    <n v="948.52"/>
    <n v="0"/>
    <x v="1"/>
    <s v="AU"/>
    <n v="0.1"/>
    <n v="30000"/>
    <n v="3794.08"/>
    <n v="0"/>
    <n v="3794.08"/>
    <n v="800"/>
    <n v="2994.08"/>
    <x v="11"/>
    <n v="4"/>
    <n v="2024"/>
  </r>
  <r>
    <s v="ORD-202495626"/>
    <s v="2024-06-27 01:09"/>
    <s v="Judy Robinson"/>
    <s v="erica96@example.net"/>
    <x v="3"/>
    <x v="1"/>
    <x v="1"/>
    <x v="0"/>
    <s v="Bank Transfer"/>
    <s v="Pending"/>
    <n v="2"/>
    <n v="458.19"/>
    <n v="0"/>
    <x v="0"/>
    <s v="ID"/>
    <n v="0.11"/>
    <n v="45000"/>
    <n v="916.38"/>
    <n v="0"/>
    <n v="916.38"/>
    <n v="160"/>
    <n v="756.38"/>
    <x v="8"/>
    <n v="2"/>
    <n v="2024"/>
  </r>
  <r>
    <s v="ORD-202431146"/>
    <s v="2024-12-10 09:39"/>
    <s v="Jorge Bates"/>
    <s v="anna99@example.com"/>
    <x v="6"/>
    <x v="1"/>
    <x v="1"/>
    <x v="2"/>
    <s v="Credit Card"/>
    <s v="Completed"/>
    <n v="8"/>
    <n v="278.47000000000003"/>
    <n v="0.2"/>
    <x v="2"/>
    <s v="IN"/>
    <n v="0.18"/>
    <n v="45000"/>
    <n v="2227.7600000000002"/>
    <n v="445.55200000000008"/>
    <n v="1782.2080000000001"/>
    <n v="640"/>
    <n v="1142.2080000000001"/>
    <x v="10"/>
    <n v="4"/>
    <n v="2024"/>
  </r>
  <r>
    <s v="ORD-202449229"/>
    <s v="2024-06-14 11:57"/>
    <s v="Brian Brown"/>
    <s v="danielle44@example.net"/>
    <x v="8"/>
    <x v="3"/>
    <x v="3"/>
    <x v="1"/>
    <s v="Debit Card"/>
    <s v="Completed"/>
    <n v="2"/>
    <n v="1267.31"/>
    <n v="0.05"/>
    <x v="3"/>
    <s v="JP"/>
    <n v="0.1"/>
    <n v="50000"/>
    <n v="2534.62"/>
    <n v="126.73099999999999"/>
    <n v="2407.8890000000001"/>
    <n v="900"/>
    <n v="1507.8890000000001"/>
    <x v="8"/>
    <n v="2"/>
    <n v="2024"/>
  </r>
  <r>
    <s v="ORD-202445968"/>
    <s v="2024-06-17 16:26"/>
    <s v="Stephanie Evans"/>
    <s v="zacharyallen@example.org"/>
    <x v="5"/>
    <x v="0"/>
    <x v="0"/>
    <x v="0"/>
    <s v="Bank Transfer"/>
    <s v="Cancelled"/>
    <n v="2"/>
    <n v="923.9"/>
    <n v="0.15"/>
    <x v="1"/>
    <s v="AU"/>
    <n v="0.1"/>
    <n v="40000"/>
    <n v="1847.8"/>
    <n v="277.16999999999996"/>
    <n v="1570.63"/>
    <n v="240"/>
    <n v="1330.63"/>
    <x v="8"/>
    <n v="2"/>
    <n v="2024"/>
  </r>
  <r>
    <s v="ORD-202465974"/>
    <s v="2024-11-07 10:16"/>
    <s v="Rebekah Greene"/>
    <s v="erin07@example.com"/>
    <x v="5"/>
    <x v="1"/>
    <x v="1"/>
    <x v="1"/>
    <s v="Cash"/>
    <s v="Returned"/>
    <n v="3"/>
    <n v="540.47"/>
    <n v="0.15"/>
    <x v="1"/>
    <s v="AU"/>
    <n v="0.1"/>
    <n v="45000"/>
    <n v="1621.41"/>
    <n v="243.2115"/>
    <n v="1378.1985"/>
    <n v="240"/>
    <n v="1138.1985"/>
    <x v="11"/>
    <n v="4"/>
    <n v="2024"/>
  </r>
  <r>
    <s v="ORD-202474553"/>
    <s v="2024-04-02 19:14"/>
    <s v="Jason Price"/>
    <s v="aguilarwanda@example.org"/>
    <x v="0"/>
    <x v="0"/>
    <x v="20"/>
    <x v="0"/>
    <s v="Debit Card"/>
    <s v="Returned"/>
    <n v="8"/>
    <n v="190.54"/>
    <n v="0.2"/>
    <x v="0"/>
    <s v="VN"/>
    <n v="0.1"/>
    <n v="40000"/>
    <n v="1524.32"/>
    <n v="304.86399999999998"/>
    <n v="1219.4559999999999"/>
    <n v="960"/>
    <n v="259.4559999999999"/>
    <x v="4"/>
    <n v="2"/>
    <n v="2024"/>
  </r>
  <r>
    <s v="ORD-202464269"/>
    <s v="2024-01-24 10:22"/>
    <s v="Micheal Parks"/>
    <s v="qknox@example.com"/>
    <x v="5"/>
    <x v="0"/>
    <x v="20"/>
    <x v="0"/>
    <s v="E-Wallet"/>
    <s v="Cancelled"/>
    <n v="5"/>
    <n v="966.32"/>
    <n v="0.05"/>
    <x v="1"/>
    <s v="AU"/>
    <n v="0.1"/>
    <n v="40000"/>
    <n v="4831.6000000000004"/>
    <n v="241.58000000000004"/>
    <n v="4590.0200000000004"/>
    <n v="600"/>
    <n v="3990.0200000000004"/>
    <x v="1"/>
    <n v="1"/>
    <n v="2024"/>
  </r>
  <r>
    <s v="ORD-202476412"/>
    <s v="2024-10-08 10:49"/>
    <s v="Sarah Pittman"/>
    <s v="kellyruiz@example.net"/>
    <x v="3"/>
    <x v="3"/>
    <x v="14"/>
    <x v="0"/>
    <s v="Debit Card"/>
    <s v="Pending"/>
    <n v="10"/>
    <n v="521.91999999999996"/>
    <n v="0.15"/>
    <x v="0"/>
    <s v="ID"/>
    <n v="0.11"/>
    <n v="50000"/>
    <n v="5219.2"/>
    <n v="782.88"/>
    <n v="4436.32"/>
    <n v="4500"/>
    <n v="-63.680000000000291"/>
    <x v="9"/>
    <n v="4"/>
    <n v="2024"/>
  </r>
  <r>
    <s v="ORD-202453321"/>
    <s v="2024-06-22 21:30"/>
    <s v="Robert Hines"/>
    <s v="staceylam@example.net"/>
    <x v="9"/>
    <x v="3"/>
    <x v="7"/>
    <x v="2"/>
    <s v="Bank Transfer"/>
    <s v="Returned"/>
    <n v="8"/>
    <n v="730.02"/>
    <n v="0.15"/>
    <x v="3"/>
    <s v="KR"/>
    <n v="0.1"/>
    <n v="50000"/>
    <n v="5840.16"/>
    <n v="876.024"/>
    <n v="4964.1359999999995"/>
    <n v="3600"/>
    <n v="1364.1359999999995"/>
    <x v="8"/>
    <n v="2"/>
    <n v="2024"/>
  </r>
  <r>
    <s v="ORD-202417342"/>
    <s v="2024-09-23 09:36"/>
    <s v="Henry Garner"/>
    <s v="robert55@example.com"/>
    <x v="4"/>
    <x v="1"/>
    <x v="1"/>
    <x v="2"/>
    <s v="E-Wallet"/>
    <s v="Completed"/>
    <n v="10"/>
    <n v="42.8"/>
    <n v="0.2"/>
    <x v="0"/>
    <s v="PH"/>
    <n v="0.12"/>
    <n v="45000"/>
    <n v="428"/>
    <n v="85.600000000000009"/>
    <n v="342.4"/>
    <n v="800"/>
    <n v="-457.6"/>
    <x v="6"/>
    <n v="3"/>
    <n v="2024"/>
  </r>
  <r>
    <s v="ORD-202429569"/>
    <s v="2024-05-23 00:21"/>
    <s v="Julie Wilson"/>
    <s v="delacruzbrandy@example.net"/>
    <x v="8"/>
    <x v="1"/>
    <x v="9"/>
    <x v="0"/>
    <s v="E-Wallet"/>
    <s v="Cancelled"/>
    <n v="7"/>
    <n v="862.91"/>
    <n v="0"/>
    <x v="3"/>
    <s v="JP"/>
    <n v="0.1"/>
    <n v="45000"/>
    <n v="6040.37"/>
    <n v="0"/>
    <n v="6040.37"/>
    <n v="560"/>
    <n v="5480.37"/>
    <x v="2"/>
    <n v="2"/>
    <n v="2024"/>
  </r>
  <r>
    <s v="ORD-202414145"/>
    <s v="2024-05-19 13:05"/>
    <s v="Steve Mason"/>
    <s v="amoreno@example.org"/>
    <x v="9"/>
    <x v="0"/>
    <x v="4"/>
    <x v="2"/>
    <s v="Debit Card"/>
    <s v="Completed"/>
    <n v="5"/>
    <n v="686.08"/>
    <n v="0"/>
    <x v="3"/>
    <s v="KR"/>
    <n v="0.1"/>
    <n v="40000"/>
    <n v="3430.4"/>
    <n v="0"/>
    <n v="3430.4"/>
    <n v="600"/>
    <n v="2830.4"/>
    <x v="2"/>
    <n v="2"/>
    <n v="2024"/>
  </r>
  <r>
    <s v="ORD-202459049"/>
    <s v="2024-01-20 06:58"/>
    <s v="Brittany Gay"/>
    <s v="robert97@example.org"/>
    <x v="7"/>
    <x v="2"/>
    <x v="18"/>
    <x v="3"/>
    <s v="Debit Card"/>
    <s v="Cancelled"/>
    <n v="8"/>
    <n v="52.03"/>
    <n v="0.15"/>
    <x v="0"/>
    <s v="MY"/>
    <n v="0.06"/>
    <n v="35000"/>
    <n v="416.24"/>
    <n v="62.436"/>
    <n v="353.80400000000003"/>
    <n v="1200"/>
    <n v="-846.19599999999991"/>
    <x v="1"/>
    <n v="1"/>
    <n v="2024"/>
  </r>
  <r>
    <s v="ORD-202473369"/>
    <s v="2024-09-25 09:49"/>
    <s v="Mike Maxwell"/>
    <s v="lcook@example.com"/>
    <x v="4"/>
    <x v="0"/>
    <x v="20"/>
    <x v="3"/>
    <s v="Debit Card"/>
    <s v="Completed"/>
    <n v="9"/>
    <n v="1235.8800000000001"/>
    <n v="0.2"/>
    <x v="0"/>
    <s v="PH"/>
    <n v="0.12"/>
    <n v="40000"/>
    <n v="11122.920000000002"/>
    <n v="2224.5840000000003"/>
    <n v="8898.3360000000011"/>
    <n v="1080"/>
    <n v="7818.3360000000011"/>
    <x v="6"/>
    <n v="3"/>
    <n v="2024"/>
  </r>
  <r>
    <s v="ORD-202470210"/>
    <s v="2024-07-17 22:55"/>
    <s v="Abigail Hill"/>
    <s v="barbaramoore@example.org"/>
    <x v="5"/>
    <x v="3"/>
    <x v="8"/>
    <x v="0"/>
    <s v="E-Wallet"/>
    <s v="Returned"/>
    <n v="1"/>
    <n v="476.81"/>
    <n v="0.2"/>
    <x v="1"/>
    <s v="AU"/>
    <n v="0.1"/>
    <n v="50000"/>
    <n v="476.81"/>
    <n v="95.362000000000009"/>
    <n v="381.44799999999998"/>
    <n v="450"/>
    <n v="-68.552000000000021"/>
    <x v="3"/>
    <n v="3"/>
    <n v="2024"/>
  </r>
  <r>
    <s v="ORD-202416047"/>
    <s v="2024-02-22 16:49"/>
    <s v="Jeffrey Jordan"/>
    <s v="ysanford@example.org"/>
    <x v="0"/>
    <x v="3"/>
    <x v="10"/>
    <x v="3"/>
    <s v="Debit Card"/>
    <s v="Cancelled"/>
    <n v="4"/>
    <n v="1141.3599999999999"/>
    <n v="0.05"/>
    <x v="0"/>
    <s v="VN"/>
    <n v="0.1"/>
    <n v="50000"/>
    <n v="4565.4399999999996"/>
    <n v="228.27199999999999"/>
    <n v="4337.1679999999997"/>
    <n v="1800"/>
    <n v="2537.1679999999997"/>
    <x v="0"/>
    <n v="1"/>
    <n v="2024"/>
  </r>
  <r>
    <s v="ORD-202446261"/>
    <s v="2024-09-29 10:49"/>
    <s v="Curtis Watson"/>
    <s v="mcclainkatherine@example.net"/>
    <x v="9"/>
    <x v="3"/>
    <x v="14"/>
    <x v="0"/>
    <s v="Cash"/>
    <s v="Completed"/>
    <n v="5"/>
    <n v="236.74"/>
    <n v="0"/>
    <x v="3"/>
    <s v="KR"/>
    <n v="0.1"/>
    <n v="50000"/>
    <n v="1183.7"/>
    <n v="0"/>
    <n v="1183.7"/>
    <n v="2250"/>
    <n v="-1066.3"/>
    <x v="6"/>
    <n v="3"/>
    <n v="2024"/>
  </r>
  <r>
    <s v="ORD-202437076"/>
    <s v="2024-10-04 11:35"/>
    <s v="Michael Sims"/>
    <s v="jeremywiley@example.com"/>
    <x v="4"/>
    <x v="4"/>
    <x v="5"/>
    <x v="3"/>
    <s v="Debit Card"/>
    <s v="Completed"/>
    <n v="5"/>
    <n v="1415.77"/>
    <n v="0.15"/>
    <x v="0"/>
    <s v="PH"/>
    <n v="0.12"/>
    <n v="30000"/>
    <n v="7078.85"/>
    <n v="1061.8275000000001"/>
    <n v="6017.0225"/>
    <n v="1000"/>
    <n v="5017.0225"/>
    <x v="9"/>
    <n v="4"/>
    <n v="2024"/>
  </r>
  <r>
    <s v="ORD-202450812"/>
    <s v="2024-11-09 10:34"/>
    <s v="James Chapman"/>
    <s v="cameronwilliams@example.com"/>
    <x v="9"/>
    <x v="3"/>
    <x v="7"/>
    <x v="1"/>
    <s v="Credit Card"/>
    <s v="Completed"/>
    <n v="1"/>
    <n v="58.05"/>
    <n v="0"/>
    <x v="3"/>
    <s v="KR"/>
    <n v="0.1"/>
    <n v="50000"/>
    <n v="58.05"/>
    <n v="0"/>
    <n v="58.05"/>
    <n v="450"/>
    <n v="-391.95"/>
    <x v="11"/>
    <n v="4"/>
    <n v="2024"/>
  </r>
  <r>
    <s v="ORD-202465897"/>
    <s v="2024-07-19 05:45"/>
    <s v="Joseph Warren"/>
    <s v="ibarron@example.com"/>
    <x v="6"/>
    <x v="1"/>
    <x v="24"/>
    <x v="3"/>
    <s v="Cash"/>
    <s v="Completed"/>
    <n v="5"/>
    <n v="930.23"/>
    <n v="0.05"/>
    <x v="2"/>
    <s v="IN"/>
    <n v="0.18"/>
    <n v="45000"/>
    <n v="4651.1499999999996"/>
    <n v="232.5575"/>
    <n v="4418.5924999999997"/>
    <n v="400"/>
    <n v="4018.5924999999997"/>
    <x v="3"/>
    <n v="3"/>
    <n v="2024"/>
  </r>
  <r>
    <s v="ORD-202471039"/>
    <s v="2024-10-17 04:05"/>
    <s v="Katherine Christensen MD"/>
    <s v="osmith@example.net"/>
    <x v="9"/>
    <x v="3"/>
    <x v="3"/>
    <x v="3"/>
    <s v="Debit Card"/>
    <s v="Pending"/>
    <n v="8"/>
    <n v="475.93"/>
    <n v="0.1"/>
    <x v="3"/>
    <s v="KR"/>
    <n v="0.1"/>
    <n v="50000"/>
    <n v="3807.44"/>
    <n v="380.74400000000003"/>
    <n v="3426.6959999999999"/>
    <n v="3600"/>
    <n v="-173.30400000000009"/>
    <x v="9"/>
    <n v="4"/>
    <n v="2024"/>
  </r>
  <r>
    <s v="ORD-202490863"/>
    <s v="2024-05-12 11:25"/>
    <s v="Mrs. Alison Wagner"/>
    <s v="richardsondebra@example.org"/>
    <x v="2"/>
    <x v="4"/>
    <x v="23"/>
    <x v="1"/>
    <s v="Credit Card"/>
    <s v="Cancelled"/>
    <n v="1"/>
    <n v="688.13"/>
    <n v="0"/>
    <x v="0"/>
    <s v="SG"/>
    <n v="7.0000000000000007E-2"/>
    <n v="30000"/>
    <n v="688.13"/>
    <n v="0"/>
    <n v="688.13"/>
    <n v="200"/>
    <n v="488.13"/>
    <x v="2"/>
    <n v="2"/>
    <n v="2024"/>
  </r>
  <r>
    <s v="ORD-202472737"/>
    <s v="2024-08-24 05:18"/>
    <s v="Martin Wise"/>
    <s v="wheelerbrandon@example.org"/>
    <x v="4"/>
    <x v="1"/>
    <x v="1"/>
    <x v="0"/>
    <s v="E-Wallet"/>
    <s v="Completed"/>
    <n v="2"/>
    <n v="204.18"/>
    <n v="0.1"/>
    <x v="0"/>
    <s v="PH"/>
    <n v="0.12"/>
    <n v="45000"/>
    <n v="408.36"/>
    <n v="40.836000000000006"/>
    <n v="367.524"/>
    <n v="160"/>
    <n v="207.524"/>
    <x v="5"/>
    <n v="3"/>
    <n v="2024"/>
  </r>
  <r>
    <s v="ORD-202449599"/>
    <s v="2024-09-29 14:25"/>
    <s v="Alicia Norris"/>
    <s v="hwallace@example.net"/>
    <x v="6"/>
    <x v="2"/>
    <x v="21"/>
    <x v="1"/>
    <s v="Bank Transfer"/>
    <s v="Completed"/>
    <n v="9"/>
    <n v="937"/>
    <n v="0"/>
    <x v="2"/>
    <s v="IN"/>
    <n v="0.18"/>
    <n v="35000"/>
    <n v="8433"/>
    <n v="0"/>
    <n v="8433"/>
    <n v="1350"/>
    <n v="7083"/>
    <x v="6"/>
    <n v="3"/>
    <n v="2024"/>
  </r>
  <r>
    <s v="ORD-202454658"/>
    <s v="2024-04-16 22:37"/>
    <s v="Michael Harris"/>
    <s v="turnerdorothy@example.net"/>
    <x v="8"/>
    <x v="2"/>
    <x v="18"/>
    <x v="3"/>
    <s v="Debit Card"/>
    <s v="Completed"/>
    <n v="9"/>
    <n v="1184.18"/>
    <n v="0.2"/>
    <x v="3"/>
    <s v="JP"/>
    <n v="0.1"/>
    <n v="35000"/>
    <n v="10657.62"/>
    <n v="2131.5240000000003"/>
    <n v="8526.0960000000014"/>
    <n v="1350"/>
    <n v="7176.0960000000014"/>
    <x v="4"/>
    <n v="2"/>
    <n v="2024"/>
  </r>
  <r>
    <s v="ORD-202485260"/>
    <s v="2024-09-06 03:37"/>
    <s v="Lisa Haynes"/>
    <s v="grivas@example.net"/>
    <x v="6"/>
    <x v="2"/>
    <x v="2"/>
    <x v="2"/>
    <s v="Bank Transfer"/>
    <s v="Completed"/>
    <n v="8"/>
    <n v="839.31"/>
    <n v="0"/>
    <x v="2"/>
    <s v="IN"/>
    <n v="0.18"/>
    <n v="35000"/>
    <n v="6714.48"/>
    <n v="0"/>
    <n v="6714.48"/>
    <n v="1200"/>
    <n v="5514.48"/>
    <x v="6"/>
    <n v="3"/>
    <n v="2024"/>
  </r>
  <r>
    <s v="ORD-202488415"/>
    <s v="2024-02-25 21:52"/>
    <s v="Autumn Wilson"/>
    <s v="jimenezchelsea@example.com"/>
    <x v="6"/>
    <x v="2"/>
    <x v="2"/>
    <x v="3"/>
    <s v="Debit Card"/>
    <s v="Completed"/>
    <n v="1"/>
    <n v="749.03"/>
    <n v="0"/>
    <x v="2"/>
    <s v="IN"/>
    <n v="0.18"/>
    <n v="35000"/>
    <n v="749.03"/>
    <n v="0"/>
    <n v="749.03"/>
    <n v="150"/>
    <n v="599.03"/>
    <x v="0"/>
    <n v="1"/>
    <n v="2024"/>
  </r>
  <r>
    <s v="ORD-202429231"/>
    <s v="2024-12-04 04:28"/>
    <s v="Valerie Howard"/>
    <s v="cphillips@example.net"/>
    <x v="5"/>
    <x v="4"/>
    <x v="19"/>
    <x v="3"/>
    <s v="E-Wallet"/>
    <s v="Cancelled"/>
    <n v="8"/>
    <n v="929.12"/>
    <n v="0"/>
    <x v="1"/>
    <s v="AU"/>
    <n v="0.1"/>
    <n v="30000"/>
    <n v="7432.96"/>
    <n v="0"/>
    <n v="7432.96"/>
    <n v="1600"/>
    <n v="5832.96"/>
    <x v="10"/>
    <n v="4"/>
    <n v="2024"/>
  </r>
  <r>
    <s v="ORD-202484747"/>
    <s v="2024-12-13 09:58"/>
    <s v="Daniel Fitzpatrick MD"/>
    <s v="smithchristopher@example.org"/>
    <x v="8"/>
    <x v="4"/>
    <x v="16"/>
    <x v="1"/>
    <s v="Debit Card"/>
    <s v="Cancelled"/>
    <n v="10"/>
    <n v="880.35"/>
    <n v="0.15"/>
    <x v="3"/>
    <s v="JP"/>
    <n v="0.1"/>
    <n v="30000"/>
    <n v="8803.5"/>
    <n v="1320.5249999999999"/>
    <n v="7482.9750000000004"/>
    <n v="2000"/>
    <n v="5482.9750000000004"/>
    <x v="10"/>
    <n v="4"/>
    <n v="2024"/>
  </r>
  <r>
    <s v="ORD-202418180"/>
    <s v="2024-07-08 17:03"/>
    <s v="Maureen Hernandez"/>
    <s v="chancharles@example.net"/>
    <x v="3"/>
    <x v="1"/>
    <x v="22"/>
    <x v="3"/>
    <s v="Bank Transfer"/>
    <s v="Returned"/>
    <n v="5"/>
    <n v="177.9"/>
    <n v="0"/>
    <x v="0"/>
    <s v="ID"/>
    <n v="0.11"/>
    <n v="45000"/>
    <n v="889.5"/>
    <n v="0"/>
    <n v="889.5"/>
    <n v="400"/>
    <n v="489.5"/>
    <x v="3"/>
    <n v="3"/>
    <n v="2024"/>
  </r>
  <r>
    <s v="ORD-202491948"/>
    <s v="2024-06-11 22:24"/>
    <s v="David Hall"/>
    <s v="joseph01@example.org"/>
    <x v="8"/>
    <x v="2"/>
    <x v="17"/>
    <x v="3"/>
    <s v="Debit Card"/>
    <s v="Returned"/>
    <n v="3"/>
    <n v="824.5"/>
    <n v="0.1"/>
    <x v="3"/>
    <s v="JP"/>
    <n v="0.1"/>
    <n v="35000"/>
    <n v="2473.5"/>
    <n v="247.35000000000002"/>
    <n v="2226.15"/>
    <n v="450"/>
    <n v="1776.15"/>
    <x v="8"/>
    <n v="2"/>
    <n v="2024"/>
  </r>
  <r>
    <s v="ORD-202457223"/>
    <s v="2024-08-01 04:18"/>
    <s v="Sarah Ward"/>
    <s v="ronald11@example.org"/>
    <x v="2"/>
    <x v="0"/>
    <x v="20"/>
    <x v="1"/>
    <s v="Bank Transfer"/>
    <s v="Pending"/>
    <n v="1"/>
    <n v="121.54"/>
    <n v="0"/>
    <x v="0"/>
    <s v="SG"/>
    <n v="7.0000000000000007E-2"/>
    <n v="40000"/>
    <n v="121.54"/>
    <n v="0"/>
    <n v="121.54"/>
    <n v="120"/>
    <n v="1.5400000000000063"/>
    <x v="5"/>
    <n v="3"/>
    <n v="2024"/>
  </r>
  <r>
    <s v="ORD-202421097"/>
    <s v="2024-03-11 20:51"/>
    <s v="Charles Holland"/>
    <s v="michael79@example.com"/>
    <x v="8"/>
    <x v="2"/>
    <x v="18"/>
    <x v="1"/>
    <s v="Cash"/>
    <s v="Returned"/>
    <n v="10"/>
    <n v="1396.51"/>
    <n v="0"/>
    <x v="3"/>
    <s v="JP"/>
    <n v="0.1"/>
    <n v="35000"/>
    <n v="13965.1"/>
    <n v="0"/>
    <n v="13965.1"/>
    <n v="1500"/>
    <n v="12465.1"/>
    <x v="7"/>
    <n v="1"/>
    <n v="2024"/>
  </r>
  <r>
    <s v="ORD-202482358"/>
    <s v="2024-08-18 12:22"/>
    <s v="Anna Briggs"/>
    <s v="danielross@example.com"/>
    <x v="1"/>
    <x v="0"/>
    <x v="15"/>
    <x v="3"/>
    <s v="Cash"/>
    <s v="Cancelled"/>
    <n v="10"/>
    <n v="912.79"/>
    <n v="0.1"/>
    <x v="0"/>
    <s v="TH"/>
    <n v="7.0000000000000007E-2"/>
    <n v="40000"/>
    <n v="9127.9"/>
    <n v="912.79"/>
    <n v="8215.11"/>
    <n v="1200"/>
    <n v="7015.1100000000006"/>
    <x v="5"/>
    <n v="3"/>
    <n v="2024"/>
  </r>
  <r>
    <s v="ORD-202463849"/>
    <s v="2024-10-06 18:23"/>
    <s v="James Jefferson"/>
    <s v="zbanks@example.org"/>
    <x v="3"/>
    <x v="3"/>
    <x v="10"/>
    <x v="1"/>
    <s v="Credit Card"/>
    <s v="Pending"/>
    <n v="6"/>
    <n v="732.65"/>
    <n v="0"/>
    <x v="0"/>
    <s v="ID"/>
    <n v="0.11"/>
    <n v="50000"/>
    <n v="4395.8999999999996"/>
    <n v="0"/>
    <n v="4395.8999999999996"/>
    <n v="2700"/>
    <n v="1695.8999999999996"/>
    <x v="9"/>
    <n v="4"/>
    <n v="2024"/>
  </r>
  <r>
    <s v="ORD-202478997"/>
    <s v="2024-05-23 14:33"/>
    <s v="Michael Brown"/>
    <s v="dalepruitt@example.com"/>
    <x v="7"/>
    <x v="1"/>
    <x v="1"/>
    <x v="0"/>
    <s v="Cash"/>
    <s v="Cancelled"/>
    <n v="8"/>
    <n v="146.34"/>
    <n v="0.2"/>
    <x v="0"/>
    <s v="MY"/>
    <n v="0.06"/>
    <n v="45000"/>
    <n v="1170.72"/>
    <n v="234.14400000000001"/>
    <n v="936.57600000000002"/>
    <n v="640"/>
    <n v="296.57600000000002"/>
    <x v="2"/>
    <n v="2"/>
    <n v="2024"/>
  </r>
  <r>
    <s v="ORD-202490352"/>
    <s v="2024-01-28 10:34"/>
    <s v="Meghan White"/>
    <s v="nmaxwell@example.org"/>
    <x v="3"/>
    <x v="2"/>
    <x v="17"/>
    <x v="2"/>
    <s v="Bank Transfer"/>
    <s v="Cancelled"/>
    <n v="8"/>
    <n v="776.3"/>
    <n v="0.15"/>
    <x v="0"/>
    <s v="ID"/>
    <n v="0.11"/>
    <n v="35000"/>
    <n v="6210.4"/>
    <n v="931.56"/>
    <n v="5278.84"/>
    <n v="1200"/>
    <n v="4078.84"/>
    <x v="1"/>
    <n v="1"/>
    <n v="2024"/>
  </r>
  <r>
    <s v="ORD-202448616"/>
    <s v="2024-05-28 05:02"/>
    <s v="Sheryl Acosta"/>
    <s v="timothyfreeman@example.com"/>
    <x v="6"/>
    <x v="4"/>
    <x v="6"/>
    <x v="3"/>
    <s v="Cash"/>
    <s v="Completed"/>
    <n v="8"/>
    <n v="401.76"/>
    <n v="0.15"/>
    <x v="2"/>
    <s v="IN"/>
    <n v="0.18"/>
    <n v="30000"/>
    <n v="3214.08"/>
    <n v="482.11199999999997"/>
    <n v="2731.9679999999998"/>
    <n v="1600"/>
    <n v="1131.9679999999998"/>
    <x v="2"/>
    <n v="2"/>
    <n v="2024"/>
  </r>
  <r>
    <s v="ORD-202496025"/>
    <s v="2024-05-29 23:39"/>
    <s v="Arthur Pena"/>
    <s v="busherica@example.net"/>
    <x v="3"/>
    <x v="4"/>
    <x v="19"/>
    <x v="2"/>
    <s v="E-Wallet"/>
    <s v="Pending"/>
    <n v="9"/>
    <n v="137.53"/>
    <n v="0"/>
    <x v="0"/>
    <s v="ID"/>
    <n v="0.11"/>
    <n v="30000"/>
    <n v="1237.77"/>
    <n v="0"/>
    <n v="1237.77"/>
    <n v="1800"/>
    <n v="-562.23"/>
    <x v="2"/>
    <n v="2"/>
    <n v="2024"/>
  </r>
  <r>
    <s v="ORD-202490713"/>
    <s v="2024-05-23 08:54"/>
    <s v="Krystal Levine"/>
    <s v="april91@example.com"/>
    <x v="0"/>
    <x v="3"/>
    <x v="8"/>
    <x v="3"/>
    <s v="Bank Transfer"/>
    <s v="Cancelled"/>
    <n v="10"/>
    <n v="911.67"/>
    <n v="0.2"/>
    <x v="0"/>
    <s v="VN"/>
    <n v="0.1"/>
    <n v="50000"/>
    <n v="9116.6999999999989"/>
    <n v="1823.34"/>
    <n v="7293.3599999999988"/>
    <n v="4500"/>
    <n v="2793.3599999999988"/>
    <x v="2"/>
    <n v="2"/>
    <n v="2024"/>
  </r>
  <r>
    <s v="ORD-202432989"/>
    <s v="2024-05-13 22:15"/>
    <s v="Danielle Reed"/>
    <s v="jhernandez@example.net"/>
    <x v="9"/>
    <x v="0"/>
    <x v="12"/>
    <x v="3"/>
    <s v="Cash"/>
    <s v="Pending"/>
    <n v="6"/>
    <n v="1295.0899999999999"/>
    <n v="0"/>
    <x v="3"/>
    <s v="KR"/>
    <n v="0.1"/>
    <n v="40000"/>
    <n v="7770.5399999999991"/>
    <n v="0"/>
    <n v="7770.5399999999991"/>
    <n v="720"/>
    <n v="7050.5399999999991"/>
    <x v="2"/>
    <n v="2"/>
    <n v="2024"/>
  </r>
  <r>
    <s v="ORD-202475004"/>
    <s v="2024-07-30 12:15"/>
    <s v="Mason Moore"/>
    <s v="kchristian@example.org"/>
    <x v="9"/>
    <x v="0"/>
    <x v="0"/>
    <x v="2"/>
    <s v="Credit Card"/>
    <s v="Completed"/>
    <n v="6"/>
    <n v="872.97"/>
    <n v="0"/>
    <x v="3"/>
    <s v="KR"/>
    <n v="0.1"/>
    <n v="40000"/>
    <n v="5237.82"/>
    <n v="0"/>
    <n v="5237.82"/>
    <n v="720"/>
    <n v="4517.82"/>
    <x v="3"/>
    <n v="3"/>
    <n v="2024"/>
  </r>
  <r>
    <s v="ORD-202431967"/>
    <s v="2024-08-25 12:30"/>
    <s v="Erica Rivera"/>
    <s v="brent38@example.net"/>
    <x v="0"/>
    <x v="2"/>
    <x v="18"/>
    <x v="2"/>
    <s v="Debit Card"/>
    <s v="Returned"/>
    <n v="7"/>
    <n v="361.99"/>
    <n v="0.1"/>
    <x v="0"/>
    <s v="VN"/>
    <n v="0.1"/>
    <n v="35000"/>
    <n v="2533.9300000000003"/>
    <n v="253.39300000000003"/>
    <n v="2280.5370000000003"/>
    <n v="1050"/>
    <n v="1230.5370000000003"/>
    <x v="5"/>
    <n v="3"/>
    <n v="2024"/>
  </r>
  <r>
    <s v="ORD-202411554"/>
    <s v="2024-05-27 14:24"/>
    <s v="Robert Miller"/>
    <s v="csolis@example.org"/>
    <x v="4"/>
    <x v="1"/>
    <x v="13"/>
    <x v="2"/>
    <s v="Bank Transfer"/>
    <s v="Cancelled"/>
    <n v="9"/>
    <n v="159.59"/>
    <n v="0.2"/>
    <x v="0"/>
    <s v="PH"/>
    <n v="0.12"/>
    <n v="45000"/>
    <n v="1436.31"/>
    <n v="287.262"/>
    <n v="1149.048"/>
    <n v="720"/>
    <n v="429.048"/>
    <x v="2"/>
    <n v="2"/>
    <n v="2024"/>
  </r>
  <r>
    <s v="ORD-202453904"/>
    <s v="2024-05-18 08:51"/>
    <s v="Jillian Wilson"/>
    <s v="bmcgee@example.org"/>
    <x v="7"/>
    <x v="4"/>
    <x v="6"/>
    <x v="3"/>
    <s v="Cash"/>
    <s v="Cancelled"/>
    <n v="4"/>
    <n v="595.86"/>
    <n v="0.2"/>
    <x v="0"/>
    <s v="MY"/>
    <n v="0.06"/>
    <n v="30000"/>
    <n v="2383.44"/>
    <n v="476.68800000000005"/>
    <n v="1906.752"/>
    <n v="800"/>
    <n v="1106.752"/>
    <x v="2"/>
    <n v="2"/>
    <n v="2024"/>
  </r>
  <r>
    <s v="ORD-202498829"/>
    <s v="2024-12-19 05:20"/>
    <s v="Andrew Dunn"/>
    <s v="connersylvia@example.net"/>
    <x v="5"/>
    <x v="3"/>
    <x v="8"/>
    <x v="0"/>
    <s v="Cash"/>
    <s v="Completed"/>
    <n v="1"/>
    <n v="1250.06"/>
    <n v="0.1"/>
    <x v="1"/>
    <s v="AU"/>
    <n v="0.1"/>
    <n v="50000"/>
    <n v="1250.06"/>
    <n v="125.006"/>
    <n v="1125.0539999999999"/>
    <n v="450"/>
    <n v="675.05399999999986"/>
    <x v="10"/>
    <n v="4"/>
    <n v="2024"/>
  </r>
  <r>
    <s v="ORD-202499849"/>
    <s v="2024-08-16 11:14"/>
    <s v="Jordan Clark"/>
    <s v="xclements@example.org"/>
    <x v="0"/>
    <x v="4"/>
    <x v="5"/>
    <x v="0"/>
    <s v="Cash"/>
    <s v="Pending"/>
    <n v="10"/>
    <n v="65.55"/>
    <n v="0"/>
    <x v="0"/>
    <s v="VN"/>
    <n v="0.1"/>
    <n v="30000"/>
    <n v="655.5"/>
    <n v="0"/>
    <n v="655.5"/>
    <n v="2000"/>
    <n v="-1344.5"/>
    <x v="5"/>
    <n v="3"/>
    <n v="2024"/>
  </r>
  <r>
    <s v="ORD-202488562"/>
    <s v="2024-11-22 03:45"/>
    <s v="Sarah Rivera"/>
    <s v="xmoran@example.net"/>
    <x v="7"/>
    <x v="3"/>
    <x v="10"/>
    <x v="0"/>
    <s v="Debit Card"/>
    <s v="Cancelled"/>
    <n v="10"/>
    <n v="207.91"/>
    <n v="0"/>
    <x v="0"/>
    <s v="MY"/>
    <n v="0.06"/>
    <n v="50000"/>
    <n v="2079.1"/>
    <n v="0"/>
    <n v="2079.1"/>
    <n v="4500"/>
    <n v="-2420.9"/>
    <x v="11"/>
    <n v="4"/>
    <n v="2024"/>
  </r>
  <r>
    <s v="ORD-202448609"/>
    <s v="2024-08-27 21:59"/>
    <s v="Brent Hopkins"/>
    <s v="petersonmaria@example.com"/>
    <x v="7"/>
    <x v="2"/>
    <x v="2"/>
    <x v="3"/>
    <s v="Credit Card"/>
    <s v="Cancelled"/>
    <n v="6"/>
    <n v="1157.5"/>
    <n v="0.05"/>
    <x v="0"/>
    <s v="MY"/>
    <n v="0.06"/>
    <n v="35000"/>
    <n v="6945"/>
    <n v="347.25"/>
    <n v="6597.75"/>
    <n v="900"/>
    <n v="5697.75"/>
    <x v="5"/>
    <n v="3"/>
    <n v="2024"/>
  </r>
  <r>
    <s v="ORD-202418177"/>
    <s v="2024-07-14 12:21"/>
    <s v="Jacqueline Rodriguez"/>
    <s v="travisunderwood@example.net"/>
    <x v="3"/>
    <x v="4"/>
    <x v="23"/>
    <x v="3"/>
    <s v="Cash"/>
    <s v="Returned"/>
    <n v="2"/>
    <n v="279.23"/>
    <n v="0.1"/>
    <x v="0"/>
    <s v="ID"/>
    <n v="0.11"/>
    <n v="30000"/>
    <n v="558.46"/>
    <n v="55.846000000000004"/>
    <n v="502.61400000000003"/>
    <n v="400"/>
    <n v="102.61400000000003"/>
    <x v="3"/>
    <n v="3"/>
    <n v="2024"/>
  </r>
  <r>
    <s v="ORD-202433388"/>
    <s v="2024-11-26 15:06"/>
    <s v="Ashley Carr"/>
    <s v="davidphelps@example.org"/>
    <x v="2"/>
    <x v="1"/>
    <x v="24"/>
    <x v="2"/>
    <s v="Credit Card"/>
    <s v="Completed"/>
    <n v="2"/>
    <n v="339.3"/>
    <n v="0.1"/>
    <x v="0"/>
    <s v="SG"/>
    <n v="7.0000000000000007E-2"/>
    <n v="45000"/>
    <n v="678.6"/>
    <n v="67.86"/>
    <n v="610.74"/>
    <n v="160"/>
    <n v="450.74"/>
    <x v="11"/>
    <n v="4"/>
    <n v="2024"/>
  </r>
  <r>
    <s v="ORD-202419557"/>
    <s v="2024-02-06 18:46"/>
    <s v="Richard Love"/>
    <s v="shermanbrandon@example.net"/>
    <x v="0"/>
    <x v="2"/>
    <x v="11"/>
    <x v="0"/>
    <s v="Credit Card"/>
    <s v="Returned"/>
    <n v="3"/>
    <n v="1346.32"/>
    <n v="0.2"/>
    <x v="0"/>
    <s v="VN"/>
    <n v="0.1"/>
    <n v="35000"/>
    <n v="4038.96"/>
    <n v="807.79200000000003"/>
    <n v="3231.1680000000001"/>
    <n v="450"/>
    <n v="2781.1680000000001"/>
    <x v="0"/>
    <n v="1"/>
    <n v="2024"/>
  </r>
  <r>
    <s v="ORD-202444922"/>
    <s v="2024-03-18 22:21"/>
    <s v="Leah Barton"/>
    <s v="lellis@example.net"/>
    <x v="8"/>
    <x v="1"/>
    <x v="13"/>
    <x v="1"/>
    <s v="Bank Transfer"/>
    <s v="Completed"/>
    <n v="8"/>
    <n v="780.34"/>
    <n v="0.1"/>
    <x v="3"/>
    <s v="JP"/>
    <n v="0.1"/>
    <n v="45000"/>
    <n v="6242.72"/>
    <n v="624.27200000000005"/>
    <n v="5618.4480000000003"/>
    <n v="640"/>
    <n v="4978.4480000000003"/>
    <x v="7"/>
    <n v="1"/>
    <n v="2024"/>
  </r>
  <r>
    <s v="ORD-202480795"/>
    <s v="2024-04-25 00:24"/>
    <s v="Jonathan Moreno"/>
    <s v="tranryan@example.net"/>
    <x v="9"/>
    <x v="3"/>
    <x v="10"/>
    <x v="2"/>
    <s v="Bank Transfer"/>
    <s v="Completed"/>
    <n v="6"/>
    <n v="809.93"/>
    <n v="0.05"/>
    <x v="3"/>
    <s v="KR"/>
    <n v="0.1"/>
    <n v="50000"/>
    <n v="4859.58"/>
    <n v="242.97900000000001"/>
    <n v="4616.6009999999997"/>
    <n v="2700"/>
    <n v="1916.6009999999997"/>
    <x v="4"/>
    <n v="2"/>
    <n v="2024"/>
  </r>
  <r>
    <s v="ORD-202492873"/>
    <s v="2024-11-27 02:23"/>
    <s v="Mr. Thomas Thompson"/>
    <s v="jessicaanderson@example.com"/>
    <x v="5"/>
    <x v="4"/>
    <x v="16"/>
    <x v="3"/>
    <s v="Debit Card"/>
    <s v="Completed"/>
    <n v="5"/>
    <n v="1264.1500000000001"/>
    <n v="0.2"/>
    <x v="1"/>
    <s v="AU"/>
    <n v="0.1"/>
    <n v="30000"/>
    <n v="6320.75"/>
    <n v="1264.1500000000001"/>
    <n v="5056.6000000000004"/>
    <n v="1000"/>
    <n v="4056.6000000000004"/>
    <x v="11"/>
    <n v="4"/>
    <n v="2024"/>
  </r>
  <r>
    <s v="ORD-202460353"/>
    <s v="2024-12-04 06:19"/>
    <s v="Lisa Morris"/>
    <s v="mbarnes@example.net"/>
    <x v="8"/>
    <x v="3"/>
    <x v="14"/>
    <x v="3"/>
    <s v="Debit Card"/>
    <s v="Completed"/>
    <n v="8"/>
    <n v="737.46"/>
    <n v="0.2"/>
    <x v="3"/>
    <s v="JP"/>
    <n v="0.1"/>
    <n v="50000"/>
    <n v="5899.68"/>
    <n v="1179.9360000000001"/>
    <n v="4719.7440000000006"/>
    <n v="3600"/>
    <n v="1119.7440000000006"/>
    <x v="10"/>
    <n v="4"/>
    <n v="2024"/>
  </r>
  <r>
    <s v="ORD-202435309"/>
    <s v="2024-01-13 23:37"/>
    <s v="Denise Stuart"/>
    <s v="shawn22@example.com"/>
    <x v="1"/>
    <x v="2"/>
    <x v="17"/>
    <x v="2"/>
    <s v="Bank Transfer"/>
    <s v="Returned"/>
    <n v="9"/>
    <n v="108.54"/>
    <n v="0.2"/>
    <x v="0"/>
    <s v="TH"/>
    <n v="7.0000000000000007E-2"/>
    <n v="35000"/>
    <n v="976.86"/>
    <n v="195.37200000000001"/>
    <n v="781.48800000000006"/>
    <n v="1350"/>
    <n v="-568.51199999999994"/>
    <x v="1"/>
    <n v="1"/>
    <n v="2024"/>
  </r>
  <r>
    <s v="ORD-202412151"/>
    <s v="2024-01-19 10:03"/>
    <s v="Stacey Hunt"/>
    <s v="jennifer83@example.org"/>
    <x v="4"/>
    <x v="3"/>
    <x v="3"/>
    <x v="3"/>
    <s v="Cash"/>
    <s v="Pending"/>
    <n v="9"/>
    <n v="190.51"/>
    <n v="0.1"/>
    <x v="0"/>
    <s v="PH"/>
    <n v="0.12"/>
    <n v="50000"/>
    <n v="1714.59"/>
    <n v="171.459"/>
    <n v="1543.1309999999999"/>
    <n v="4050"/>
    <n v="-2506.8690000000001"/>
    <x v="1"/>
    <n v="1"/>
    <n v="2024"/>
  </r>
  <r>
    <s v="ORD-202419441"/>
    <s v="2024-01-19 23:09"/>
    <s v="Miguel Parks"/>
    <s v="tinasantos@example.org"/>
    <x v="9"/>
    <x v="3"/>
    <x v="3"/>
    <x v="3"/>
    <s v="Debit Card"/>
    <s v="Completed"/>
    <n v="10"/>
    <n v="1362.16"/>
    <n v="0"/>
    <x v="3"/>
    <s v="KR"/>
    <n v="0.1"/>
    <n v="50000"/>
    <n v="13621.6"/>
    <n v="0"/>
    <n v="13621.6"/>
    <n v="4500"/>
    <n v="9121.6"/>
    <x v="1"/>
    <n v="1"/>
    <n v="2024"/>
  </r>
  <r>
    <s v="ORD-202432577"/>
    <s v="2024-11-19 01:57"/>
    <s v="Melissa Morris"/>
    <s v="hodgesanna@example.net"/>
    <x v="0"/>
    <x v="3"/>
    <x v="3"/>
    <x v="0"/>
    <s v="Credit Card"/>
    <s v="Returned"/>
    <n v="10"/>
    <n v="922.67"/>
    <n v="0"/>
    <x v="0"/>
    <s v="VN"/>
    <n v="0.1"/>
    <n v="50000"/>
    <n v="9226.6999999999989"/>
    <n v="0"/>
    <n v="9226.6999999999989"/>
    <n v="4500"/>
    <n v="4726.6999999999989"/>
    <x v="11"/>
    <n v="4"/>
    <n v="2024"/>
  </r>
  <r>
    <s v="ORD-202487984"/>
    <s v="2024-11-11 07:04"/>
    <s v="Mary Butler"/>
    <s v="natalie60@example.net"/>
    <x v="1"/>
    <x v="2"/>
    <x v="2"/>
    <x v="0"/>
    <s v="Cash"/>
    <s v="Pending"/>
    <n v="7"/>
    <n v="1220.1099999999999"/>
    <n v="0.05"/>
    <x v="0"/>
    <s v="TH"/>
    <n v="7.0000000000000007E-2"/>
    <n v="35000"/>
    <n v="8540.7699999999986"/>
    <n v="427.03849999999994"/>
    <n v="8113.731499999999"/>
    <n v="1050"/>
    <n v="7063.731499999999"/>
    <x v="11"/>
    <n v="4"/>
    <n v="2024"/>
  </r>
  <r>
    <s v="ORD-202452151"/>
    <s v="2024-04-19 01:37"/>
    <s v="James Brown"/>
    <s v="gonzalezkaren@example.org"/>
    <x v="2"/>
    <x v="4"/>
    <x v="16"/>
    <x v="3"/>
    <s v="E-Wallet"/>
    <s v="Pending"/>
    <n v="3"/>
    <n v="194.31"/>
    <n v="0.1"/>
    <x v="0"/>
    <s v="SG"/>
    <n v="7.0000000000000007E-2"/>
    <n v="30000"/>
    <n v="582.93000000000006"/>
    <n v="58.293000000000006"/>
    <n v="524.63700000000006"/>
    <n v="600"/>
    <n v="-75.362999999999943"/>
    <x v="4"/>
    <n v="2"/>
    <n v="2024"/>
  </r>
  <r>
    <s v="ORD-202467496"/>
    <s v="2024-05-04 18:02"/>
    <s v="Miss Brianna Brown"/>
    <s v="james80@example.com"/>
    <x v="2"/>
    <x v="3"/>
    <x v="10"/>
    <x v="1"/>
    <s v="Credit Card"/>
    <s v="Completed"/>
    <n v="3"/>
    <n v="573.54999999999995"/>
    <n v="0"/>
    <x v="0"/>
    <s v="SG"/>
    <n v="7.0000000000000007E-2"/>
    <n v="50000"/>
    <n v="1720.6499999999999"/>
    <n v="0"/>
    <n v="1720.6499999999999"/>
    <n v="1350"/>
    <n v="370.64999999999986"/>
    <x v="2"/>
    <n v="2"/>
    <n v="2024"/>
  </r>
  <r>
    <s v="ORD-202410946"/>
    <s v="2024-04-01 02:45"/>
    <s v="Ashley Parrish"/>
    <s v="juliahoffman@example.org"/>
    <x v="6"/>
    <x v="4"/>
    <x v="19"/>
    <x v="3"/>
    <s v="Debit Card"/>
    <s v="Pending"/>
    <n v="8"/>
    <n v="1044.8499999999999"/>
    <n v="0.2"/>
    <x v="2"/>
    <s v="IN"/>
    <n v="0.18"/>
    <n v="30000"/>
    <n v="8358.7999999999993"/>
    <n v="1671.76"/>
    <n v="6687.0399999999991"/>
    <n v="1600"/>
    <n v="5087.0399999999991"/>
    <x v="4"/>
    <n v="2"/>
    <n v="2024"/>
  </r>
  <r>
    <s v="ORD-202493863"/>
    <s v="2024-05-18 16:28"/>
    <s v="Rebecca Horton"/>
    <s v="housepaul@example.net"/>
    <x v="8"/>
    <x v="0"/>
    <x v="0"/>
    <x v="3"/>
    <s v="Bank Transfer"/>
    <s v="Completed"/>
    <n v="1"/>
    <n v="921.65"/>
    <n v="0.15"/>
    <x v="3"/>
    <s v="JP"/>
    <n v="0.1"/>
    <n v="40000"/>
    <n v="921.65"/>
    <n v="138.2475"/>
    <n v="783.40249999999992"/>
    <n v="120"/>
    <n v="663.40249999999992"/>
    <x v="2"/>
    <n v="2"/>
    <n v="2024"/>
  </r>
  <r>
    <s v="ORD-202492207"/>
    <s v="2024-06-03 11:26"/>
    <s v="Juan Smith"/>
    <s v="james73@example.net"/>
    <x v="3"/>
    <x v="1"/>
    <x v="9"/>
    <x v="2"/>
    <s v="Cash"/>
    <s v="Pending"/>
    <n v="9"/>
    <n v="299.98"/>
    <n v="0"/>
    <x v="0"/>
    <s v="ID"/>
    <n v="0.11"/>
    <n v="45000"/>
    <n v="2699.82"/>
    <n v="0"/>
    <n v="2699.82"/>
    <n v="720"/>
    <n v="1979.8200000000002"/>
    <x v="8"/>
    <n v="2"/>
    <n v="2024"/>
  </r>
  <r>
    <s v="ORD-202470845"/>
    <s v="2024-11-16 21:13"/>
    <s v="Maria Fischer"/>
    <s v="kimberlybrandt@example.com"/>
    <x v="0"/>
    <x v="3"/>
    <x v="7"/>
    <x v="1"/>
    <s v="Bank Transfer"/>
    <s v="Pending"/>
    <n v="3"/>
    <n v="182.33"/>
    <n v="0.2"/>
    <x v="0"/>
    <s v="VN"/>
    <n v="0.1"/>
    <n v="50000"/>
    <n v="546.99"/>
    <n v="109.39800000000001"/>
    <n v="437.59199999999998"/>
    <n v="1350"/>
    <n v="-912.40800000000002"/>
    <x v="11"/>
    <n v="4"/>
    <n v="2024"/>
  </r>
  <r>
    <s v="ORD-202430940"/>
    <s v="2024-12-09 01:03"/>
    <s v="William Jones"/>
    <s v="jillwilson@example.org"/>
    <x v="4"/>
    <x v="4"/>
    <x v="5"/>
    <x v="1"/>
    <s v="Credit Card"/>
    <s v="Completed"/>
    <n v="6"/>
    <n v="660.49"/>
    <n v="0.15"/>
    <x v="0"/>
    <s v="PH"/>
    <n v="0.12"/>
    <n v="30000"/>
    <n v="3962.94"/>
    <n v="594.44100000000003"/>
    <n v="3368.4989999999998"/>
    <n v="1200"/>
    <n v="2168.4989999999998"/>
    <x v="10"/>
    <n v="4"/>
    <n v="2024"/>
  </r>
  <r>
    <s v="ORD-202416875"/>
    <s v="2024-10-02 05:10"/>
    <s v="Justin Anderson"/>
    <s v="adam72@example.org"/>
    <x v="3"/>
    <x v="2"/>
    <x v="18"/>
    <x v="1"/>
    <s v="Cash"/>
    <s v="Cancelled"/>
    <n v="4"/>
    <n v="187.36"/>
    <n v="0.2"/>
    <x v="0"/>
    <s v="ID"/>
    <n v="0.11"/>
    <n v="35000"/>
    <n v="749.44"/>
    <n v="149.88800000000001"/>
    <n v="599.55200000000002"/>
    <n v="600"/>
    <n v="-0.44799999999997908"/>
    <x v="9"/>
    <n v="4"/>
    <n v="2024"/>
  </r>
  <r>
    <s v="ORD-202464927"/>
    <s v="2024-04-11 23:43"/>
    <s v="Frank Williams"/>
    <s v="tracy98@example.com"/>
    <x v="4"/>
    <x v="0"/>
    <x v="20"/>
    <x v="1"/>
    <s v="Debit Card"/>
    <s v="Returned"/>
    <n v="2"/>
    <n v="499.31"/>
    <n v="0"/>
    <x v="0"/>
    <s v="PH"/>
    <n v="0.12"/>
    <n v="40000"/>
    <n v="998.62"/>
    <n v="0"/>
    <n v="998.62"/>
    <n v="240"/>
    <n v="758.62"/>
    <x v="4"/>
    <n v="2"/>
    <n v="2024"/>
  </r>
  <r>
    <s v="ORD-202438922"/>
    <s v="2024-02-07 15:37"/>
    <s v="Michael Fox"/>
    <s v="abigailhartman@example.org"/>
    <x v="9"/>
    <x v="3"/>
    <x v="3"/>
    <x v="3"/>
    <s v="Bank Transfer"/>
    <s v="Cancelled"/>
    <n v="10"/>
    <n v="230.24"/>
    <n v="0.1"/>
    <x v="3"/>
    <s v="KR"/>
    <n v="0.1"/>
    <n v="50000"/>
    <n v="2302.4"/>
    <n v="230.24"/>
    <n v="2072.16"/>
    <n v="4500"/>
    <n v="-2427.84"/>
    <x v="0"/>
    <n v="1"/>
    <n v="2024"/>
  </r>
  <r>
    <s v="ORD-202427878"/>
    <s v="2024-08-22 23:12"/>
    <s v="Joshua Davis"/>
    <s v="nicolealvarado@example.com"/>
    <x v="4"/>
    <x v="4"/>
    <x v="5"/>
    <x v="0"/>
    <s v="E-Wallet"/>
    <s v="Pending"/>
    <n v="1"/>
    <n v="513.79999999999995"/>
    <n v="0.2"/>
    <x v="0"/>
    <s v="PH"/>
    <n v="0.12"/>
    <n v="30000"/>
    <n v="513.79999999999995"/>
    <n v="102.75999999999999"/>
    <n v="411.03999999999996"/>
    <n v="200"/>
    <n v="211.03999999999996"/>
    <x v="5"/>
    <n v="3"/>
    <n v="2024"/>
  </r>
  <r>
    <s v="ORD-202424563"/>
    <s v="2024-08-26 14:26"/>
    <s v="Daniel Goodwin"/>
    <s v="wbarajas@example.net"/>
    <x v="2"/>
    <x v="4"/>
    <x v="5"/>
    <x v="3"/>
    <s v="Cash"/>
    <s v="Pending"/>
    <n v="10"/>
    <n v="1331.32"/>
    <n v="0"/>
    <x v="0"/>
    <s v="SG"/>
    <n v="7.0000000000000007E-2"/>
    <n v="30000"/>
    <n v="13313.199999999999"/>
    <n v="0"/>
    <n v="13313.199999999999"/>
    <n v="2000"/>
    <n v="11313.199999999999"/>
    <x v="5"/>
    <n v="3"/>
    <n v="2024"/>
  </r>
  <r>
    <s v="ORD-202421334"/>
    <s v="2024-07-29 16:31"/>
    <s v="Michael Griffin"/>
    <s v="susanfleming@example.com"/>
    <x v="1"/>
    <x v="1"/>
    <x v="24"/>
    <x v="1"/>
    <s v="Debit Card"/>
    <s v="Pending"/>
    <n v="5"/>
    <n v="1257.93"/>
    <n v="0"/>
    <x v="0"/>
    <s v="TH"/>
    <n v="7.0000000000000007E-2"/>
    <n v="45000"/>
    <n v="6289.6500000000005"/>
    <n v="0"/>
    <n v="6289.6500000000005"/>
    <n v="400"/>
    <n v="5889.6500000000005"/>
    <x v="3"/>
    <n v="3"/>
    <n v="2024"/>
  </r>
  <r>
    <s v="ORD-202452899"/>
    <s v="2024-08-10 18:14"/>
    <s v="Robert Wilson"/>
    <s v="amber40@example.net"/>
    <x v="6"/>
    <x v="0"/>
    <x v="12"/>
    <x v="0"/>
    <s v="Bank Transfer"/>
    <s v="Completed"/>
    <n v="7"/>
    <n v="1348.9"/>
    <n v="0"/>
    <x v="2"/>
    <s v="IN"/>
    <n v="0.18"/>
    <n v="40000"/>
    <n v="9442.3000000000011"/>
    <n v="0"/>
    <n v="9442.3000000000011"/>
    <n v="840"/>
    <n v="8602.3000000000011"/>
    <x v="5"/>
    <n v="3"/>
    <n v="2024"/>
  </r>
  <r>
    <s v="ORD-202465797"/>
    <s v="2024-09-28 12:30"/>
    <s v="Jaime Lang"/>
    <s v="stucker@example.net"/>
    <x v="7"/>
    <x v="2"/>
    <x v="17"/>
    <x v="1"/>
    <s v="Debit Card"/>
    <s v="Pending"/>
    <n v="9"/>
    <n v="372.16"/>
    <n v="0"/>
    <x v="0"/>
    <s v="MY"/>
    <n v="0.06"/>
    <n v="35000"/>
    <n v="3349.44"/>
    <n v="0"/>
    <n v="3349.44"/>
    <n v="1350"/>
    <n v="1999.44"/>
    <x v="6"/>
    <n v="3"/>
    <n v="2024"/>
  </r>
  <r>
    <s v="ORD-202456976"/>
    <s v="2024-05-31 07:41"/>
    <s v="Jose Vaughan"/>
    <s v="teresaayala@example.net"/>
    <x v="7"/>
    <x v="3"/>
    <x v="3"/>
    <x v="1"/>
    <s v="Cash"/>
    <s v="Completed"/>
    <n v="3"/>
    <n v="1008.52"/>
    <n v="0.2"/>
    <x v="0"/>
    <s v="MY"/>
    <n v="0.06"/>
    <n v="50000"/>
    <n v="3025.56"/>
    <n v="605.11199999999997"/>
    <n v="2420.4479999999999"/>
    <n v="1350"/>
    <n v="1070.4479999999999"/>
    <x v="2"/>
    <n v="2"/>
    <n v="2024"/>
  </r>
  <r>
    <s v="ORD-202469616"/>
    <s v="2024-08-25 04:55"/>
    <s v="Austin Santiago"/>
    <s v="michellecoleman@example.org"/>
    <x v="8"/>
    <x v="0"/>
    <x v="4"/>
    <x v="0"/>
    <s v="Bank Transfer"/>
    <s v="Cancelled"/>
    <n v="1"/>
    <n v="945.81"/>
    <n v="0.2"/>
    <x v="3"/>
    <s v="JP"/>
    <n v="0.1"/>
    <n v="40000"/>
    <n v="945.81"/>
    <n v="189.16200000000001"/>
    <n v="756.64799999999991"/>
    <n v="120"/>
    <n v="636.64799999999991"/>
    <x v="5"/>
    <n v="3"/>
    <n v="2024"/>
  </r>
  <r>
    <s v="ORD-202479588"/>
    <s v="2024-01-17 09:27"/>
    <s v="Ronald Johns"/>
    <s v="elucas@example.net"/>
    <x v="0"/>
    <x v="1"/>
    <x v="1"/>
    <x v="0"/>
    <s v="Cash"/>
    <s v="Cancelled"/>
    <n v="4"/>
    <n v="869.22"/>
    <n v="0.2"/>
    <x v="0"/>
    <s v="VN"/>
    <n v="0.1"/>
    <n v="45000"/>
    <n v="3476.88"/>
    <n v="695.37600000000009"/>
    <n v="2781.5039999999999"/>
    <n v="320"/>
    <n v="2461.5039999999999"/>
    <x v="1"/>
    <n v="1"/>
    <n v="2024"/>
  </r>
  <r>
    <s v="ORD-202417184"/>
    <s v="2024-09-20 21:23"/>
    <s v="Allison Love"/>
    <s v="millerbrian@example.com"/>
    <x v="3"/>
    <x v="3"/>
    <x v="3"/>
    <x v="2"/>
    <s v="E-Wallet"/>
    <s v="Pending"/>
    <n v="10"/>
    <n v="557.9"/>
    <n v="0"/>
    <x v="0"/>
    <s v="ID"/>
    <n v="0.11"/>
    <n v="50000"/>
    <n v="5579"/>
    <n v="0"/>
    <n v="5579"/>
    <n v="4500"/>
    <n v="1079"/>
    <x v="6"/>
    <n v="3"/>
    <n v="2024"/>
  </r>
  <r>
    <s v="ORD-202494957"/>
    <s v="2024-10-13 22:04"/>
    <s v="Laura Perez"/>
    <s v="rickey76@example.com"/>
    <x v="5"/>
    <x v="0"/>
    <x v="0"/>
    <x v="0"/>
    <s v="Bank Transfer"/>
    <s v="Pending"/>
    <n v="4"/>
    <n v="1472.16"/>
    <n v="0.15"/>
    <x v="1"/>
    <s v="AU"/>
    <n v="0.1"/>
    <n v="40000"/>
    <n v="5888.64"/>
    <n v="883.29600000000005"/>
    <n v="5005.3440000000001"/>
    <n v="480"/>
    <n v="4525.3440000000001"/>
    <x v="9"/>
    <n v="4"/>
    <n v="2024"/>
  </r>
  <r>
    <s v="ORD-202439548"/>
    <s v="2024-06-13 11:57"/>
    <s v="James Wilson"/>
    <s v="maychristine@example.net"/>
    <x v="0"/>
    <x v="1"/>
    <x v="24"/>
    <x v="2"/>
    <s v="Bank Transfer"/>
    <s v="Returned"/>
    <n v="2"/>
    <n v="426.56"/>
    <n v="0.05"/>
    <x v="0"/>
    <s v="VN"/>
    <n v="0.1"/>
    <n v="45000"/>
    <n v="853.12"/>
    <n v="42.656000000000006"/>
    <n v="810.46399999999994"/>
    <n v="160"/>
    <n v="650.46399999999994"/>
    <x v="8"/>
    <n v="2"/>
    <n v="2024"/>
  </r>
  <r>
    <s v="ORD-202475726"/>
    <s v="2024-09-26 03:30"/>
    <s v="Mercedes Jones"/>
    <s v="robertsgina@example.net"/>
    <x v="5"/>
    <x v="1"/>
    <x v="22"/>
    <x v="0"/>
    <s v="Debit Card"/>
    <s v="Returned"/>
    <n v="6"/>
    <n v="686.19"/>
    <n v="0.2"/>
    <x v="1"/>
    <s v="AU"/>
    <n v="0.1"/>
    <n v="45000"/>
    <n v="4117.1400000000003"/>
    <n v="823.42800000000011"/>
    <n v="3293.7120000000004"/>
    <n v="480"/>
    <n v="2813.7120000000004"/>
    <x v="6"/>
    <n v="3"/>
    <n v="2024"/>
  </r>
  <r>
    <s v="ORD-202421443"/>
    <s v="2024-02-11 12:57"/>
    <s v="Preston Kim"/>
    <s v="bshort@example.com"/>
    <x v="2"/>
    <x v="4"/>
    <x v="16"/>
    <x v="3"/>
    <s v="Bank Transfer"/>
    <s v="Pending"/>
    <n v="5"/>
    <n v="177.41"/>
    <n v="0"/>
    <x v="0"/>
    <s v="SG"/>
    <n v="7.0000000000000007E-2"/>
    <n v="30000"/>
    <n v="887.05"/>
    <n v="0"/>
    <n v="887.05"/>
    <n v="1000"/>
    <n v="-112.95000000000005"/>
    <x v="0"/>
    <n v="1"/>
    <n v="2024"/>
  </r>
  <r>
    <s v="ORD-202436772"/>
    <s v="2024-09-23 20:01"/>
    <s v="Daniel Francis"/>
    <s v="susan24@example.net"/>
    <x v="0"/>
    <x v="2"/>
    <x v="18"/>
    <x v="1"/>
    <s v="Bank Transfer"/>
    <s v="Completed"/>
    <n v="8"/>
    <n v="1398.61"/>
    <n v="0.05"/>
    <x v="0"/>
    <s v="VN"/>
    <n v="0.1"/>
    <n v="35000"/>
    <n v="11188.88"/>
    <n v="559.44399999999996"/>
    <n v="10629.436"/>
    <n v="1200"/>
    <n v="9429.4359999999997"/>
    <x v="6"/>
    <n v="3"/>
    <n v="2024"/>
  </r>
  <r>
    <s v="ORD-202448209"/>
    <s v="2024-04-06 02:01"/>
    <s v="Traci Camacho"/>
    <s v="susan08@example.net"/>
    <x v="1"/>
    <x v="1"/>
    <x v="22"/>
    <x v="2"/>
    <s v="Bank Transfer"/>
    <s v="Returned"/>
    <n v="6"/>
    <n v="626.36"/>
    <n v="0.2"/>
    <x v="0"/>
    <s v="TH"/>
    <n v="7.0000000000000007E-2"/>
    <n v="45000"/>
    <n v="3758.16"/>
    <n v="751.63200000000006"/>
    <n v="3006.5279999999998"/>
    <n v="480"/>
    <n v="2526.5279999999998"/>
    <x v="4"/>
    <n v="2"/>
    <n v="2024"/>
  </r>
  <r>
    <s v="ORD-202470031"/>
    <s v="2024-06-04 18:08"/>
    <s v="Andrew Armstrong"/>
    <s v="fmedina@example.com"/>
    <x v="0"/>
    <x v="0"/>
    <x v="4"/>
    <x v="0"/>
    <s v="Debit Card"/>
    <s v="Cancelled"/>
    <n v="6"/>
    <n v="351.77"/>
    <n v="0.05"/>
    <x v="0"/>
    <s v="VN"/>
    <n v="0.1"/>
    <n v="40000"/>
    <n v="2110.62"/>
    <n v="105.53100000000001"/>
    <n v="2005.0889999999999"/>
    <n v="720"/>
    <n v="1285.0889999999999"/>
    <x v="8"/>
    <n v="2"/>
    <n v="2024"/>
  </r>
  <r>
    <s v="ORD-202447274"/>
    <s v="2024-08-21 05:39"/>
    <s v="Patrick Swanson"/>
    <s v="robertbrewer@example.net"/>
    <x v="2"/>
    <x v="1"/>
    <x v="22"/>
    <x v="3"/>
    <s v="Debit Card"/>
    <s v="Pending"/>
    <n v="3"/>
    <n v="285.69"/>
    <n v="0.2"/>
    <x v="0"/>
    <s v="SG"/>
    <n v="7.0000000000000007E-2"/>
    <n v="45000"/>
    <n v="857.06999999999994"/>
    <n v="171.41399999999999"/>
    <n v="685.65599999999995"/>
    <n v="240"/>
    <n v="445.65599999999995"/>
    <x v="5"/>
    <n v="3"/>
    <n v="2024"/>
  </r>
  <r>
    <s v="ORD-202425324"/>
    <s v="2024-01-22 10:36"/>
    <s v="Clinton Jensen"/>
    <s v="james29@example.org"/>
    <x v="2"/>
    <x v="2"/>
    <x v="2"/>
    <x v="0"/>
    <s v="E-Wallet"/>
    <s v="Cancelled"/>
    <n v="4"/>
    <n v="563.96"/>
    <n v="0.15"/>
    <x v="0"/>
    <s v="SG"/>
    <n v="7.0000000000000007E-2"/>
    <n v="35000"/>
    <n v="2255.84"/>
    <n v="338.37600000000003"/>
    <n v="1917.4640000000002"/>
    <n v="600"/>
    <n v="1317.4640000000002"/>
    <x v="1"/>
    <n v="1"/>
    <n v="2024"/>
  </r>
  <r>
    <s v="ORD-202429391"/>
    <s v="2024-07-09 14:34"/>
    <s v="Tara Gamble"/>
    <s v="enewman@example.com"/>
    <x v="2"/>
    <x v="1"/>
    <x v="22"/>
    <x v="1"/>
    <s v="Debit Card"/>
    <s v="Returned"/>
    <n v="1"/>
    <n v="195.41"/>
    <n v="0.1"/>
    <x v="0"/>
    <s v="SG"/>
    <n v="7.0000000000000007E-2"/>
    <n v="45000"/>
    <n v="195.41"/>
    <n v="19.541"/>
    <n v="175.869"/>
    <n v="80"/>
    <n v="95.869"/>
    <x v="3"/>
    <n v="3"/>
    <n v="2024"/>
  </r>
  <r>
    <s v="ORD-202451971"/>
    <s v="2024-03-20 00:47"/>
    <s v="Danielle Gonzalez"/>
    <s v="wlynn@example.org"/>
    <x v="5"/>
    <x v="1"/>
    <x v="22"/>
    <x v="2"/>
    <s v="Cash"/>
    <s v="Pending"/>
    <n v="5"/>
    <n v="976.16"/>
    <n v="0.1"/>
    <x v="1"/>
    <s v="AU"/>
    <n v="0.1"/>
    <n v="45000"/>
    <n v="4880.8"/>
    <n v="488.08000000000004"/>
    <n v="4392.72"/>
    <n v="400"/>
    <n v="3992.7200000000003"/>
    <x v="7"/>
    <n v="1"/>
    <n v="2024"/>
  </r>
  <r>
    <s v="ORD-202484086"/>
    <s v="2024-08-14 10:44"/>
    <s v="Cynthia Mitchell"/>
    <s v="mcculloughlouis@example.com"/>
    <x v="7"/>
    <x v="2"/>
    <x v="11"/>
    <x v="2"/>
    <s v="Credit Card"/>
    <s v="Returned"/>
    <n v="9"/>
    <n v="222.04"/>
    <n v="0"/>
    <x v="0"/>
    <s v="MY"/>
    <n v="0.06"/>
    <n v="35000"/>
    <n v="1998.36"/>
    <n v="0"/>
    <n v="1998.36"/>
    <n v="1350"/>
    <n v="648.3599999999999"/>
    <x v="5"/>
    <n v="3"/>
    <n v="2024"/>
  </r>
  <r>
    <s v="ORD-202490939"/>
    <s v="2024-04-22 14:22"/>
    <s v="Matthew Steele"/>
    <s v="arianadiaz@example.com"/>
    <x v="7"/>
    <x v="4"/>
    <x v="16"/>
    <x v="3"/>
    <s v="E-Wallet"/>
    <s v="Pending"/>
    <n v="4"/>
    <n v="918.1"/>
    <n v="0.15"/>
    <x v="0"/>
    <s v="MY"/>
    <n v="0.06"/>
    <n v="30000"/>
    <n v="3672.4"/>
    <n v="550.86"/>
    <n v="3121.54"/>
    <n v="800"/>
    <n v="2321.54"/>
    <x v="4"/>
    <n v="2"/>
    <n v="2024"/>
  </r>
  <r>
    <s v="ORD-202412955"/>
    <s v="2024-02-12 17:54"/>
    <s v="Caroline Edwards"/>
    <s v="jenniferdavidson@example.com"/>
    <x v="9"/>
    <x v="3"/>
    <x v="10"/>
    <x v="0"/>
    <s v="E-Wallet"/>
    <s v="Returned"/>
    <n v="8"/>
    <n v="600.72"/>
    <n v="0.05"/>
    <x v="3"/>
    <s v="KR"/>
    <n v="0.1"/>
    <n v="50000"/>
    <n v="4805.76"/>
    <n v="240.28800000000001"/>
    <n v="4565.4719999999998"/>
    <n v="3600"/>
    <n v="965.47199999999975"/>
    <x v="0"/>
    <n v="1"/>
    <n v="2024"/>
  </r>
  <r>
    <s v="ORD-202466051"/>
    <s v="2024-07-08 12:23"/>
    <s v="Brandy Quinn"/>
    <s v="wford@example.com"/>
    <x v="3"/>
    <x v="4"/>
    <x v="23"/>
    <x v="0"/>
    <s v="Debit Card"/>
    <s v="Returned"/>
    <n v="8"/>
    <n v="536.76"/>
    <n v="0.15"/>
    <x v="0"/>
    <s v="ID"/>
    <n v="0.11"/>
    <n v="30000"/>
    <n v="4294.08"/>
    <n v="644.11199999999997"/>
    <n v="3649.9679999999998"/>
    <n v="1600"/>
    <n v="2049.9679999999998"/>
    <x v="3"/>
    <n v="3"/>
    <n v="2024"/>
  </r>
  <r>
    <s v="ORD-202464474"/>
    <s v="2024-08-14 09:10"/>
    <s v="Mr. Matthew Miller"/>
    <s v="michele28@example.org"/>
    <x v="8"/>
    <x v="2"/>
    <x v="21"/>
    <x v="3"/>
    <s v="Debit Card"/>
    <s v="Cancelled"/>
    <n v="10"/>
    <n v="1255.73"/>
    <n v="0"/>
    <x v="3"/>
    <s v="JP"/>
    <n v="0.1"/>
    <n v="35000"/>
    <n v="12557.3"/>
    <n v="0"/>
    <n v="12557.3"/>
    <n v="1500"/>
    <n v="11057.3"/>
    <x v="5"/>
    <n v="3"/>
    <n v="2024"/>
  </r>
  <r>
    <s v="ORD-202472208"/>
    <s v="2024-09-25 10:04"/>
    <s v="Stephen Jones"/>
    <s v="mcclainmelissa@example.net"/>
    <x v="6"/>
    <x v="2"/>
    <x v="11"/>
    <x v="3"/>
    <s v="Cash"/>
    <s v="Returned"/>
    <n v="5"/>
    <n v="24.83"/>
    <n v="0.1"/>
    <x v="2"/>
    <s v="IN"/>
    <n v="0.18"/>
    <n v="35000"/>
    <n v="124.14999999999999"/>
    <n v="12.414999999999999"/>
    <n v="111.73499999999999"/>
    <n v="750"/>
    <n v="-638.26499999999999"/>
    <x v="6"/>
    <n v="3"/>
    <n v="2024"/>
  </r>
  <r>
    <s v="ORD-202484437"/>
    <s v="2024-03-11 06:11"/>
    <s v="Kevin Sullivan"/>
    <s v="rebeccaarnold@example.net"/>
    <x v="8"/>
    <x v="4"/>
    <x v="6"/>
    <x v="2"/>
    <s v="Bank Transfer"/>
    <s v="Returned"/>
    <n v="5"/>
    <n v="743.52"/>
    <n v="0.15"/>
    <x v="3"/>
    <s v="JP"/>
    <n v="0.1"/>
    <n v="30000"/>
    <n v="3717.6"/>
    <n v="557.64"/>
    <n v="3159.96"/>
    <n v="1000"/>
    <n v="2159.96"/>
    <x v="7"/>
    <n v="1"/>
    <n v="2024"/>
  </r>
  <r>
    <s v="ORD-202439428"/>
    <s v="2024-01-14 00:09"/>
    <s v="Kimberly Valdez"/>
    <s v="michaelwalker@example.net"/>
    <x v="0"/>
    <x v="4"/>
    <x v="19"/>
    <x v="3"/>
    <s v="Bank Transfer"/>
    <s v="Pending"/>
    <n v="5"/>
    <n v="199.4"/>
    <n v="0.1"/>
    <x v="0"/>
    <s v="VN"/>
    <n v="0.1"/>
    <n v="30000"/>
    <n v="997"/>
    <n v="99.7"/>
    <n v="897.3"/>
    <n v="1000"/>
    <n v="-102.70000000000005"/>
    <x v="1"/>
    <n v="1"/>
    <n v="2024"/>
  </r>
  <r>
    <s v="ORD-202413728"/>
    <s v="2024-03-02 08:31"/>
    <s v="Donna Marshall"/>
    <s v="sanderswayne@example.net"/>
    <x v="7"/>
    <x v="1"/>
    <x v="22"/>
    <x v="2"/>
    <s v="Bank Transfer"/>
    <s v="Completed"/>
    <n v="10"/>
    <n v="877.88"/>
    <n v="0.1"/>
    <x v="0"/>
    <s v="MY"/>
    <n v="0.06"/>
    <n v="45000"/>
    <n v="8778.7999999999993"/>
    <n v="877.88"/>
    <n v="7900.9199999999992"/>
    <n v="800"/>
    <n v="7100.9199999999992"/>
    <x v="7"/>
    <n v="1"/>
    <n v="2024"/>
  </r>
  <r>
    <s v="ORD-202458916"/>
    <s v="2024-09-19 23:36"/>
    <s v="Victor Holden"/>
    <s v="katherinetaylor@example.org"/>
    <x v="3"/>
    <x v="4"/>
    <x v="5"/>
    <x v="1"/>
    <s v="Debit Card"/>
    <s v="Cancelled"/>
    <n v="3"/>
    <n v="878.76"/>
    <n v="0.05"/>
    <x v="0"/>
    <s v="ID"/>
    <n v="0.11"/>
    <n v="30000"/>
    <n v="2636.2799999999997"/>
    <n v="131.81399999999999"/>
    <n v="2504.4659999999999"/>
    <n v="600"/>
    <n v="1904.4659999999999"/>
    <x v="6"/>
    <n v="3"/>
    <n v="2024"/>
  </r>
  <r>
    <s v="ORD-202431405"/>
    <s v="2024-01-28 08:23"/>
    <s v="Travis Hopkins"/>
    <s v="jillwebb@example.com"/>
    <x v="8"/>
    <x v="4"/>
    <x v="16"/>
    <x v="0"/>
    <s v="Cash"/>
    <s v="Pending"/>
    <n v="9"/>
    <n v="445.44"/>
    <n v="0.2"/>
    <x v="3"/>
    <s v="JP"/>
    <n v="0.1"/>
    <n v="30000"/>
    <n v="4008.96"/>
    <n v="801.79200000000003"/>
    <n v="3207.1680000000001"/>
    <n v="1800"/>
    <n v="1407.1680000000001"/>
    <x v="1"/>
    <n v="1"/>
    <n v="2024"/>
  </r>
  <r>
    <s v="ORD-202492317"/>
    <s v="2024-04-03 03:38"/>
    <s v="Philip Hall"/>
    <s v="mike03@example.net"/>
    <x v="2"/>
    <x v="1"/>
    <x v="22"/>
    <x v="2"/>
    <s v="Credit Card"/>
    <s v="Cancelled"/>
    <n v="5"/>
    <n v="1310.58"/>
    <n v="0.05"/>
    <x v="0"/>
    <s v="SG"/>
    <n v="7.0000000000000007E-2"/>
    <n v="45000"/>
    <n v="6552.9"/>
    <n v="327.64499999999998"/>
    <n v="6225.2549999999992"/>
    <n v="400"/>
    <n v="5825.2549999999992"/>
    <x v="4"/>
    <n v="2"/>
    <n v="2024"/>
  </r>
  <r>
    <s v="ORD-202428837"/>
    <s v="2024-01-07 04:33"/>
    <s v="Heather Harrison"/>
    <s v="ckeith@example.net"/>
    <x v="0"/>
    <x v="4"/>
    <x v="19"/>
    <x v="3"/>
    <s v="Debit Card"/>
    <s v="Pending"/>
    <n v="3"/>
    <n v="626.80999999999995"/>
    <n v="0"/>
    <x v="0"/>
    <s v="VN"/>
    <n v="0.1"/>
    <n v="30000"/>
    <n v="1880.4299999999998"/>
    <n v="0"/>
    <n v="1880.4299999999998"/>
    <n v="600"/>
    <n v="1280.4299999999998"/>
    <x v="1"/>
    <n v="1"/>
    <n v="2024"/>
  </r>
  <r>
    <s v="ORD-202434696"/>
    <s v="2024-10-13 19:44"/>
    <s v="Michael Boyd"/>
    <s v="mary49@example.net"/>
    <x v="5"/>
    <x v="1"/>
    <x v="1"/>
    <x v="1"/>
    <s v="Credit Card"/>
    <s v="Completed"/>
    <n v="2"/>
    <n v="1057.8599999999999"/>
    <n v="0.1"/>
    <x v="1"/>
    <s v="AU"/>
    <n v="0.1"/>
    <n v="45000"/>
    <n v="2115.7199999999998"/>
    <n v="211.572"/>
    <n v="1904.1479999999997"/>
    <n v="160"/>
    <n v="1744.1479999999997"/>
    <x v="9"/>
    <n v="4"/>
    <n v="2024"/>
  </r>
  <r>
    <s v="ORD-202427200"/>
    <s v="2024-01-09 15:22"/>
    <s v="Jamie Gray"/>
    <s v="blacknicholas@example.org"/>
    <x v="0"/>
    <x v="4"/>
    <x v="5"/>
    <x v="2"/>
    <s v="Debit Card"/>
    <s v="Cancelled"/>
    <n v="10"/>
    <n v="1228.3"/>
    <n v="0.15"/>
    <x v="0"/>
    <s v="VN"/>
    <n v="0.1"/>
    <n v="30000"/>
    <n v="12283"/>
    <n v="1842.4499999999998"/>
    <n v="10440.549999999999"/>
    <n v="2000"/>
    <n v="8440.5499999999993"/>
    <x v="1"/>
    <n v="1"/>
    <n v="2024"/>
  </r>
  <r>
    <s v="ORD-202413769"/>
    <s v="2024-03-01 07:08"/>
    <s v="Heather Parrish"/>
    <s v="msparks@example.org"/>
    <x v="2"/>
    <x v="0"/>
    <x v="4"/>
    <x v="1"/>
    <s v="Credit Card"/>
    <s v="Completed"/>
    <n v="3"/>
    <n v="201.14"/>
    <n v="0"/>
    <x v="0"/>
    <s v="SG"/>
    <n v="7.0000000000000007E-2"/>
    <n v="40000"/>
    <n v="603.41999999999996"/>
    <n v="0"/>
    <n v="603.41999999999996"/>
    <n v="360"/>
    <n v="243.41999999999996"/>
    <x v="7"/>
    <n v="1"/>
    <n v="2024"/>
  </r>
  <r>
    <s v="ORD-202412464"/>
    <s v="2024-09-04 13:02"/>
    <s v="Brenda Martin"/>
    <s v="robertsonjuan@example.org"/>
    <x v="1"/>
    <x v="3"/>
    <x v="8"/>
    <x v="0"/>
    <s v="Bank Transfer"/>
    <s v="Completed"/>
    <n v="9"/>
    <n v="1192.69"/>
    <n v="0.15"/>
    <x v="0"/>
    <s v="TH"/>
    <n v="7.0000000000000007E-2"/>
    <n v="50000"/>
    <n v="10734.210000000001"/>
    <n v="1610.1315000000002"/>
    <n v="9124.0785000000014"/>
    <n v="4050"/>
    <n v="5074.0785000000014"/>
    <x v="6"/>
    <n v="3"/>
    <n v="2024"/>
  </r>
  <r>
    <s v="ORD-202443162"/>
    <s v="2024-01-23 02:19"/>
    <s v="Jack Love"/>
    <s v="guerrerorobert@example.com"/>
    <x v="3"/>
    <x v="3"/>
    <x v="8"/>
    <x v="3"/>
    <s v="Debit Card"/>
    <s v="Cancelled"/>
    <n v="4"/>
    <n v="1381.35"/>
    <n v="0.15"/>
    <x v="0"/>
    <s v="ID"/>
    <n v="0.11"/>
    <n v="50000"/>
    <n v="5525.4"/>
    <n v="828.81"/>
    <n v="4696.59"/>
    <n v="1800"/>
    <n v="2896.59"/>
    <x v="1"/>
    <n v="1"/>
    <n v="2024"/>
  </r>
  <r>
    <s v="ORD-202413835"/>
    <s v="2024-02-16 04:54"/>
    <s v="Karen Mendoza"/>
    <s v="brittanyholland@example.com"/>
    <x v="0"/>
    <x v="1"/>
    <x v="22"/>
    <x v="3"/>
    <s v="Cash"/>
    <s v="Completed"/>
    <n v="9"/>
    <n v="538.02"/>
    <n v="0.2"/>
    <x v="0"/>
    <s v="VN"/>
    <n v="0.1"/>
    <n v="45000"/>
    <n v="4842.18"/>
    <n v="968.43600000000015"/>
    <n v="3873.7440000000001"/>
    <n v="720"/>
    <n v="3153.7440000000001"/>
    <x v="0"/>
    <n v="1"/>
    <n v="2024"/>
  </r>
  <r>
    <s v="ORD-202422989"/>
    <s v="2024-10-23 00:33"/>
    <s v="Andrew Berry"/>
    <s v="dennishunt@example.net"/>
    <x v="1"/>
    <x v="0"/>
    <x v="4"/>
    <x v="0"/>
    <s v="Debit Card"/>
    <s v="Returned"/>
    <n v="9"/>
    <n v="270.08"/>
    <n v="0"/>
    <x v="0"/>
    <s v="TH"/>
    <n v="7.0000000000000007E-2"/>
    <n v="40000"/>
    <n v="2430.7199999999998"/>
    <n v="0"/>
    <n v="2430.7199999999998"/>
    <n v="1080"/>
    <n v="1350.7199999999998"/>
    <x v="9"/>
    <n v="4"/>
    <n v="2024"/>
  </r>
  <r>
    <s v="ORD-202458033"/>
    <s v="2024-12-23 18:11"/>
    <s v="Christopher Nielsen"/>
    <s v="kgreene@example.net"/>
    <x v="9"/>
    <x v="3"/>
    <x v="7"/>
    <x v="3"/>
    <s v="Cash"/>
    <s v="Pending"/>
    <n v="7"/>
    <n v="1254.5899999999999"/>
    <n v="0.1"/>
    <x v="3"/>
    <s v="KR"/>
    <n v="0.1"/>
    <n v="50000"/>
    <n v="8782.1299999999992"/>
    <n v="878.21299999999997"/>
    <n v="7903.9169999999995"/>
    <n v="3150"/>
    <n v="4753.9169999999995"/>
    <x v="10"/>
    <n v="4"/>
    <n v="2024"/>
  </r>
  <r>
    <s v="ORD-202463422"/>
    <s v="2024-02-27 10:07"/>
    <s v="Nathan Stanley"/>
    <s v="stacey37@example.net"/>
    <x v="9"/>
    <x v="3"/>
    <x v="10"/>
    <x v="2"/>
    <s v="Cash"/>
    <s v="Completed"/>
    <n v="6"/>
    <n v="216.83"/>
    <n v="0.2"/>
    <x v="3"/>
    <s v="KR"/>
    <n v="0.1"/>
    <n v="50000"/>
    <n v="1300.98"/>
    <n v="260.19600000000003"/>
    <n v="1040.7840000000001"/>
    <n v="2700"/>
    <n v="-1659.2159999999999"/>
    <x v="0"/>
    <n v="1"/>
    <n v="2024"/>
  </r>
  <r>
    <s v="ORD-202420780"/>
    <s v="2024-06-16 15:07"/>
    <s v="Sharon Jackson DVM"/>
    <s v="laurahoover@example.org"/>
    <x v="8"/>
    <x v="4"/>
    <x v="19"/>
    <x v="1"/>
    <s v="Debit Card"/>
    <s v="Returned"/>
    <n v="5"/>
    <n v="906.58"/>
    <n v="0.2"/>
    <x v="3"/>
    <s v="JP"/>
    <n v="0.1"/>
    <n v="30000"/>
    <n v="4532.9000000000005"/>
    <n v="906.58000000000015"/>
    <n v="3626.3200000000006"/>
    <n v="1000"/>
    <n v="2626.3200000000006"/>
    <x v="8"/>
    <n v="2"/>
    <n v="2024"/>
  </r>
  <r>
    <s v="ORD-202448088"/>
    <s v="2024-08-07 06:54"/>
    <s v="Kayla Jackson"/>
    <s v="sandra99@example.org"/>
    <x v="7"/>
    <x v="2"/>
    <x v="2"/>
    <x v="0"/>
    <s v="Bank Transfer"/>
    <s v="Returned"/>
    <n v="8"/>
    <n v="281.26"/>
    <n v="0.2"/>
    <x v="0"/>
    <s v="MY"/>
    <n v="0.06"/>
    <n v="35000"/>
    <n v="2250.08"/>
    <n v="450.01600000000002"/>
    <n v="1800.0639999999999"/>
    <n v="1200"/>
    <n v="600.06399999999985"/>
    <x v="5"/>
    <n v="3"/>
    <n v="2024"/>
  </r>
  <r>
    <s v="ORD-202478506"/>
    <s v="2024-12-03 21:05"/>
    <s v="James Rodriguez"/>
    <s v="alexandrablankenship@example.net"/>
    <x v="7"/>
    <x v="0"/>
    <x v="15"/>
    <x v="3"/>
    <s v="Credit Card"/>
    <s v="Cancelled"/>
    <n v="10"/>
    <n v="609.92999999999995"/>
    <n v="0"/>
    <x v="0"/>
    <s v="MY"/>
    <n v="0.06"/>
    <n v="40000"/>
    <n v="6099.2999999999993"/>
    <n v="0"/>
    <n v="6099.2999999999993"/>
    <n v="1200"/>
    <n v="4899.2999999999993"/>
    <x v="10"/>
    <n v="4"/>
    <n v="2024"/>
  </r>
  <r>
    <s v="ORD-202436094"/>
    <s v="2024-06-22 06:38"/>
    <s v="Chase Davis"/>
    <s v="mvalenzuela@example.org"/>
    <x v="8"/>
    <x v="3"/>
    <x v="7"/>
    <x v="2"/>
    <s v="Bank Transfer"/>
    <s v="Cancelled"/>
    <n v="8"/>
    <n v="1259.5899999999999"/>
    <n v="0.05"/>
    <x v="3"/>
    <s v="JP"/>
    <n v="0.1"/>
    <n v="50000"/>
    <n v="10076.719999999999"/>
    <n v="503.83600000000001"/>
    <n v="9572.884"/>
    <n v="3600"/>
    <n v="5972.884"/>
    <x v="8"/>
    <n v="2"/>
    <n v="2024"/>
  </r>
  <r>
    <s v="ORD-202472367"/>
    <s v="2024-12-07 19:25"/>
    <s v="Kim Goodwin"/>
    <s v="olsondavid@example.net"/>
    <x v="9"/>
    <x v="1"/>
    <x v="22"/>
    <x v="0"/>
    <s v="E-Wallet"/>
    <s v="Returned"/>
    <n v="8"/>
    <n v="233.85"/>
    <n v="0"/>
    <x v="3"/>
    <s v="KR"/>
    <n v="0.1"/>
    <n v="45000"/>
    <n v="1870.8"/>
    <n v="0"/>
    <n v="1870.8"/>
    <n v="640"/>
    <n v="1230.8"/>
    <x v="10"/>
    <n v="4"/>
    <n v="2024"/>
  </r>
  <r>
    <s v="ORD-202475178"/>
    <s v="2024-04-28 20:08"/>
    <s v="April Pace"/>
    <s v="xboyd@example.org"/>
    <x v="3"/>
    <x v="3"/>
    <x v="8"/>
    <x v="0"/>
    <s v="Debit Card"/>
    <s v="Returned"/>
    <n v="8"/>
    <n v="1248.01"/>
    <n v="0.2"/>
    <x v="0"/>
    <s v="ID"/>
    <n v="0.11"/>
    <n v="50000"/>
    <n v="9984.08"/>
    <n v="1996.816"/>
    <n v="7987.2640000000001"/>
    <n v="3600"/>
    <n v="4387.2640000000001"/>
    <x v="4"/>
    <n v="2"/>
    <n v="2024"/>
  </r>
  <r>
    <s v="ORD-202489244"/>
    <s v="2024-12-13 10:09"/>
    <s v="Jessica Mays"/>
    <s v="yclarke@example.com"/>
    <x v="0"/>
    <x v="1"/>
    <x v="1"/>
    <x v="1"/>
    <s v="Bank Transfer"/>
    <s v="Pending"/>
    <n v="2"/>
    <n v="158.06"/>
    <n v="0.2"/>
    <x v="0"/>
    <s v="VN"/>
    <n v="0.1"/>
    <n v="45000"/>
    <n v="316.12"/>
    <n v="63.224000000000004"/>
    <n v="252.89600000000002"/>
    <n v="160"/>
    <n v="92.896000000000015"/>
    <x v="10"/>
    <n v="4"/>
    <n v="2024"/>
  </r>
  <r>
    <s v="ORD-202448477"/>
    <s v="2024-12-04 15:31"/>
    <s v="Natalie Juarez"/>
    <s v="colemanjonathan@example.org"/>
    <x v="5"/>
    <x v="4"/>
    <x v="6"/>
    <x v="0"/>
    <s v="Credit Card"/>
    <s v="Returned"/>
    <n v="9"/>
    <n v="525.27"/>
    <n v="0.15"/>
    <x v="1"/>
    <s v="AU"/>
    <n v="0.1"/>
    <n v="30000"/>
    <n v="4727.43"/>
    <n v="709.11450000000002"/>
    <n v="4018.3155000000002"/>
    <n v="1800"/>
    <n v="2218.3155000000002"/>
    <x v="10"/>
    <n v="4"/>
    <n v="2024"/>
  </r>
  <r>
    <s v="ORD-202425615"/>
    <s v="2024-07-15 14:20"/>
    <s v="Angela George"/>
    <s v="ascott@example.net"/>
    <x v="8"/>
    <x v="2"/>
    <x v="17"/>
    <x v="2"/>
    <s v="Debit Card"/>
    <s v="Returned"/>
    <n v="3"/>
    <n v="68.430000000000007"/>
    <n v="0.15"/>
    <x v="3"/>
    <s v="JP"/>
    <n v="0.1"/>
    <n v="35000"/>
    <n v="205.29000000000002"/>
    <n v="30.793500000000002"/>
    <n v="174.49650000000003"/>
    <n v="450"/>
    <n v="-275.50349999999997"/>
    <x v="3"/>
    <n v="3"/>
    <n v="2024"/>
  </r>
  <r>
    <s v="ORD-202466450"/>
    <s v="2024-03-09 09:45"/>
    <s v="Adrienne Mills"/>
    <s v="brooksjamie@example.com"/>
    <x v="8"/>
    <x v="2"/>
    <x v="11"/>
    <x v="1"/>
    <s v="Bank Transfer"/>
    <s v="Pending"/>
    <n v="8"/>
    <n v="859.75"/>
    <n v="0.2"/>
    <x v="3"/>
    <s v="JP"/>
    <n v="0.1"/>
    <n v="35000"/>
    <n v="6878"/>
    <n v="1375.6000000000001"/>
    <n v="5502.4"/>
    <n v="1200"/>
    <n v="4302.3999999999996"/>
    <x v="7"/>
    <n v="1"/>
    <n v="2024"/>
  </r>
  <r>
    <s v="ORD-202417305"/>
    <s v="2024-07-19 08:31"/>
    <s v="Brian Simmons"/>
    <s v="jose86@example.net"/>
    <x v="6"/>
    <x v="2"/>
    <x v="18"/>
    <x v="0"/>
    <s v="Credit Card"/>
    <s v="Completed"/>
    <n v="5"/>
    <n v="1019.58"/>
    <n v="0.05"/>
    <x v="2"/>
    <s v="IN"/>
    <n v="0.18"/>
    <n v="35000"/>
    <n v="5097.9000000000005"/>
    <n v="254.89500000000004"/>
    <n v="4843.0050000000001"/>
    <n v="750"/>
    <n v="4093.0050000000001"/>
    <x v="3"/>
    <n v="3"/>
    <n v="2024"/>
  </r>
  <r>
    <s v="ORD-202426803"/>
    <s v="2024-07-06 11:51"/>
    <s v="Donald Becker"/>
    <s v="robertbowers@example.com"/>
    <x v="6"/>
    <x v="3"/>
    <x v="14"/>
    <x v="2"/>
    <s v="Bank Transfer"/>
    <s v="Cancelled"/>
    <n v="7"/>
    <n v="580.15"/>
    <n v="0.05"/>
    <x v="2"/>
    <s v="IN"/>
    <n v="0.18"/>
    <n v="50000"/>
    <n v="4061.0499999999997"/>
    <n v="203.05250000000001"/>
    <n v="3857.9974999999995"/>
    <n v="3150"/>
    <n v="707.99749999999949"/>
    <x v="3"/>
    <n v="3"/>
    <n v="2024"/>
  </r>
  <r>
    <s v="ORD-202417398"/>
    <s v="2024-12-04 07:15"/>
    <s v="Justin Webb"/>
    <s v="becky62@example.net"/>
    <x v="1"/>
    <x v="4"/>
    <x v="6"/>
    <x v="0"/>
    <s v="E-Wallet"/>
    <s v="Pending"/>
    <n v="2"/>
    <n v="141.13999999999999"/>
    <n v="0.05"/>
    <x v="0"/>
    <s v="TH"/>
    <n v="7.0000000000000007E-2"/>
    <n v="30000"/>
    <n v="282.27999999999997"/>
    <n v="14.113999999999999"/>
    <n v="268.166"/>
    <n v="400"/>
    <n v="-131.834"/>
    <x v="10"/>
    <n v="4"/>
    <n v="2024"/>
  </r>
  <r>
    <s v="ORD-202412583"/>
    <s v="2024-10-02 10:02"/>
    <s v="David Logan"/>
    <s v="craigromero@example.com"/>
    <x v="9"/>
    <x v="2"/>
    <x v="18"/>
    <x v="0"/>
    <s v="Bank Transfer"/>
    <s v="Completed"/>
    <n v="7"/>
    <n v="779.42"/>
    <n v="0.05"/>
    <x v="3"/>
    <s v="KR"/>
    <n v="0.1"/>
    <n v="35000"/>
    <n v="5455.94"/>
    <n v="272.79699999999997"/>
    <n v="5183.143"/>
    <n v="1050"/>
    <n v="4133.143"/>
    <x v="9"/>
    <n v="4"/>
    <n v="2024"/>
  </r>
  <r>
    <s v="ORD-202451486"/>
    <s v="2024-07-12 18:24"/>
    <s v="Lisa Cohen"/>
    <s v="martintamara@example.org"/>
    <x v="4"/>
    <x v="1"/>
    <x v="13"/>
    <x v="3"/>
    <s v="E-Wallet"/>
    <s v="Returned"/>
    <n v="2"/>
    <n v="1215.3599999999999"/>
    <n v="0.2"/>
    <x v="0"/>
    <s v="PH"/>
    <n v="0.12"/>
    <n v="45000"/>
    <n v="2430.7199999999998"/>
    <n v="486.14400000000001"/>
    <n v="1944.5759999999998"/>
    <n v="160"/>
    <n v="1784.5759999999998"/>
    <x v="3"/>
    <n v="3"/>
    <n v="2024"/>
  </r>
  <r>
    <s v="ORD-202475898"/>
    <s v="2024-12-07 10:10"/>
    <s v="Samantha Ruiz"/>
    <s v="qdavis@example.org"/>
    <x v="6"/>
    <x v="4"/>
    <x v="23"/>
    <x v="0"/>
    <s v="Cash"/>
    <s v="Pending"/>
    <n v="4"/>
    <n v="1454.6"/>
    <n v="0.1"/>
    <x v="2"/>
    <s v="IN"/>
    <n v="0.18"/>
    <n v="30000"/>
    <n v="5818.4"/>
    <n v="581.84"/>
    <n v="5236.5599999999995"/>
    <n v="800"/>
    <n v="4436.5599999999995"/>
    <x v="10"/>
    <n v="4"/>
    <n v="2024"/>
  </r>
  <r>
    <s v="ORD-202447664"/>
    <s v="2024-05-15 01:19"/>
    <s v="Lee Ramsey"/>
    <s v="hmendez@example.com"/>
    <x v="6"/>
    <x v="2"/>
    <x v="21"/>
    <x v="0"/>
    <s v="Cash"/>
    <s v="Cancelled"/>
    <n v="2"/>
    <n v="942.49"/>
    <n v="0.2"/>
    <x v="2"/>
    <s v="IN"/>
    <n v="0.18"/>
    <n v="35000"/>
    <n v="1884.98"/>
    <n v="376.99600000000004"/>
    <n v="1507.9839999999999"/>
    <n v="300"/>
    <n v="1207.9839999999999"/>
    <x v="2"/>
    <n v="2"/>
    <n v="2024"/>
  </r>
  <r>
    <s v="ORD-202445830"/>
    <s v="2024-02-04 18:51"/>
    <s v="Linda Bautista"/>
    <s v="daniellegonzales@example.org"/>
    <x v="5"/>
    <x v="2"/>
    <x v="17"/>
    <x v="2"/>
    <s v="Cash"/>
    <s v="Cancelled"/>
    <n v="2"/>
    <n v="326.45999999999998"/>
    <n v="0.2"/>
    <x v="1"/>
    <s v="AU"/>
    <n v="0.1"/>
    <n v="35000"/>
    <n v="652.91999999999996"/>
    <n v="130.584"/>
    <n v="522.33600000000001"/>
    <n v="300"/>
    <n v="222.33600000000001"/>
    <x v="0"/>
    <n v="1"/>
    <n v="2024"/>
  </r>
  <r>
    <s v="ORD-202466742"/>
    <s v="2024-12-05 17:20"/>
    <s v="Tara Holmes"/>
    <s v="arthurgreene@example.net"/>
    <x v="1"/>
    <x v="2"/>
    <x v="17"/>
    <x v="3"/>
    <s v="Credit Card"/>
    <s v="Pending"/>
    <n v="9"/>
    <n v="388.13"/>
    <n v="0.1"/>
    <x v="0"/>
    <s v="TH"/>
    <n v="7.0000000000000007E-2"/>
    <n v="35000"/>
    <n v="3493.17"/>
    <n v="349.31700000000001"/>
    <n v="3143.8530000000001"/>
    <n v="1350"/>
    <n v="1793.8530000000001"/>
    <x v="10"/>
    <n v="4"/>
    <n v="2024"/>
  </r>
  <r>
    <s v="ORD-202485608"/>
    <s v="2024-09-12 06:42"/>
    <s v="Lisa Craig"/>
    <s v="john02@example.org"/>
    <x v="9"/>
    <x v="4"/>
    <x v="6"/>
    <x v="0"/>
    <s v="Cash"/>
    <s v="Pending"/>
    <n v="7"/>
    <n v="1216.27"/>
    <n v="0.15"/>
    <x v="3"/>
    <s v="KR"/>
    <n v="0.1"/>
    <n v="30000"/>
    <n v="8513.89"/>
    <n v="1277.0835"/>
    <n v="7236.8064999999997"/>
    <n v="1400"/>
    <n v="5836.8064999999997"/>
    <x v="6"/>
    <n v="3"/>
    <n v="2024"/>
  </r>
  <r>
    <s v="ORD-202457746"/>
    <s v="2024-08-24 04:15"/>
    <s v="Penny Gomez MD"/>
    <s v="aprilmclaughlin@example.org"/>
    <x v="2"/>
    <x v="4"/>
    <x v="19"/>
    <x v="3"/>
    <s v="Bank Transfer"/>
    <s v="Cancelled"/>
    <n v="2"/>
    <n v="624.24"/>
    <n v="0.2"/>
    <x v="0"/>
    <s v="SG"/>
    <n v="7.0000000000000007E-2"/>
    <n v="30000"/>
    <n v="1248.48"/>
    <n v="249.69600000000003"/>
    <n v="998.78399999999999"/>
    <n v="400"/>
    <n v="598.78399999999999"/>
    <x v="5"/>
    <n v="3"/>
    <n v="2024"/>
  </r>
  <r>
    <s v="ORD-202447623"/>
    <s v="2024-11-26 05:16"/>
    <s v="Krista Barber"/>
    <s v="michael43@example.net"/>
    <x v="6"/>
    <x v="0"/>
    <x v="15"/>
    <x v="0"/>
    <s v="Debit Card"/>
    <s v="Cancelled"/>
    <n v="3"/>
    <n v="369.15"/>
    <n v="0"/>
    <x v="2"/>
    <s v="IN"/>
    <n v="0.18"/>
    <n v="40000"/>
    <n v="1107.4499999999998"/>
    <n v="0"/>
    <n v="1107.4499999999998"/>
    <n v="360"/>
    <n v="747.44999999999982"/>
    <x v="11"/>
    <n v="4"/>
    <n v="2024"/>
  </r>
  <r>
    <s v="ORD-202470838"/>
    <s v="2024-09-05 17:27"/>
    <s v="Jordan Powell"/>
    <s v="greenrichard@example.org"/>
    <x v="8"/>
    <x v="3"/>
    <x v="7"/>
    <x v="2"/>
    <s v="E-Wallet"/>
    <s v="Pending"/>
    <n v="3"/>
    <n v="251.65"/>
    <n v="0"/>
    <x v="3"/>
    <s v="JP"/>
    <n v="0.1"/>
    <n v="50000"/>
    <n v="754.95"/>
    <n v="0"/>
    <n v="754.95"/>
    <n v="1350"/>
    <n v="-595.04999999999995"/>
    <x v="6"/>
    <n v="3"/>
    <n v="2024"/>
  </r>
  <r>
    <s v="ORD-202494448"/>
    <s v="2024-01-22 23:31"/>
    <s v="Kathy Morgan"/>
    <s v="prattsue@example.net"/>
    <x v="3"/>
    <x v="3"/>
    <x v="8"/>
    <x v="1"/>
    <s v="E-Wallet"/>
    <s v="Completed"/>
    <n v="5"/>
    <n v="481.15"/>
    <n v="0"/>
    <x v="0"/>
    <s v="ID"/>
    <n v="0.11"/>
    <n v="50000"/>
    <n v="2405.75"/>
    <n v="0"/>
    <n v="2405.75"/>
    <n v="2250"/>
    <n v="155.75"/>
    <x v="1"/>
    <n v="1"/>
    <n v="2024"/>
  </r>
  <r>
    <s v="ORD-202462021"/>
    <s v="2024-03-12 07:07"/>
    <s v="Laura Benson"/>
    <s v="xhart@example.org"/>
    <x v="6"/>
    <x v="1"/>
    <x v="13"/>
    <x v="2"/>
    <s v="Bank Transfer"/>
    <s v="Completed"/>
    <n v="10"/>
    <n v="790.11"/>
    <n v="0.15"/>
    <x v="2"/>
    <s v="IN"/>
    <n v="0.18"/>
    <n v="45000"/>
    <n v="7901.1"/>
    <n v="1185.165"/>
    <n v="6715.9350000000004"/>
    <n v="800"/>
    <n v="5915.9350000000004"/>
    <x v="7"/>
    <n v="1"/>
    <n v="2024"/>
  </r>
  <r>
    <s v="ORD-202441205"/>
    <s v="2024-11-03 03:49"/>
    <s v="Tonya Ellis"/>
    <s v="bmosley@example.com"/>
    <x v="4"/>
    <x v="4"/>
    <x v="6"/>
    <x v="3"/>
    <s v="Debit Card"/>
    <s v="Completed"/>
    <n v="4"/>
    <n v="1109.8"/>
    <n v="0.1"/>
    <x v="0"/>
    <s v="PH"/>
    <n v="0.12"/>
    <n v="30000"/>
    <n v="4439.2"/>
    <n v="443.92"/>
    <n v="3995.2799999999997"/>
    <n v="800"/>
    <n v="3195.2799999999997"/>
    <x v="11"/>
    <n v="4"/>
    <n v="2024"/>
  </r>
  <r>
    <s v="ORD-202432957"/>
    <s v="2024-04-19 08:28"/>
    <s v="Austin Schultz"/>
    <s v="ericahall@example.com"/>
    <x v="8"/>
    <x v="4"/>
    <x v="6"/>
    <x v="0"/>
    <s v="E-Wallet"/>
    <s v="Returned"/>
    <n v="9"/>
    <n v="98.05"/>
    <n v="0.05"/>
    <x v="3"/>
    <s v="JP"/>
    <n v="0.1"/>
    <n v="30000"/>
    <n v="882.44999999999993"/>
    <n v="44.122500000000002"/>
    <n v="838.32749999999987"/>
    <n v="1800"/>
    <n v="-961.67250000000013"/>
    <x v="4"/>
    <n v="2"/>
    <n v="2024"/>
  </r>
  <r>
    <s v="ORD-202472240"/>
    <s v="2024-12-15 07:17"/>
    <s v="Harry Nichols"/>
    <s v="john16@example.net"/>
    <x v="2"/>
    <x v="4"/>
    <x v="19"/>
    <x v="0"/>
    <s v="Credit Card"/>
    <s v="Pending"/>
    <n v="5"/>
    <n v="1077.77"/>
    <n v="0"/>
    <x v="0"/>
    <s v="SG"/>
    <n v="7.0000000000000007E-2"/>
    <n v="30000"/>
    <n v="5388.85"/>
    <n v="0"/>
    <n v="5388.85"/>
    <n v="1000"/>
    <n v="4388.8500000000004"/>
    <x v="10"/>
    <n v="4"/>
    <n v="2024"/>
  </r>
  <r>
    <s v="ORD-202443158"/>
    <s v="2024-10-09 12:19"/>
    <s v="Gloria Spencer"/>
    <s v="thomasgomez@example.net"/>
    <x v="4"/>
    <x v="3"/>
    <x v="10"/>
    <x v="0"/>
    <s v="Bank Transfer"/>
    <s v="Cancelled"/>
    <n v="8"/>
    <n v="1302.43"/>
    <n v="0.1"/>
    <x v="0"/>
    <s v="PH"/>
    <n v="0.12"/>
    <n v="50000"/>
    <n v="10419.44"/>
    <n v="1041.9440000000002"/>
    <n v="9377.496000000001"/>
    <n v="3600"/>
    <n v="5777.496000000001"/>
    <x v="9"/>
    <n v="4"/>
    <n v="2024"/>
  </r>
  <r>
    <s v="ORD-202449438"/>
    <s v="2024-02-16 07:19"/>
    <s v="Travis Vega"/>
    <s v="victorgonzalez@example.net"/>
    <x v="1"/>
    <x v="0"/>
    <x v="15"/>
    <x v="2"/>
    <s v="Credit Card"/>
    <s v="Returned"/>
    <n v="7"/>
    <n v="952.56"/>
    <n v="0"/>
    <x v="0"/>
    <s v="TH"/>
    <n v="7.0000000000000007E-2"/>
    <n v="40000"/>
    <n v="6667.92"/>
    <n v="0"/>
    <n v="6667.92"/>
    <n v="840"/>
    <n v="5827.92"/>
    <x v="0"/>
    <n v="1"/>
    <n v="2024"/>
  </r>
  <r>
    <s v="ORD-202471746"/>
    <s v="2024-07-30 10:45"/>
    <s v="Derek Perez"/>
    <s v="marykelly@example.org"/>
    <x v="8"/>
    <x v="3"/>
    <x v="7"/>
    <x v="2"/>
    <s v="Bank Transfer"/>
    <s v="Cancelled"/>
    <n v="9"/>
    <n v="1052.25"/>
    <n v="0"/>
    <x v="3"/>
    <s v="JP"/>
    <n v="0.1"/>
    <n v="50000"/>
    <n v="9470.25"/>
    <n v="0"/>
    <n v="9470.25"/>
    <n v="4050"/>
    <n v="5420.25"/>
    <x v="3"/>
    <n v="3"/>
    <n v="2024"/>
  </r>
  <r>
    <s v="ORD-202469409"/>
    <s v="2024-12-21 00:48"/>
    <s v="Blake Sosa"/>
    <s v="waustin@example.net"/>
    <x v="3"/>
    <x v="0"/>
    <x v="15"/>
    <x v="1"/>
    <s v="Debit Card"/>
    <s v="Cancelled"/>
    <n v="3"/>
    <n v="1189.6600000000001"/>
    <n v="0"/>
    <x v="0"/>
    <s v="ID"/>
    <n v="0.11"/>
    <n v="40000"/>
    <n v="3568.9800000000005"/>
    <n v="0"/>
    <n v="3568.9800000000005"/>
    <n v="360"/>
    <n v="3208.9800000000005"/>
    <x v="10"/>
    <n v="4"/>
    <n v="2024"/>
  </r>
  <r>
    <s v="ORD-202451120"/>
    <s v="2024-10-21 02:07"/>
    <s v="Sarah Watson"/>
    <s v="travis94@example.com"/>
    <x v="2"/>
    <x v="0"/>
    <x v="12"/>
    <x v="1"/>
    <s v="E-Wallet"/>
    <s v="Returned"/>
    <n v="3"/>
    <n v="1074.6400000000001"/>
    <n v="0.15"/>
    <x v="0"/>
    <s v="SG"/>
    <n v="7.0000000000000007E-2"/>
    <n v="40000"/>
    <n v="3223.92"/>
    <n v="483.58799999999997"/>
    <n v="2740.3320000000003"/>
    <n v="360"/>
    <n v="2380.3320000000003"/>
    <x v="9"/>
    <n v="4"/>
    <n v="2024"/>
  </r>
  <r>
    <s v="ORD-202472700"/>
    <s v="2024-03-09 08:11"/>
    <s v="Phillip Dixon"/>
    <s v="kwalker@example.org"/>
    <x v="6"/>
    <x v="4"/>
    <x v="23"/>
    <x v="3"/>
    <s v="Bank Transfer"/>
    <s v="Returned"/>
    <n v="7"/>
    <n v="310.02"/>
    <n v="0.05"/>
    <x v="2"/>
    <s v="IN"/>
    <n v="0.18"/>
    <n v="30000"/>
    <n v="2170.14"/>
    <n v="108.50700000000001"/>
    <n v="2061.6329999999998"/>
    <n v="1400"/>
    <n v="661.63299999999981"/>
    <x v="7"/>
    <n v="1"/>
    <n v="2024"/>
  </r>
  <r>
    <s v="ORD-202484762"/>
    <s v="2024-04-24 00:01"/>
    <s v="Robert Mendoza"/>
    <s v="shawphillip@example.net"/>
    <x v="5"/>
    <x v="1"/>
    <x v="9"/>
    <x v="2"/>
    <s v="Debit Card"/>
    <s v="Completed"/>
    <n v="8"/>
    <n v="1361.66"/>
    <n v="0"/>
    <x v="1"/>
    <s v="AU"/>
    <n v="0.1"/>
    <n v="45000"/>
    <n v="10893.28"/>
    <n v="0"/>
    <n v="10893.28"/>
    <n v="640"/>
    <n v="10253.280000000001"/>
    <x v="4"/>
    <n v="2"/>
    <n v="2024"/>
  </r>
  <r>
    <s v="ORD-202462564"/>
    <s v="2024-11-12 13:38"/>
    <s v="Joyce Martinez"/>
    <s v="astewart@example.org"/>
    <x v="0"/>
    <x v="0"/>
    <x v="20"/>
    <x v="0"/>
    <s v="Credit Card"/>
    <s v="Returned"/>
    <n v="3"/>
    <n v="1437.68"/>
    <n v="0.15"/>
    <x v="0"/>
    <s v="VN"/>
    <n v="0.1"/>
    <n v="40000"/>
    <n v="4313.04"/>
    <n v="646.95600000000002"/>
    <n v="3666.0839999999998"/>
    <n v="360"/>
    <n v="3306.0839999999998"/>
    <x v="11"/>
    <n v="4"/>
    <n v="2024"/>
  </r>
  <r>
    <s v="ORD-202469468"/>
    <s v="2024-12-10 15:07"/>
    <s v="Jamie Garcia"/>
    <s v="chloe42@example.net"/>
    <x v="1"/>
    <x v="0"/>
    <x v="0"/>
    <x v="1"/>
    <s v="Bank Transfer"/>
    <s v="Pending"/>
    <n v="5"/>
    <n v="1419.89"/>
    <n v="0.05"/>
    <x v="0"/>
    <s v="TH"/>
    <n v="7.0000000000000007E-2"/>
    <n v="40000"/>
    <n v="7099.4500000000007"/>
    <n v="354.97250000000008"/>
    <n v="6744.4775000000009"/>
    <n v="600"/>
    <n v="6144.4775000000009"/>
    <x v="10"/>
    <n v="4"/>
    <n v="2024"/>
  </r>
  <r>
    <s v="ORD-202466532"/>
    <s v="2024-04-15 19:13"/>
    <s v="Derrick Mullen"/>
    <s v="michael76@example.org"/>
    <x v="0"/>
    <x v="0"/>
    <x v="15"/>
    <x v="2"/>
    <s v="E-Wallet"/>
    <s v="Pending"/>
    <n v="3"/>
    <n v="282.85000000000002"/>
    <n v="0"/>
    <x v="0"/>
    <s v="VN"/>
    <n v="0.1"/>
    <n v="40000"/>
    <n v="848.55000000000007"/>
    <n v="0"/>
    <n v="848.55000000000007"/>
    <n v="360"/>
    <n v="488.55000000000007"/>
    <x v="4"/>
    <n v="2"/>
    <n v="2024"/>
  </r>
  <r>
    <s v="ORD-202490960"/>
    <s v="2024-08-18 07:23"/>
    <s v="Paul Diaz"/>
    <s v="lramirez@example.net"/>
    <x v="6"/>
    <x v="2"/>
    <x v="11"/>
    <x v="1"/>
    <s v="Debit Card"/>
    <s v="Returned"/>
    <n v="3"/>
    <n v="30.33"/>
    <n v="0.05"/>
    <x v="2"/>
    <s v="IN"/>
    <n v="0.18"/>
    <n v="35000"/>
    <n v="90.99"/>
    <n v="4.5495000000000001"/>
    <n v="86.4405"/>
    <n v="450"/>
    <n v="-363.55950000000001"/>
    <x v="5"/>
    <n v="3"/>
    <n v="2024"/>
  </r>
  <r>
    <s v="ORD-202465481"/>
    <s v="2024-11-01 08:04"/>
    <s v="Kenneth Perez"/>
    <s v="lelinda@example.net"/>
    <x v="7"/>
    <x v="1"/>
    <x v="13"/>
    <x v="2"/>
    <s v="Cash"/>
    <s v="Completed"/>
    <n v="4"/>
    <n v="92.39"/>
    <n v="0.1"/>
    <x v="0"/>
    <s v="MY"/>
    <n v="0.06"/>
    <n v="45000"/>
    <n v="369.56"/>
    <n v="36.956000000000003"/>
    <n v="332.60399999999998"/>
    <n v="320"/>
    <n v="12.603999999999985"/>
    <x v="11"/>
    <n v="4"/>
    <n v="2024"/>
  </r>
  <r>
    <s v="ORD-202410702"/>
    <s v="2024-05-09 16:39"/>
    <s v="James Thomas"/>
    <s v="thomassmith@example.com"/>
    <x v="8"/>
    <x v="4"/>
    <x v="19"/>
    <x v="0"/>
    <s v="Cash"/>
    <s v="Pending"/>
    <n v="3"/>
    <n v="1011.82"/>
    <n v="0.15"/>
    <x v="3"/>
    <s v="JP"/>
    <n v="0.1"/>
    <n v="30000"/>
    <n v="3035.46"/>
    <n v="455.31900000000002"/>
    <n v="2580.1410000000001"/>
    <n v="600"/>
    <n v="1980.1410000000001"/>
    <x v="2"/>
    <n v="2"/>
    <n v="2024"/>
  </r>
  <r>
    <s v="ORD-202444116"/>
    <s v="2024-03-27 16:31"/>
    <s v="Dr. Samuel Holmes DDS"/>
    <s v="jevans@example.net"/>
    <x v="4"/>
    <x v="2"/>
    <x v="21"/>
    <x v="3"/>
    <s v="E-Wallet"/>
    <s v="Completed"/>
    <n v="9"/>
    <n v="148.13"/>
    <n v="0.1"/>
    <x v="0"/>
    <s v="PH"/>
    <n v="0.12"/>
    <n v="35000"/>
    <n v="1333.17"/>
    <n v="133.31700000000001"/>
    <n v="1199.8530000000001"/>
    <n v="1350"/>
    <n v="-150.14699999999993"/>
    <x v="7"/>
    <n v="1"/>
    <n v="2024"/>
  </r>
  <r>
    <s v="ORD-202451060"/>
    <s v="2024-01-23 04:31"/>
    <s v="Brett Martin"/>
    <s v="lisawoods@example.net"/>
    <x v="0"/>
    <x v="4"/>
    <x v="19"/>
    <x v="2"/>
    <s v="Cash"/>
    <s v="Cancelled"/>
    <n v="5"/>
    <n v="435.14"/>
    <n v="0.15"/>
    <x v="0"/>
    <s v="VN"/>
    <n v="0.1"/>
    <n v="30000"/>
    <n v="2175.6999999999998"/>
    <n v="326.35499999999996"/>
    <n v="1849.3449999999998"/>
    <n v="1000"/>
    <n v="849.3449999999998"/>
    <x v="1"/>
    <n v="1"/>
    <n v="2024"/>
  </r>
  <r>
    <s v="ORD-202467117"/>
    <s v="2024-03-25 10:47"/>
    <s v="Patrick Green"/>
    <s v="ann45@example.org"/>
    <x v="9"/>
    <x v="0"/>
    <x v="12"/>
    <x v="3"/>
    <s v="Debit Card"/>
    <s v="Completed"/>
    <n v="8"/>
    <n v="1281.75"/>
    <n v="0"/>
    <x v="3"/>
    <s v="KR"/>
    <n v="0.1"/>
    <n v="40000"/>
    <n v="10254"/>
    <n v="0"/>
    <n v="10254"/>
    <n v="960"/>
    <n v="9294"/>
    <x v="7"/>
    <n v="1"/>
    <n v="2024"/>
  </r>
  <r>
    <s v="ORD-202440128"/>
    <s v="2024-04-03 01:30"/>
    <s v="Gregory Frazier"/>
    <s v="barbarasantos@example.net"/>
    <x v="0"/>
    <x v="0"/>
    <x v="15"/>
    <x v="1"/>
    <s v="E-Wallet"/>
    <s v="Returned"/>
    <n v="8"/>
    <n v="663.1"/>
    <n v="0"/>
    <x v="0"/>
    <s v="VN"/>
    <n v="0.1"/>
    <n v="40000"/>
    <n v="5304.8"/>
    <n v="0"/>
    <n v="5304.8"/>
    <n v="960"/>
    <n v="4344.8"/>
    <x v="4"/>
    <n v="2"/>
    <n v="2024"/>
  </r>
  <r>
    <s v="ORD-202469999"/>
    <s v="2024-09-09 03:54"/>
    <s v="Richard Kelly"/>
    <s v="champton@example.org"/>
    <x v="2"/>
    <x v="3"/>
    <x v="14"/>
    <x v="3"/>
    <s v="Cash"/>
    <s v="Cancelled"/>
    <n v="5"/>
    <n v="153.96"/>
    <n v="0"/>
    <x v="0"/>
    <s v="SG"/>
    <n v="7.0000000000000007E-2"/>
    <n v="50000"/>
    <n v="769.80000000000007"/>
    <n v="0"/>
    <n v="769.80000000000007"/>
    <n v="2250"/>
    <n v="-1480.1999999999998"/>
    <x v="6"/>
    <n v="3"/>
    <n v="2024"/>
  </r>
  <r>
    <s v="ORD-202483825"/>
    <s v="2024-12-05 18:13"/>
    <s v="Dustin Welch"/>
    <s v="mirandadavidson@example.com"/>
    <x v="6"/>
    <x v="3"/>
    <x v="10"/>
    <x v="0"/>
    <s v="Debit Card"/>
    <s v="Returned"/>
    <n v="3"/>
    <n v="1153.77"/>
    <n v="0.1"/>
    <x v="2"/>
    <s v="IN"/>
    <n v="0.18"/>
    <n v="50000"/>
    <n v="3461.31"/>
    <n v="346.13100000000003"/>
    <n v="3115.1790000000001"/>
    <n v="1350"/>
    <n v="1765.1790000000001"/>
    <x v="10"/>
    <n v="4"/>
    <n v="2024"/>
  </r>
  <r>
    <s v="ORD-202498723"/>
    <s v="2024-02-18 10:01"/>
    <s v="Logan Sullivan"/>
    <s v="millermatthew@example.com"/>
    <x v="0"/>
    <x v="3"/>
    <x v="3"/>
    <x v="3"/>
    <s v="Credit Card"/>
    <s v="Completed"/>
    <n v="2"/>
    <n v="569.73"/>
    <n v="0.05"/>
    <x v="0"/>
    <s v="VN"/>
    <n v="0.1"/>
    <n v="50000"/>
    <n v="1139.46"/>
    <n v="56.973000000000006"/>
    <n v="1082.4870000000001"/>
    <n v="900"/>
    <n v="182.48700000000008"/>
    <x v="0"/>
    <n v="1"/>
    <n v="2024"/>
  </r>
  <r>
    <s v="ORD-202470323"/>
    <s v="2024-12-28 21:30"/>
    <s v="Eddie Adams"/>
    <s v="cnelson@example.com"/>
    <x v="9"/>
    <x v="4"/>
    <x v="6"/>
    <x v="1"/>
    <s v="E-Wallet"/>
    <s v="Pending"/>
    <n v="6"/>
    <n v="992.14"/>
    <n v="0"/>
    <x v="3"/>
    <s v="KR"/>
    <n v="0.1"/>
    <n v="30000"/>
    <n v="5952.84"/>
    <n v="0"/>
    <n v="5952.84"/>
    <n v="1200"/>
    <n v="4752.84"/>
    <x v="10"/>
    <n v="4"/>
    <n v="2024"/>
  </r>
  <r>
    <s v="ORD-202437704"/>
    <s v="2024-01-25 20:18"/>
    <s v="Kelly Cole"/>
    <s v="ivanjohnson@example.net"/>
    <x v="4"/>
    <x v="3"/>
    <x v="8"/>
    <x v="0"/>
    <s v="Bank Transfer"/>
    <s v="Cancelled"/>
    <n v="10"/>
    <n v="827.53"/>
    <n v="0.1"/>
    <x v="0"/>
    <s v="PH"/>
    <n v="0.12"/>
    <n v="50000"/>
    <n v="8275.2999999999993"/>
    <n v="827.53"/>
    <n v="7447.7699999999995"/>
    <n v="4500"/>
    <n v="2947.7699999999995"/>
    <x v="1"/>
    <n v="1"/>
    <n v="2024"/>
  </r>
  <r>
    <s v="ORD-202433332"/>
    <s v="2024-05-02 12:05"/>
    <s v="David Manning"/>
    <s v="clarkrandy@example.org"/>
    <x v="3"/>
    <x v="0"/>
    <x v="0"/>
    <x v="3"/>
    <s v="Credit Card"/>
    <s v="Cancelled"/>
    <n v="7"/>
    <n v="591.92999999999995"/>
    <n v="0.05"/>
    <x v="0"/>
    <s v="ID"/>
    <n v="0.11"/>
    <n v="40000"/>
    <n v="4143.5099999999993"/>
    <n v="207.17549999999997"/>
    <n v="3936.3344999999995"/>
    <n v="840"/>
    <n v="3096.3344999999995"/>
    <x v="2"/>
    <n v="2"/>
    <n v="2024"/>
  </r>
  <r>
    <s v="ORD-202474336"/>
    <s v="2024-08-09 23:51"/>
    <s v="Shawn Kelley"/>
    <s v="wisealexandria@example.org"/>
    <x v="0"/>
    <x v="1"/>
    <x v="9"/>
    <x v="3"/>
    <s v="Bank Transfer"/>
    <s v="Returned"/>
    <n v="2"/>
    <n v="548.17999999999995"/>
    <n v="0.05"/>
    <x v="0"/>
    <s v="VN"/>
    <n v="0.1"/>
    <n v="45000"/>
    <n v="1096.3599999999999"/>
    <n v="54.817999999999998"/>
    <n v="1041.5419999999999"/>
    <n v="160"/>
    <n v="881.54199999999992"/>
    <x v="5"/>
    <n v="3"/>
    <n v="2024"/>
  </r>
  <r>
    <s v="ORD-202460867"/>
    <s v="2024-08-31 08:36"/>
    <s v="Luke Miller"/>
    <s v="pparker@example.net"/>
    <x v="6"/>
    <x v="2"/>
    <x v="11"/>
    <x v="3"/>
    <s v="Bank Transfer"/>
    <s v="Returned"/>
    <n v="6"/>
    <n v="1138.3900000000001"/>
    <n v="0.15"/>
    <x v="2"/>
    <s v="IN"/>
    <n v="0.18"/>
    <n v="35000"/>
    <n v="6830.34"/>
    <n v="1024.5509999999999"/>
    <n v="5805.7890000000007"/>
    <n v="900"/>
    <n v="4905.7890000000007"/>
    <x v="5"/>
    <n v="3"/>
    <n v="2024"/>
  </r>
  <r>
    <s v="ORD-202422182"/>
    <s v="2024-01-21 16:21"/>
    <s v="Mark Anderson"/>
    <s v="anthonyalvarado@example.com"/>
    <x v="9"/>
    <x v="0"/>
    <x v="0"/>
    <x v="0"/>
    <s v="E-Wallet"/>
    <s v="Returned"/>
    <n v="9"/>
    <n v="1397.04"/>
    <n v="0.2"/>
    <x v="3"/>
    <s v="KR"/>
    <n v="0.1"/>
    <n v="40000"/>
    <n v="12573.36"/>
    <n v="2514.6720000000005"/>
    <n v="10058.688"/>
    <n v="1080"/>
    <n v="8978.6880000000001"/>
    <x v="1"/>
    <n v="1"/>
    <n v="2024"/>
  </r>
  <r>
    <s v="ORD-202467325"/>
    <s v="2024-02-10 15:19"/>
    <s v="Julie Pitts"/>
    <s v="amy28@example.org"/>
    <x v="2"/>
    <x v="0"/>
    <x v="4"/>
    <x v="2"/>
    <s v="Cash"/>
    <s v="Completed"/>
    <n v="9"/>
    <n v="1264.68"/>
    <n v="0.1"/>
    <x v="0"/>
    <s v="SG"/>
    <n v="7.0000000000000007E-2"/>
    <n v="40000"/>
    <n v="11382.12"/>
    <n v="1138.2120000000002"/>
    <n v="10243.908000000001"/>
    <n v="1080"/>
    <n v="9163.9080000000013"/>
    <x v="0"/>
    <n v="1"/>
    <n v="2024"/>
  </r>
  <r>
    <s v="ORD-202482219"/>
    <s v="2024-02-09 01:32"/>
    <s v="Joyce Curry"/>
    <s v="omills@example.net"/>
    <x v="7"/>
    <x v="1"/>
    <x v="24"/>
    <x v="2"/>
    <s v="E-Wallet"/>
    <s v="Cancelled"/>
    <n v="8"/>
    <n v="628.33000000000004"/>
    <n v="0.2"/>
    <x v="0"/>
    <s v="MY"/>
    <n v="0.06"/>
    <n v="45000"/>
    <n v="5026.6400000000003"/>
    <n v="1005.3280000000001"/>
    <n v="4021.3120000000004"/>
    <n v="640"/>
    <n v="3381.3120000000004"/>
    <x v="0"/>
    <n v="1"/>
    <n v="2024"/>
  </r>
  <r>
    <s v="ORD-202486751"/>
    <s v="2024-02-11 16:01"/>
    <s v="Gregory Fernandez"/>
    <s v="ramosmichael@example.com"/>
    <x v="7"/>
    <x v="2"/>
    <x v="21"/>
    <x v="0"/>
    <s v="Bank Transfer"/>
    <s v="Cancelled"/>
    <n v="7"/>
    <n v="1182.47"/>
    <n v="0"/>
    <x v="0"/>
    <s v="MY"/>
    <n v="0.06"/>
    <n v="35000"/>
    <n v="8277.2900000000009"/>
    <n v="0"/>
    <n v="8277.2900000000009"/>
    <n v="1050"/>
    <n v="7227.2900000000009"/>
    <x v="0"/>
    <n v="1"/>
    <n v="2024"/>
  </r>
  <r>
    <s v="ORD-202451149"/>
    <s v="2024-10-27 23:29"/>
    <s v="Adam Mills"/>
    <s v="mauriceharrison@example.org"/>
    <x v="9"/>
    <x v="1"/>
    <x v="22"/>
    <x v="3"/>
    <s v="Credit Card"/>
    <s v="Cancelled"/>
    <n v="3"/>
    <n v="521.88"/>
    <n v="0"/>
    <x v="3"/>
    <s v="KR"/>
    <n v="0.1"/>
    <n v="45000"/>
    <n v="1565.6399999999999"/>
    <n v="0"/>
    <n v="1565.6399999999999"/>
    <n v="240"/>
    <n v="1325.6399999999999"/>
    <x v="9"/>
    <n v="4"/>
    <n v="2024"/>
  </r>
  <r>
    <s v="ORD-202498265"/>
    <s v="2024-02-24 13:34"/>
    <s v="Katherine Campos"/>
    <s v="albert64@example.net"/>
    <x v="3"/>
    <x v="3"/>
    <x v="3"/>
    <x v="1"/>
    <s v="Bank Transfer"/>
    <s v="Returned"/>
    <n v="3"/>
    <n v="188.27"/>
    <n v="0.2"/>
    <x v="0"/>
    <s v="ID"/>
    <n v="0.11"/>
    <n v="50000"/>
    <n v="564.81000000000006"/>
    <n v="112.96200000000002"/>
    <n v="451.84800000000007"/>
    <n v="1350"/>
    <n v="-898.15199999999993"/>
    <x v="0"/>
    <n v="1"/>
    <n v="2024"/>
  </r>
  <r>
    <s v="ORD-202496208"/>
    <s v="2024-11-04 23:31"/>
    <s v="Adam Brooks"/>
    <s v="bkhan@example.com"/>
    <x v="0"/>
    <x v="1"/>
    <x v="1"/>
    <x v="0"/>
    <s v="Debit Card"/>
    <s v="Pending"/>
    <n v="7"/>
    <n v="550.67999999999995"/>
    <n v="0.05"/>
    <x v="0"/>
    <s v="VN"/>
    <n v="0.1"/>
    <n v="45000"/>
    <n v="3854.7599999999998"/>
    <n v="192.738"/>
    <n v="3662.0219999999999"/>
    <n v="560"/>
    <n v="3102.0219999999999"/>
    <x v="11"/>
    <n v="4"/>
    <n v="2024"/>
  </r>
  <r>
    <s v="ORD-202411818"/>
    <s v="2024-04-07 03:52"/>
    <s v="Miguel Brewer"/>
    <s v="fwalker@example.com"/>
    <x v="3"/>
    <x v="0"/>
    <x v="20"/>
    <x v="3"/>
    <s v="Bank Transfer"/>
    <s v="Pending"/>
    <n v="3"/>
    <n v="325.70999999999998"/>
    <n v="0.2"/>
    <x v="0"/>
    <s v="ID"/>
    <n v="0.11"/>
    <n v="40000"/>
    <n v="977.12999999999988"/>
    <n v="195.42599999999999"/>
    <n v="781.70399999999995"/>
    <n v="360"/>
    <n v="421.70399999999995"/>
    <x v="4"/>
    <n v="2"/>
    <n v="2024"/>
  </r>
  <r>
    <s v="ORD-202421284"/>
    <s v="2024-06-03 14:09"/>
    <s v="Kellie Marsh"/>
    <s v="justin84@example.com"/>
    <x v="9"/>
    <x v="2"/>
    <x v="11"/>
    <x v="1"/>
    <s v="Bank Transfer"/>
    <s v="Returned"/>
    <n v="3"/>
    <n v="187.94"/>
    <n v="0.2"/>
    <x v="3"/>
    <s v="KR"/>
    <n v="0.1"/>
    <n v="35000"/>
    <n v="563.81999999999994"/>
    <n v="112.764"/>
    <n v="451.05599999999993"/>
    <n v="450"/>
    <n v="1.0559999999999263"/>
    <x v="8"/>
    <n v="2"/>
    <n v="2024"/>
  </r>
  <r>
    <s v="ORD-202412572"/>
    <s v="2024-08-18 18:15"/>
    <s v="Barry Taylor"/>
    <s v="walshchristine@example.com"/>
    <x v="1"/>
    <x v="4"/>
    <x v="6"/>
    <x v="2"/>
    <s v="Credit Card"/>
    <s v="Completed"/>
    <n v="7"/>
    <n v="1246.73"/>
    <n v="0"/>
    <x v="0"/>
    <s v="TH"/>
    <n v="7.0000000000000007E-2"/>
    <n v="30000"/>
    <n v="8727.11"/>
    <n v="0"/>
    <n v="8727.11"/>
    <n v="1400"/>
    <n v="7327.1100000000006"/>
    <x v="5"/>
    <n v="3"/>
    <n v="2024"/>
  </r>
  <r>
    <s v="ORD-202492629"/>
    <s v="2024-08-09 13:54"/>
    <s v="Katherine Flores"/>
    <s v="brandonnichols@example.org"/>
    <x v="9"/>
    <x v="1"/>
    <x v="1"/>
    <x v="1"/>
    <s v="Bank Transfer"/>
    <s v="Returned"/>
    <n v="5"/>
    <n v="1100.6500000000001"/>
    <n v="0"/>
    <x v="3"/>
    <s v="KR"/>
    <n v="0.1"/>
    <n v="45000"/>
    <n v="5503.25"/>
    <n v="0"/>
    <n v="5503.25"/>
    <n v="400"/>
    <n v="5103.25"/>
    <x v="5"/>
    <n v="3"/>
    <n v="2024"/>
  </r>
  <r>
    <s v="ORD-202477286"/>
    <s v="2024-10-29 23:39"/>
    <s v="Diane Martinez"/>
    <s v="oacosta@example.org"/>
    <x v="9"/>
    <x v="0"/>
    <x v="20"/>
    <x v="2"/>
    <s v="Cash"/>
    <s v="Completed"/>
    <n v="7"/>
    <n v="799.54"/>
    <n v="0.15"/>
    <x v="3"/>
    <s v="KR"/>
    <n v="0.1"/>
    <n v="40000"/>
    <n v="5596.78"/>
    <n v="839.51699999999994"/>
    <n v="4757.2629999999999"/>
    <n v="840"/>
    <n v="3917.2629999999999"/>
    <x v="9"/>
    <n v="4"/>
    <n v="2024"/>
  </r>
  <r>
    <s v="ORD-202445107"/>
    <s v="2024-11-27 13:56"/>
    <s v="Johnny Peterson"/>
    <s v="kristi75@example.com"/>
    <x v="9"/>
    <x v="3"/>
    <x v="3"/>
    <x v="1"/>
    <s v="Credit Card"/>
    <s v="Pending"/>
    <n v="6"/>
    <n v="939.7"/>
    <n v="0.1"/>
    <x v="3"/>
    <s v="KR"/>
    <n v="0.1"/>
    <n v="50000"/>
    <n v="5638.2000000000007"/>
    <n v="563.82000000000005"/>
    <n v="5074.380000000001"/>
    <n v="2700"/>
    <n v="2374.380000000001"/>
    <x v="11"/>
    <n v="4"/>
    <n v="2024"/>
  </r>
  <r>
    <s v="ORD-202447750"/>
    <s v="2024-04-08 15:22"/>
    <s v="Amanda Miller"/>
    <s v="brianrowe@example.org"/>
    <x v="9"/>
    <x v="0"/>
    <x v="12"/>
    <x v="1"/>
    <s v="Debit Card"/>
    <s v="Cancelled"/>
    <n v="6"/>
    <n v="341.26"/>
    <n v="0.15"/>
    <x v="3"/>
    <s v="KR"/>
    <n v="0.1"/>
    <n v="40000"/>
    <n v="2047.56"/>
    <n v="307.13399999999996"/>
    <n v="1740.4259999999999"/>
    <n v="720"/>
    <n v="1020.4259999999999"/>
    <x v="4"/>
    <n v="2"/>
    <n v="2024"/>
  </r>
  <r>
    <s v="ORD-202461166"/>
    <s v="2024-08-01 21:41"/>
    <s v="Catherine Huang"/>
    <s v="lisa01@example.net"/>
    <x v="4"/>
    <x v="2"/>
    <x v="21"/>
    <x v="0"/>
    <s v="Bank Transfer"/>
    <s v="Pending"/>
    <n v="5"/>
    <n v="938.44"/>
    <n v="0.2"/>
    <x v="0"/>
    <s v="PH"/>
    <n v="0.12"/>
    <n v="35000"/>
    <n v="4692.2000000000007"/>
    <n v="938.44000000000017"/>
    <n v="3753.7600000000007"/>
    <n v="750"/>
    <n v="3003.7600000000007"/>
    <x v="5"/>
    <n v="3"/>
    <n v="2024"/>
  </r>
  <r>
    <s v="ORD-202432713"/>
    <s v="2024-04-12 05:38"/>
    <s v="Ray Ramos"/>
    <s v="gonzalezjill@example.org"/>
    <x v="9"/>
    <x v="3"/>
    <x v="3"/>
    <x v="3"/>
    <s v="Debit Card"/>
    <s v="Completed"/>
    <n v="8"/>
    <n v="1415.44"/>
    <n v="0.05"/>
    <x v="3"/>
    <s v="KR"/>
    <n v="0.1"/>
    <n v="50000"/>
    <n v="11323.52"/>
    <n v="566.17600000000004"/>
    <n v="10757.344000000001"/>
    <n v="3600"/>
    <n v="7157.344000000001"/>
    <x v="4"/>
    <n v="2"/>
    <n v="2024"/>
  </r>
  <r>
    <s v="ORD-202412376"/>
    <s v="2024-07-02 08:22"/>
    <s v="Vickie Kennedy"/>
    <s v="sharon20@example.net"/>
    <x v="2"/>
    <x v="0"/>
    <x v="12"/>
    <x v="1"/>
    <s v="Credit Card"/>
    <s v="Pending"/>
    <n v="2"/>
    <n v="62.48"/>
    <n v="0.05"/>
    <x v="0"/>
    <s v="SG"/>
    <n v="7.0000000000000007E-2"/>
    <n v="40000"/>
    <n v="124.96"/>
    <n v="6.2480000000000002"/>
    <n v="118.71199999999999"/>
    <n v="240"/>
    <n v="-121.28800000000001"/>
    <x v="3"/>
    <n v="3"/>
    <n v="2024"/>
  </r>
  <r>
    <s v="ORD-202425818"/>
    <s v="2024-10-14 07:31"/>
    <s v="Kelly King"/>
    <s v="james03@example.org"/>
    <x v="0"/>
    <x v="4"/>
    <x v="23"/>
    <x v="3"/>
    <s v="Cash"/>
    <s v="Completed"/>
    <n v="9"/>
    <n v="1157.52"/>
    <n v="0.05"/>
    <x v="0"/>
    <s v="VN"/>
    <n v="0.1"/>
    <n v="30000"/>
    <n v="10417.68"/>
    <n v="520.88400000000001"/>
    <n v="9896.7960000000003"/>
    <n v="1800"/>
    <n v="8096.7960000000003"/>
    <x v="9"/>
    <n v="4"/>
    <n v="2024"/>
  </r>
  <r>
    <s v="ORD-202416608"/>
    <s v="2024-08-12 14:53"/>
    <s v="Jeffrey Smith"/>
    <s v="brenda63@example.org"/>
    <x v="7"/>
    <x v="3"/>
    <x v="10"/>
    <x v="0"/>
    <s v="Cash"/>
    <s v="Completed"/>
    <n v="2"/>
    <n v="920.34"/>
    <n v="0.15"/>
    <x v="0"/>
    <s v="MY"/>
    <n v="0.06"/>
    <n v="50000"/>
    <n v="1840.68"/>
    <n v="276.10199999999998"/>
    <n v="1564.578"/>
    <n v="900"/>
    <n v="664.57799999999997"/>
    <x v="5"/>
    <n v="3"/>
    <n v="2024"/>
  </r>
  <r>
    <s v="ORD-202431895"/>
    <s v="2024-11-18 03:55"/>
    <s v="Lauren Vazquez"/>
    <s v="nathandavis@example.org"/>
    <x v="1"/>
    <x v="4"/>
    <x v="5"/>
    <x v="1"/>
    <s v="Credit Card"/>
    <s v="Pending"/>
    <n v="8"/>
    <n v="1096.5999999999999"/>
    <n v="0.15"/>
    <x v="0"/>
    <s v="TH"/>
    <n v="7.0000000000000007E-2"/>
    <n v="30000"/>
    <n v="8772.7999999999993"/>
    <n v="1315.9199999999998"/>
    <n v="7456.8799999999992"/>
    <n v="1600"/>
    <n v="5856.8799999999992"/>
    <x v="11"/>
    <n v="4"/>
    <n v="2024"/>
  </r>
  <r>
    <s v="ORD-202494815"/>
    <s v="2024-07-05 10:52"/>
    <s v="Mr. George Booker DDS"/>
    <s v="browndeanna@example.net"/>
    <x v="2"/>
    <x v="3"/>
    <x v="7"/>
    <x v="3"/>
    <s v="Bank Transfer"/>
    <s v="Cancelled"/>
    <n v="7"/>
    <n v="667.08"/>
    <n v="0"/>
    <x v="0"/>
    <s v="SG"/>
    <n v="7.0000000000000007E-2"/>
    <n v="50000"/>
    <n v="4669.5600000000004"/>
    <n v="0"/>
    <n v="4669.5600000000004"/>
    <n v="3150"/>
    <n v="1519.5600000000004"/>
    <x v="3"/>
    <n v="3"/>
    <n v="2024"/>
  </r>
  <r>
    <s v="ORD-202447585"/>
    <s v="2024-09-15 05:05"/>
    <s v="Ashley Freeman"/>
    <s v="tina57@example.net"/>
    <x v="0"/>
    <x v="4"/>
    <x v="19"/>
    <x v="1"/>
    <s v="Debit Card"/>
    <s v="Pending"/>
    <n v="4"/>
    <n v="550.55999999999995"/>
    <n v="0"/>
    <x v="0"/>
    <s v="VN"/>
    <n v="0.1"/>
    <n v="30000"/>
    <n v="2202.2399999999998"/>
    <n v="0"/>
    <n v="2202.2399999999998"/>
    <n v="800"/>
    <n v="1402.2399999999998"/>
    <x v="6"/>
    <n v="3"/>
    <n v="2024"/>
  </r>
  <r>
    <s v="ORD-202466206"/>
    <s v="2024-07-30 13:57"/>
    <s v="Michael Howard"/>
    <s v="johnwilliams@example.net"/>
    <x v="9"/>
    <x v="1"/>
    <x v="22"/>
    <x v="0"/>
    <s v="Cash"/>
    <s v="Completed"/>
    <n v="8"/>
    <n v="1416.45"/>
    <n v="0"/>
    <x v="3"/>
    <s v="KR"/>
    <n v="0.1"/>
    <n v="45000"/>
    <n v="11331.6"/>
    <n v="0"/>
    <n v="11331.6"/>
    <n v="640"/>
    <n v="10691.6"/>
    <x v="3"/>
    <n v="3"/>
    <n v="2024"/>
  </r>
  <r>
    <s v="ORD-202421112"/>
    <s v="2024-06-22 10:25"/>
    <s v="Edward Terry"/>
    <s v="ashleystephens@example.com"/>
    <x v="2"/>
    <x v="2"/>
    <x v="11"/>
    <x v="3"/>
    <s v="Cash"/>
    <s v="Completed"/>
    <n v="1"/>
    <n v="599"/>
    <n v="0.2"/>
    <x v="0"/>
    <s v="SG"/>
    <n v="7.0000000000000007E-2"/>
    <n v="35000"/>
    <n v="599"/>
    <n v="119.80000000000001"/>
    <n v="479.2"/>
    <n v="150"/>
    <n v="329.2"/>
    <x v="8"/>
    <n v="2"/>
    <n v="2024"/>
  </r>
  <r>
    <s v="ORD-202492786"/>
    <s v="2024-12-04 16:18"/>
    <s v="Denise Guerra"/>
    <s v="caseymoore@example.com"/>
    <x v="8"/>
    <x v="2"/>
    <x v="18"/>
    <x v="0"/>
    <s v="E-Wallet"/>
    <s v="Pending"/>
    <n v="6"/>
    <n v="1312.22"/>
    <n v="0.05"/>
    <x v="3"/>
    <s v="JP"/>
    <n v="0.1"/>
    <n v="35000"/>
    <n v="7873.32"/>
    <n v="393.666"/>
    <n v="7479.6539999999995"/>
    <n v="900"/>
    <n v="6579.6539999999995"/>
    <x v="10"/>
    <n v="4"/>
    <n v="2024"/>
  </r>
  <r>
    <s v="ORD-202462944"/>
    <s v="2024-08-16 20:13"/>
    <s v="Kimberly Gibson"/>
    <s v="bgross@example.net"/>
    <x v="5"/>
    <x v="1"/>
    <x v="1"/>
    <x v="1"/>
    <s v="Debit Card"/>
    <s v="Cancelled"/>
    <n v="6"/>
    <n v="983.28"/>
    <n v="0.2"/>
    <x v="1"/>
    <s v="AU"/>
    <n v="0.1"/>
    <n v="45000"/>
    <n v="5899.68"/>
    <n v="1179.9360000000001"/>
    <n v="4719.7440000000006"/>
    <n v="480"/>
    <n v="4239.7440000000006"/>
    <x v="5"/>
    <n v="3"/>
    <n v="2024"/>
  </r>
  <r>
    <s v="ORD-202421046"/>
    <s v="2024-01-19 17:21"/>
    <s v="Patty Allen"/>
    <s v="barrettamber@example.com"/>
    <x v="8"/>
    <x v="0"/>
    <x v="12"/>
    <x v="0"/>
    <s v="Cash"/>
    <s v="Cancelled"/>
    <n v="5"/>
    <n v="1488.01"/>
    <n v="0"/>
    <x v="3"/>
    <s v="JP"/>
    <n v="0.1"/>
    <n v="40000"/>
    <n v="7440.05"/>
    <n v="0"/>
    <n v="7440.05"/>
    <n v="600"/>
    <n v="6840.05"/>
    <x v="1"/>
    <n v="1"/>
    <n v="2024"/>
  </r>
  <r>
    <s v="ORD-202478332"/>
    <s v="2024-06-23 20:10"/>
    <s v="Michael Cannon"/>
    <s v="chloemorris@example.net"/>
    <x v="3"/>
    <x v="3"/>
    <x v="10"/>
    <x v="1"/>
    <s v="Cash"/>
    <s v="Completed"/>
    <n v="4"/>
    <n v="894.87"/>
    <n v="0.05"/>
    <x v="0"/>
    <s v="ID"/>
    <n v="0.11"/>
    <n v="50000"/>
    <n v="3579.48"/>
    <n v="178.97400000000002"/>
    <n v="3400.5059999999999"/>
    <n v="1800"/>
    <n v="1600.5059999999999"/>
    <x v="8"/>
    <n v="2"/>
    <n v="2024"/>
  </r>
  <r>
    <s v="ORD-202417857"/>
    <s v="2024-07-09 08:40"/>
    <s v="Brent Hopkins"/>
    <s v="conleydavid@example.org"/>
    <x v="5"/>
    <x v="4"/>
    <x v="16"/>
    <x v="2"/>
    <s v="Cash"/>
    <s v="Completed"/>
    <n v="2"/>
    <n v="85.88"/>
    <n v="0.1"/>
    <x v="1"/>
    <s v="AU"/>
    <n v="0.1"/>
    <n v="30000"/>
    <n v="171.76"/>
    <n v="17.175999999999998"/>
    <n v="154.584"/>
    <n v="400"/>
    <n v="-245.416"/>
    <x v="3"/>
    <n v="3"/>
    <n v="2024"/>
  </r>
  <r>
    <s v="ORD-202469394"/>
    <s v="2024-06-22 07:51"/>
    <s v="John Garcia"/>
    <s v="hbarrett@example.net"/>
    <x v="6"/>
    <x v="1"/>
    <x v="1"/>
    <x v="2"/>
    <s v="E-Wallet"/>
    <s v="Pending"/>
    <n v="4"/>
    <n v="1269.08"/>
    <n v="0.05"/>
    <x v="2"/>
    <s v="IN"/>
    <n v="0.18"/>
    <n v="45000"/>
    <n v="5076.32"/>
    <n v="253.816"/>
    <n v="4822.5039999999999"/>
    <n v="320"/>
    <n v="4502.5039999999999"/>
    <x v="8"/>
    <n v="2"/>
    <n v="2024"/>
  </r>
  <r>
    <s v="ORD-202459501"/>
    <s v="2024-09-23 23:15"/>
    <s v="Dawn Diaz"/>
    <s v="smithsamantha@example.net"/>
    <x v="7"/>
    <x v="4"/>
    <x v="6"/>
    <x v="0"/>
    <s v="Debit Card"/>
    <s v="Returned"/>
    <n v="6"/>
    <n v="879.82"/>
    <n v="0.1"/>
    <x v="0"/>
    <s v="MY"/>
    <n v="0.06"/>
    <n v="30000"/>
    <n v="5278.92"/>
    <n v="527.89200000000005"/>
    <n v="4751.0280000000002"/>
    <n v="1200"/>
    <n v="3551.0280000000002"/>
    <x v="6"/>
    <n v="3"/>
    <n v="2024"/>
  </r>
  <r>
    <s v="ORD-202464008"/>
    <s v="2024-02-11 02:03"/>
    <s v="Steve Miller PhD"/>
    <s v="wardjulia@example.com"/>
    <x v="8"/>
    <x v="0"/>
    <x v="15"/>
    <x v="1"/>
    <s v="Cash"/>
    <s v="Returned"/>
    <n v="2"/>
    <n v="333.95"/>
    <n v="0.05"/>
    <x v="3"/>
    <s v="JP"/>
    <n v="0.1"/>
    <n v="40000"/>
    <n v="667.9"/>
    <n v="33.395000000000003"/>
    <n v="634.505"/>
    <n v="240"/>
    <n v="394.505"/>
    <x v="0"/>
    <n v="1"/>
    <n v="2024"/>
  </r>
  <r>
    <s v="ORD-202444562"/>
    <s v="2024-10-26 15:40"/>
    <s v="Rebecca Brown"/>
    <s v="allison14@example.org"/>
    <x v="8"/>
    <x v="2"/>
    <x v="17"/>
    <x v="3"/>
    <s v="Cash"/>
    <s v="Pending"/>
    <n v="7"/>
    <n v="1101.5999999999999"/>
    <n v="0"/>
    <x v="3"/>
    <s v="JP"/>
    <n v="0.1"/>
    <n v="35000"/>
    <n v="7711.1999999999989"/>
    <n v="0"/>
    <n v="7711.1999999999989"/>
    <n v="1050"/>
    <n v="6661.1999999999989"/>
    <x v="9"/>
    <n v="4"/>
    <n v="2024"/>
  </r>
  <r>
    <s v="ORD-202473539"/>
    <s v="2024-12-30 14:08"/>
    <s v="Toni Davis"/>
    <s v="amandalopez@example.net"/>
    <x v="5"/>
    <x v="1"/>
    <x v="13"/>
    <x v="0"/>
    <s v="Debit Card"/>
    <s v="Cancelled"/>
    <n v="8"/>
    <n v="1046.29"/>
    <n v="0.1"/>
    <x v="1"/>
    <s v="AU"/>
    <n v="0.1"/>
    <n v="45000"/>
    <n v="8370.32"/>
    <n v="837.03200000000004"/>
    <n v="7533.2879999999996"/>
    <n v="640"/>
    <n v="6893.2879999999996"/>
    <x v="10"/>
    <n v="4"/>
    <n v="2024"/>
  </r>
  <r>
    <s v="ORD-202425566"/>
    <s v="2024-11-04 13:07"/>
    <s v="Laura Meza"/>
    <s v="xreese@example.net"/>
    <x v="7"/>
    <x v="4"/>
    <x v="6"/>
    <x v="0"/>
    <s v="E-Wallet"/>
    <s v="Cancelled"/>
    <n v="9"/>
    <n v="445.04"/>
    <n v="0"/>
    <x v="0"/>
    <s v="MY"/>
    <n v="0.06"/>
    <n v="30000"/>
    <n v="4005.36"/>
    <n v="0"/>
    <n v="4005.36"/>
    <n v="1800"/>
    <n v="2205.36"/>
    <x v="11"/>
    <n v="4"/>
    <n v="2024"/>
  </r>
  <r>
    <s v="ORD-202459081"/>
    <s v="2024-06-04 09:31"/>
    <s v="Megan Park"/>
    <s v="kandrade@example.org"/>
    <x v="3"/>
    <x v="0"/>
    <x v="0"/>
    <x v="2"/>
    <s v="E-Wallet"/>
    <s v="Pending"/>
    <n v="7"/>
    <n v="1178.93"/>
    <n v="0"/>
    <x v="0"/>
    <s v="ID"/>
    <n v="0.11"/>
    <n v="40000"/>
    <n v="8252.51"/>
    <n v="0"/>
    <n v="8252.51"/>
    <n v="840"/>
    <n v="7412.51"/>
    <x v="8"/>
    <n v="2"/>
    <n v="2024"/>
  </r>
  <r>
    <s v="ORD-202433996"/>
    <s v="2024-09-07 00:07"/>
    <s v="Kathy Sandoval"/>
    <s v="umahoney@example.net"/>
    <x v="5"/>
    <x v="4"/>
    <x v="16"/>
    <x v="2"/>
    <s v="Cash"/>
    <s v="Returned"/>
    <n v="7"/>
    <n v="1307.58"/>
    <n v="0.1"/>
    <x v="1"/>
    <s v="AU"/>
    <n v="0.1"/>
    <n v="30000"/>
    <n v="9153.06"/>
    <n v="915.30600000000004"/>
    <n v="8237.753999999999"/>
    <n v="1400"/>
    <n v="6837.753999999999"/>
    <x v="6"/>
    <n v="3"/>
    <n v="2024"/>
  </r>
  <r>
    <s v="ORD-202454279"/>
    <s v="2024-07-12 15:53"/>
    <s v="Erika Watson PhD"/>
    <s v="umckenzie@example.net"/>
    <x v="6"/>
    <x v="0"/>
    <x v="0"/>
    <x v="1"/>
    <s v="Debit Card"/>
    <s v="Cancelled"/>
    <n v="8"/>
    <n v="764.57"/>
    <n v="0.1"/>
    <x v="2"/>
    <s v="IN"/>
    <n v="0.18"/>
    <n v="40000"/>
    <n v="6116.56"/>
    <n v="611.65600000000006"/>
    <n v="5504.9040000000005"/>
    <n v="960"/>
    <n v="4544.9040000000005"/>
    <x v="3"/>
    <n v="3"/>
    <n v="2024"/>
  </r>
  <r>
    <s v="ORD-202421706"/>
    <s v="2024-11-15 21:39"/>
    <s v="Joshua Brooks"/>
    <s v="michael77@example.com"/>
    <x v="8"/>
    <x v="2"/>
    <x v="21"/>
    <x v="0"/>
    <s v="Bank Transfer"/>
    <s v="Cancelled"/>
    <n v="6"/>
    <n v="1351.86"/>
    <n v="0.15"/>
    <x v="3"/>
    <s v="JP"/>
    <n v="0.1"/>
    <n v="35000"/>
    <n v="8111.16"/>
    <n v="1216.674"/>
    <n v="6894.4859999999999"/>
    <n v="900"/>
    <n v="5994.4859999999999"/>
    <x v="11"/>
    <n v="4"/>
    <n v="2024"/>
  </r>
  <r>
    <s v="ORD-202494661"/>
    <s v="2024-02-15 05:45"/>
    <s v="Andrew Mitchell"/>
    <s v="holmesvictoria@example.com"/>
    <x v="3"/>
    <x v="1"/>
    <x v="22"/>
    <x v="0"/>
    <s v="Debit Card"/>
    <s v="Completed"/>
    <n v="2"/>
    <n v="848.15"/>
    <n v="0.2"/>
    <x v="0"/>
    <s v="ID"/>
    <n v="0.11"/>
    <n v="45000"/>
    <n v="1696.3"/>
    <n v="339.26"/>
    <n v="1357.04"/>
    <n v="160"/>
    <n v="1197.04"/>
    <x v="0"/>
    <n v="1"/>
    <n v="2024"/>
  </r>
  <r>
    <s v="ORD-202484743"/>
    <s v="2024-09-24 06:48"/>
    <s v="William Lewis"/>
    <s v="andrew48@example.net"/>
    <x v="9"/>
    <x v="1"/>
    <x v="13"/>
    <x v="0"/>
    <s v="E-Wallet"/>
    <s v="Pending"/>
    <n v="9"/>
    <n v="193.62"/>
    <n v="0"/>
    <x v="3"/>
    <s v="KR"/>
    <n v="0.1"/>
    <n v="45000"/>
    <n v="1742.58"/>
    <n v="0"/>
    <n v="1742.58"/>
    <n v="720"/>
    <n v="1022.5799999999999"/>
    <x v="6"/>
    <n v="3"/>
    <n v="2024"/>
  </r>
  <r>
    <s v="ORD-202442150"/>
    <s v="2024-12-27 18:28"/>
    <s v="Tammy Moore"/>
    <s v="stevenseric@example.com"/>
    <x v="7"/>
    <x v="1"/>
    <x v="1"/>
    <x v="1"/>
    <s v="Credit Card"/>
    <s v="Cancelled"/>
    <n v="10"/>
    <n v="490.84"/>
    <n v="0"/>
    <x v="0"/>
    <s v="MY"/>
    <n v="0.06"/>
    <n v="45000"/>
    <n v="4908.3999999999996"/>
    <n v="0"/>
    <n v="4908.3999999999996"/>
    <n v="800"/>
    <n v="4108.3999999999996"/>
    <x v="10"/>
    <n v="4"/>
    <n v="2024"/>
  </r>
  <r>
    <s v="ORD-202467280"/>
    <s v="2024-04-02 13:01"/>
    <s v="Kevin Hall"/>
    <s v="christopher69@example.org"/>
    <x v="5"/>
    <x v="4"/>
    <x v="19"/>
    <x v="3"/>
    <s v="E-Wallet"/>
    <s v="Pending"/>
    <n v="2"/>
    <n v="396.91"/>
    <n v="0"/>
    <x v="1"/>
    <s v="AU"/>
    <n v="0.1"/>
    <n v="30000"/>
    <n v="793.82"/>
    <n v="0"/>
    <n v="793.82"/>
    <n v="400"/>
    <n v="393.82000000000005"/>
    <x v="4"/>
    <n v="2"/>
    <n v="2024"/>
  </r>
  <r>
    <s v="ORD-202433942"/>
    <s v="2024-05-10 02:09"/>
    <s v="Misty Mcguire"/>
    <s v="tracynolan@example.net"/>
    <x v="0"/>
    <x v="2"/>
    <x v="21"/>
    <x v="0"/>
    <s v="Credit Card"/>
    <s v="Cancelled"/>
    <n v="6"/>
    <n v="102.49"/>
    <n v="0"/>
    <x v="0"/>
    <s v="VN"/>
    <n v="0.1"/>
    <n v="35000"/>
    <n v="614.93999999999994"/>
    <n v="0"/>
    <n v="614.93999999999994"/>
    <n v="900"/>
    <n v="-285.06000000000006"/>
    <x v="2"/>
    <n v="2"/>
    <n v="2024"/>
  </r>
  <r>
    <s v="ORD-202461110"/>
    <s v="2024-02-20 10:09"/>
    <s v="Susan Larson"/>
    <s v="benjamin96@example.org"/>
    <x v="8"/>
    <x v="4"/>
    <x v="23"/>
    <x v="3"/>
    <s v="Debit Card"/>
    <s v="Pending"/>
    <n v="2"/>
    <n v="572.64"/>
    <n v="0"/>
    <x v="3"/>
    <s v="JP"/>
    <n v="0.1"/>
    <n v="30000"/>
    <n v="1145.28"/>
    <n v="0"/>
    <n v="1145.28"/>
    <n v="400"/>
    <n v="745.28"/>
    <x v="0"/>
    <n v="1"/>
    <n v="2024"/>
  </r>
  <r>
    <s v="ORD-202474615"/>
    <s v="2024-09-17 16:24"/>
    <s v="Tammy Cook"/>
    <s v="hbutler@example.org"/>
    <x v="7"/>
    <x v="4"/>
    <x v="16"/>
    <x v="0"/>
    <s v="Bank Transfer"/>
    <s v="Completed"/>
    <n v="9"/>
    <n v="487.73"/>
    <n v="0.1"/>
    <x v="0"/>
    <s v="MY"/>
    <n v="0.06"/>
    <n v="30000"/>
    <n v="4389.57"/>
    <n v="438.95699999999999"/>
    <n v="3950.6129999999998"/>
    <n v="1800"/>
    <n v="2150.6129999999998"/>
    <x v="6"/>
    <n v="3"/>
    <n v="2024"/>
  </r>
  <r>
    <s v="ORD-202463411"/>
    <s v="2024-11-20 07:58"/>
    <s v="Sarah Mcfarland"/>
    <s v="hbrown@example.org"/>
    <x v="3"/>
    <x v="4"/>
    <x v="6"/>
    <x v="3"/>
    <s v="E-Wallet"/>
    <s v="Returned"/>
    <n v="2"/>
    <n v="1445.76"/>
    <n v="0"/>
    <x v="0"/>
    <s v="ID"/>
    <n v="0.11"/>
    <n v="30000"/>
    <n v="2891.52"/>
    <n v="0"/>
    <n v="2891.52"/>
    <n v="400"/>
    <n v="2491.52"/>
    <x v="11"/>
    <n v="4"/>
    <n v="2024"/>
  </r>
  <r>
    <s v="ORD-202468455"/>
    <s v="2024-02-12 20:32"/>
    <s v="Karl Murphy"/>
    <s v="ericnunez@example.com"/>
    <x v="1"/>
    <x v="0"/>
    <x v="4"/>
    <x v="1"/>
    <s v="Cash"/>
    <s v="Returned"/>
    <n v="3"/>
    <n v="817.55"/>
    <n v="0"/>
    <x v="0"/>
    <s v="TH"/>
    <n v="7.0000000000000007E-2"/>
    <n v="40000"/>
    <n v="2452.6499999999996"/>
    <n v="0"/>
    <n v="2452.6499999999996"/>
    <n v="360"/>
    <n v="2092.6499999999996"/>
    <x v="0"/>
    <n v="1"/>
    <n v="2024"/>
  </r>
  <r>
    <s v="ORD-202415477"/>
    <s v="2024-01-01 14:53"/>
    <s v="Nicole Johnston"/>
    <s v="walkerkeith@example.com"/>
    <x v="6"/>
    <x v="4"/>
    <x v="5"/>
    <x v="2"/>
    <s v="Bank Transfer"/>
    <s v="Cancelled"/>
    <n v="8"/>
    <n v="15.81"/>
    <n v="0.05"/>
    <x v="2"/>
    <s v="IN"/>
    <n v="0.18"/>
    <n v="30000"/>
    <n v="126.48"/>
    <n v="6.3240000000000007"/>
    <n v="120.15600000000001"/>
    <n v="1600"/>
    <n v="-1479.8440000000001"/>
    <x v="1"/>
    <n v="1"/>
    <n v="2024"/>
  </r>
  <r>
    <s v="ORD-202492864"/>
    <s v="2024-04-18 18:53"/>
    <s v="George Alvarez"/>
    <s v="kelleyjose@example.com"/>
    <x v="5"/>
    <x v="4"/>
    <x v="16"/>
    <x v="0"/>
    <s v="E-Wallet"/>
    <s v="Completed"/>
    <n v="9"/>
    <n v="254.7"/>
    <n v="0.15"/>
    <x v="1"/>
    <s v="AU"/>
    <n v="0.1"/>
    <n v="30000"/>
    <n v="2292.2999999999997"/>
    <n v="343.84499999999997"/>
    <n v="1948.4549999999997"/>
    <n v="1800"/>
    <n v="148.4549999999997"/>
    <x v="4"/>
    <n v="2"/>
    <n v="2024"/>
  </r>
  <r>
    <s v="ORD-202461813"/>
    <s v="2024-12-23 03:53"/>
    <s v="Patricia Anderson"/>
    <s v="timothygonzalez@example.com"/>
    <x v="2"/>
    <x v="1"/>
    <x v="22"/>
    <x v="2"/>
    <s v="E-Wallet"/>
    <s v="Cancelled"/>
    <n v="4"/>
    <n v="1319.24"/>
    <n v="0.15"/>
    <x v="0"/>
    <s v="SG"/>
    <n v="7.0000000000000007E-2"/>
    <n v="45000"/>
    <n v="5276.96"/>
    <n v="791.54399999999998"/>
    <n v="4485.4160000000002"/>
    <n v="320"/>
    <n v="4165.4160000000002"/>
    <x v="10"/>
    <n v="4"/>
    <n v="2024"/>
  </r>
  <r>
    <s v="ORD-202469338"/>
    <s v="2024-05-19 07:42"/>
    <s v="Christina Gilbert"/>
    <s v="johnadams@example.com"/>
    <x v="4"/>
    <x v="4"/>
    <x v="5"/>
    <x v="0"/>
    <s v="Debit Card"/>
    <s v="Completed"/>
    <n v="10"/>
    <n v="697.8"/>
    <n v="0.05"/>
    <x v="0"/>
    <s v="PH"/>
    <n v="0.12"/>
    <n v="30000"/>
    <n v="6978"/>
    <n v="348.90000000000003"/>
    <n v="6629.1"/>
    <n v="2000"/>
    <n v="4629.1000000000004"/>
    <x v="2"/>
    <n v="2"/>
    <n v="2024"/>
  </r>
  <r>
    <s v="ORD-202489794"/>
    <s v="2024-08-31 00:57"/>
    <s v="Thomas Davis"/>
    <s v="whenderson@example.org"/>
    <x v="3"/>
    <x v="0"/>
    <x v="15"/>
    <x v="0"/>
    <s v="Credit Card"/>
    <s v="Completed"/>
    <n v="8"/>
    <n v="840.35"/>
    <n v="0.1"/>
    <x v="0"/>
    <s v="ID"/>
    <n v="0.11"/>
    <n v="40000"/>
    <n v="6722.8"/>
    <n v="672.28000000000009"/>
    <n v="6050.52"/>
    <n v="960"/>
    <n v="5090.5200000000004"/>
    <x v="5"/>
    <n v="3"/>
    <n v="2024"/>
  </r>
  <r>
    <s v="ORD-202498029"/>
    <s v="2024-08-15 21:07"/>
    <s v="Kirk Johnson"/>
    <s v="gary59@example.com"/>
    <x v="4"/>
    <x v="2"/>
    <x v="18"/>
    <x v="0"/>
    <s v="Credit Card"/>
    <s v="Returned"/>
    <n v="3"/>
    <n v="546.58000000000004"/>
    <n v="0.2"/>
    <x v="0"/>
    <s v="PH"/>
    <n v="0.12"/>
    <n v="35000"/>
    <n v="1639.7400000000002"/>
    <n v="327.94800000000009"/>
    <n v="1311.7920000000001"/>
    <n v="450"/>
    <n v="861.79200000000014"/>
    <x v="5"/>
    <n v="3"/>
    <n v="2024"/>
  </r>
  <r>
    <s v="ORD-202458559"/>
    <s v="2024-04-08 14:00"/>
    <s v="Jessica Glass"/>
    <s v="jamesbrooks@example.net"/>
    <x v="1"/>
    <x v="3"/>
    <x v="14"/>
    <x v="0"/>
    <s v="Cash"/>
    <s v="Cancelled"/>
    <n v="6"/>
    <n v="1025.6199999999999"/>
    <n v="0"/>
    <x v="0"/>
    <s v="TH"/>
    <n v="7.0000000000000007E-2"/>
    <n v="50000"/>
    <n v="6153.7199999999993"/>
    <n v="0"/>
    <n v="6153.7199999999993"/>
    <n v="2700"/>
    <n v="3453.7199999999993"/>
    <x v="4"/>
    <n v="2"/>
    <n v="2024"/>
  </r>
  <r>
    <s v="ORD-202438986"/>
    <s v="2024-04-29 15:23"/>
    <s v="Ashley Brown"/>
    <s v="mistywilkins@example.org"/>
    <x v="3"/>
    <x v="4"/>
    <x v="19"/>
    <x v="0"/>
    <s v="Debit Card"/>
    <s v="Returned"/>
    <n v="10"/>
    <n v="1358.19"/>
    <n v="0"/>
    <x v="0"/>
    <s v="ID"/>
    <n v="0.11"/>
    <n v="30000"/>
    <n v="13581.900000000001"/>
    <n v="0"/>
    <n v="13581.900000000001"/>
    <n v="2000"/>
    <n v="11581.900000000001"/>
    <x v="4"/>
    <n v="2"/>
    <n v="2024"/>
  </r>
  <r>
    <s v="ORD-202424541"/>
    <s v="2024-05-22 18:32"/>
    <s v="Robert Torres"/>
    <s v="njohnson@example.net"/>
    <x v="9"/>
    <x v="0"/>
    <x v="12"/>
    <x v="3"/>
    <s v="Credit Card"/>
    <s v="Pending"/>
    <n v="10"/>
    <n v="302.75"/>
    <n v="0.2"/>
    <x v="3"/>
    <s v="KR"/>
    <n v="0.1"/>
    <n v="40000"/>
    <n v="3027.5"/>
    <n v="605.5"/>
    <n v="2422"/>
    <n v="1200"/>
    <n v="1222"/>
    <x v="2"/>
    <n v="2"/>
    <n v="2024"/>
  </r>
  <r>
    <s v="ORD-202418526"/>
    <s v="2024-03-06 08:59"/>
    <s v="Christina Mills"/>
    <s v="ana92@example.net"/>
    <x v="6"/>
    <x v="0"/>
    <x v="12"/>
    <x v="0"/>
    <s v="Cash"/>
    <s v="Cancelled"/>
    <n v="5"/>
    <n v="1097.4100000000001"/>
    <n v="0"/>
    <x v="2"/>
    <s v="IN"/>
    <n v="0.18"/>
    <n v="40000"/>
    <n v="5487.05"/>
    <n v="0"/>
    <n v="5487.05"/>
    <n v="600"/>
    <n v="4887.05"/>
    <x v="7"/>
    <n v="1"/>
    <n v="2024"/>
  </r>
  <r>
    <s v="ORD-202499218"/>
    <s v="2024-10-13 14:00"/>
    <s v="Alicia Aguilar"/>
    <s v="scottbrian@example.org"/>
    <x v="8"/>
    <x v="3"/>
    <x v="14"/>
    <x v="0"/>
    <s v="Cash"/>
    <s v="Returned"/>
    <n v="7"/>
    <n v="657.33"/>
    <n v="0.05"/>
    <x v="3"/>
    <s v="JP"/>
    <n v="0.1"/>
    <n v="50000"/>
    <n v="4601.3100000000004"/>
    <n v="230.06550000000004"/>
    <n v="4371.2445000000007"/>
    <n v="3150"/>
    <n v="1221.2445000000007"/>
    <x v="9"/>
    <n v="4"/>
    <n v="2024"/>
  </r>
  <r>
    <s v="ORD-202474955"/>
    <s v="2024-07-04 16:48"/>
    <s v="Lisa Brown"/>
    <s v="jonesdonna@example.net"/>
    <x v="3"/>
    <x v="0"/>
    <x v="20"/>
    <x v="1"/>
    <s v="E-Wallet"/>
    <s v="Completed"/>
    <n v="7"/>
    <n v="427.73"/>
    <n v="0.15"/>
    <x v="0"/>
    <s v="ID"/>
    <n v="0.11"/>
    <n v="40000"/>
    <n v="2994.11"/>
    <n v="449.11650000000003"/>
    <n v="2544.9935"/>
    <n v="840"/>
    <n v="1704.9935"/>
    <x v="3"/>
    <n v="3"/>
    <n v="2024"/>
  </r>
  <r>
    <s v="ORD-202461361"/>
    <s v="2024-04-09 10:05"/>
    <s v="Mary Lin"/>
    <s v="carternicole@example.com"/>
    <x v="6"/>
    <x v="3"/>
    <x v="7"/>
    <x v="3"/>
    <s v="Debit Card"/>
    <s v="Pending"/>
    <n v="7"/>
    <n v="1467.47"/>
    <n v="0"/>
    <x v="2"/>
    <s v="IN"/>
    <n v="0.18"/>
    <n v="50000"/>
    <n v="10272.290000000001"/>
    <n v="0"/>
    <n v="10272.290000000001"/>
    <n v="3150"/>
    <n v="7122.2900000000009"/>
    <x v="4"/>
    <n v="2"/>
    <n v="2024"/>
  </r>
  <r>
    <s v="ORD-202453152"/>
    <s v="2024-06-08 02:40"/>
    <s v="James Bray"/>
    <s v="mckeetodd@example.net"/>
    <x v="7"/>
    <x v="3"/>
    <x v="3"/>
    <x v="2"/>
    <s v="E-Wallet"/>
    <s v="Pending"/>
    <n v="1"/>
    <n v="656.44"/>
    <n v="0.15"/>
    <x v="0"/>
    <s v="MY"/>
    <n v="0.06"/>
    <n v="50000"/>
    <n v="656.44"/>
    <n v="98.466000000000008"/>
    <n v="557.97400000000005"/>
    <n v="450"/>
    <n v="107.97400000000005"/>
    <x v="8"/>
    <n v="2"/>
    <n v="2024"/>
  </r>
  <r>
    <s v="ORD-202424134"/>
    <s v="2024-08-30 07:21"/>
    <s v="Charlotte Mason"/>
    <s v="tcastro@example.org"/>
    <x v="3"/>
    <x v="4"/>
    <x v="6"/>
    <x v="1"/>
    <s v="Credit Card"/>
    <s v="Returned"/>
    <n v="2"/>
    <n v="1194.26"/>
    <n v="0.15"/>
    <x v="0"/>
    <s v="ID"/>
    <n v="0.11"/>
    <n v="30000"/>
    <n v="2388.52"/>
    <n v="358.27799999999996"/>
    <n v="2030.242"/>
    <n v="400"/>
    <n v="1630.242"/>
    <x v="5"/>
    <n v="3"/>
    <n v="2024"/>
  </r>
  <r>
    <s v="ORD-202485882"/>
    <s v="2024-03-04 02:03"/>
    <s v="Thomas Torres"/>
    <s v="klong@example.org"/>
    <x v="3"/>
    <x v="2"/>
    <x v="2"/>
    <x v="0"/>
    <s v="Bank Transfer"/>
    <s v="Completed"/>
    <n v="2"/>
    <n v="1336.77"/>
    <n v="0"/>
    <x v="0"/>
    <s v="ID"/>
    <n v="0.11"/>
    <n v="35000"/>
    <n v="2673.54"/>
    <n v="0"/>
    <n v="2673.54"/>
    <n v="300"/>
    <n v="2373.54"/>
    <x v="7"/>
    <n v="1"/>
    <n v="2024"/>
  </r>
  <r>
    <s v="ORD-202449514"/>
    <s v="2024-11-08 20:27"/>
    <s v="Harold Garrett"/>
    <s v="wendyirwin@example.com"/>
    <x v="7"/>
    <x v="3"/>
    <x v="8"/>
    <x v="1"/>
    <s v="Credit Card"/>
    <s v="Returned"/>
    <n v="5"/>
    <n v="845.5"/>
    <n v="0.1"/>
    <x v="0"/>
    <s v="MY"/>
    <n v="0.06"/>
    <n v="50000"/>
    <n v="4227.5"/>
    <n v="422.75"/>
    <n v="3804.75"/>
    <n v="2250"/>
    <n v="1554.75"/>
    <x v="11"/>
    <n v="4"/>
    <n v="2024"/>
  </r>
  <r>
    <s v="ORD-202440554"/>
    <s v="2024-11-02 21:39"/>
    <s v="Lori Johns"/>
    <s v="raymondstacy@example.org"/>
    <x v="3"/>
    <x v="2"/>
    <x v="17"/>
    <x v="0"/>
    <s v="E-Wallet"/>
    <s v="Completed"/>
    <n v="7"/>
    <n v="704.35"/>
    <n v="0.15"/>
    <x v="0"/>
    <s v="ID"/>
    <n v="0.11"/>
    <n v="35000"/>
    <n v="4930.45"/>
    <n v="739.5675"/>
    <n v="4190.8824999999997"/>
    <n v="1050"/>
    <n v="3140.8824999999997"/>
    <x v="11"/>
    <n v="4"/>
    <n v="2024"/>
  </r>
  <r>
    <s v="ORD-202469516"/>
    <s v="2024-09-21 10:37"/>
    <s v="Steven Sandoval"/>
    <s v="blairabigail@example.net"/>
    <x v="1"/>
    <x v="3"/>
    <x v="8"/>
    <x v="3"/>
    <s v="Cash"/>
    <s v="Pending"/>
    <n v="2"/>
    <n v="33.25"/>
    <n v="0.15"/>
    <x v="0"/>
    <s v="TH"/>
    <n v="7.0000000000000007E-2"/>
    <n v="50000"/>
    <n v="66.5"/>
    <n v="9.9749999999999996"/>
    <n v="56.524999999999999"/>
    <n v="900"/>
    <n v="-843.47500000000002"/>
    <x v="6"/>
    <n v="3"/>
    <n v="2024"/>
  </r>
  <r>
    <s v="ORD-202493540"/>
    <s v="2024-09-17 08:22"/>
    <s v="Lori Perez"/>
    <s v="ashleysimmons@example.com"/>
    <x v="8"/>
    <x v="2"/>
    <x v="18"/>
    <x v="0"/>
    <s v="Credit Card"/>
    <s v="Pending"/>
    <n v="4"/>
    <n v="675.27"/>
    <n v="0"/>
    <x v="3"/>
    <s v="JP"/>
    <n v="0.1"/>
    <n v="35000"/>
    <n v="2701.08"/>
    <n v="0"/>
    <n v="2701.08"/>
    <n v="600"/>
    <n v="2101.08"/>
    <x v="6"/>
    <n v="3"/>
    <n v="2024"/>
  </r>
  <r>
    <s v="ORD-202450850"/>
    <s v="2024-10-26 13:32"/>
    <s v="Erin Daniels"/>
    <s v="denisecarpenter@example.net"/>
    <x v="4"/>
    <x v="4"/>
    <x v="6"/>
    <x v="1"/>
    <s v="E-Wallet"/>
    <s v="Cancelled"/>
    <n v="3"/>
    <n v="1329.55"/>
    <n v="0"/>
    <x v="0"/>
    <s v="PH"/>
    <n v="0.12"/>
    <n v="30000"/>
    <n v="3988.6499999999996"/>
    <n v="0"/>
    <n v="3988.6499999999996"/>
    <n v="600"/>
    <n v="3388.6499999999996"/>
    <x v="9"/>
    <n v="4"/>
    <n v="2024"/>
  </r>
  <r>
    <s v="ORD-202448150"/>
    <s v="2024-07-07 00:33"/>
    <s v="Shari Parker"/>
    <s v="russellstout@example.org"/>
    <x v="6"/>
    <x v="0"/>
    <x v="20"/>
    <x v="1"/>
    <s v="E-Wallet"/>
    <s v="Pending"/>
    <n v="9"/>
    <n v="367.52"/>
    <n v="0"/>
    <x v="2"/>
    <s v="IN"/>
    <n v="0.18"/>
    <n v="40000"/>
    <n v="3307.68"/>
    <n v="0"/>
    <n v="3307.68"/>
    <n v="1080"/>
    <n v="2227.6799999999998"/>
    <x v="3"/>
    <n v="3"/>
    <n v="2024"/>
  </r>
  <r>
    <s v="ORD-202436263"/>
    <s v="2024-11-23 06:50"/>
    <s v="Krystal Moore"/>
    <s v="grantstacy@example.org"/>
    <x v="7"/>
    <x v="4"/>
    <x v="5"/>
    <x v="2"/>
    <s v="Cash"/>
    <s v="Cancelled"/>
    <n v="8"/>
    <n v="1006.77"/>
    <n v="0.15"/>
    <x v="0"/>
    <s v="MY"/>
    <n v="0.06"/>
    <n v="30000"/>
    <n v="8054.16"/>
    <n v="1208.124"/>
    <n v="6846.0360000000001"/>
    <n v="1600"/>
    <n v="5246.0360000000001"/>
    <x v="11"/>
    <n v="4"/>
    <n v="2024"/>
  </r>
  <r>
    <s v="ORD-202490753"/>
    <s v="2024-06-02 13:21"/>
    <s v="Ryan Thomas"/>
    <s v="cannonnicole@example.com"/>
    <x v="2"/>
    <x v="3"/>
    <x v="3"/>
    <x v="3"/>
    <s v="Credit Card"/>
    <s v="Pending"/>
    <n v="1"/>
    <n v="1316.02"/>
    <n v="0.1"/>
    <x v="0"/>
    <s v="SG"/>
    <n v="7.0000000000000007E-2"/>
    <n v="50000"/>
    <n v="1316.02"/>
    <n v="131.602"/>
    <n v="1184.4179999999999"/>
    <n v="450"/>
    <n v="734.41799999999989"/>
    <x v="8"/>
    <n v="2"/>
    <n v="2024"/>
  </r>
  <r>
    <s v="ORD-202440182"/>
    <s v="2024-08-26 19:13"/>
    <s v="Elizabeth Reese"/>
    <s v="edwin31@example.org"/>
    <x v="1"/>
    <x v="2"/>
    <x v="2"/>
    <x v="1"/>
    <s v="Debit Card"/>
    <s v="Completed"/>
    <n v="7"/>
    <n v="1213.8"/>
    <n v="0"/>
    <x v="0"/>
    <s v="TH"/>
    <n v="7.0000000000000007E-2"/>
    <n v="35000"/>
    <n v="8496.6"/>
    <n v="0"/>
    <n v="8496.6"/>
    <n v="1050"/>
    <n v="7446.6"/>
    <x v="5"/>
    <n v="3"/>
    <n v="2024"/>
  </r>
  <r>
    <s v="ORD-202457555"/>
    <s v="2024-01-06 02:22"/>
    <s v="Phillip Salazar"/>
    <s v="catherine93@example.net"/>
    <x v="3"/>
    <x v="1"/>
    <x v="13"/>
    <x v="2"/>
    <s v="Credit Card"/>
    <s v="Completed"/>
    <n v="8"/>
    <n v="226.47"/>
    <n v="0"/>
    <x v="0"/>
    <s v="ID"/>
    <n v="0.11"/>
    <n v="45000"/>
    <n v="1811.76"/>
    <n v="0"/>
    <n v="1811.76"/>
    <n v="640"/>
    <n v="1171.76"/>
    <x v="1"/>
    <n v="1"/>
    <n v="2024"/>
  </r>
  <r>
    <s v="ORD-202436099"/>
    <s v="2024-04-11 09:11"/>
    <s v="Michael Howard"/>
    <s v="manderson@example.com"/>
    <x v="1"/>
    <x v="4"/>
    <x v="5"/>
    <x v="3"/>
    <s v="Debit Card"/>
    <s v="Completed"/>
    <n v="9"/>
    <n v="519.63"/>
    <n v="0"/>
    <x v="0"/>
    <s v="TH"/>
    <n v="7.0000000000000007E-2"/>
    <n v="30000"/>
    <n v="4676.67"/>
    <n v="0"/>
    <n v="4676.67"/>
    <n v="1800"/>
    <n v="2876.67"/>
    <x v="4"/>
    <n v="2"/>
    <n v="2024"/>
  </r>
  <r>
    <s v="ORD-202433078"/>
    <s v="2024-05-14 03:01"/>
    <s v="Jacqueline Christian"/>
    <s v="kwells@example.org"/>
    <x v="2"/>
    <x v="2"/>
    <x v="11"/>
    <x v="1"/>
    <s v="Debit Card"/>
    <s v="Cancelled"/>
    <n v="4"/>
    <n v="517.5"/>
    <n v="0.05"/>
    <x v="0"/>
    <s v="SG"/>
    <n v="7.0000000000000007E-2"/>
    <n v="35000"/>
    <n v="2070"/>
    <n v="103.5"/>
    <n v="1966.5"/>
    <n v="600"/>
    <n v="1366.5"/>
    <x v="2"/>
    <n v="2"/>
    <n v="2024"/>
  </r>
  <r>
    <s v="ORD-202458804"/>
    <s v="2024-12-04 05:33"/>
    <s v="Jason Novak"/>
    <s v="stephanie33@example.org"/>
    <x v="6"/>
    <x v="2"/>
    <x v="11"/>
    <x v="3"/>
    <s v="Cash"/>
    <s v="Returned"/>
    <n v="3"/>
    <n v="190.96"/>
    <n v="0"/>
    <x v="2"/>
    <s v="IN"/>
    <n v="0.18"/>
    <n v="35000"/>
    <n v="572.88"/>
    <n v="0"/>
    <n v="572.88"/>
    <n v="450"/>
    <n v="122.88"/>
    <x v="10"/>
    <n v="4"/>
    <n v="2024"/>
  </r>
  <r>
    <s v="ORD-202459054"/>
    <s v="2024-06-11 19:27"/>
    <s v="Timothy Duke"/>
    <s v="dwatts@example.org"/>
    <x v="1"/>
    <x v="3"/>
    <x v="10"/>
    <x v="3"/>
    <s v="E-Wallet"/>
    <s v="Pending"/>
    <n v="9"/>
    <n v="887.18"/>
    <n v="0.05"/>
    <x v="0"/>
    <s v="TH"/>
    <n v="7.0000000000000007E-2"/>
    <n v="50000"/>
    <n v="7984.62"/>
    <n v="399.23099999999999"/>
    <n v="7585.3890000000001"/>
    <n v="4050"/>
    <n v="3535.3890000000001"/>
    <x v="8"/>
    <n v="2"/>
    <n v="2024"/>
  </r>
  <r>
    <s v="ORD-202416980"/>
    <s v="2024-11-18 08:55"/>
    <s v="Ricardo Franklin"/>
    <s v="zcortez@example.net"/>
    <x v="2"/>
    <x v="1"/>
    <x v="1"/>
    <x v="0"/>
    <s v="Bank Transfer"/>
    <s v="Completed"/>
    <n v="4"/>
    <n v="1330.46"/>
    <n v="0.2"/>
    <x v="0"/>
    <s v="SG"/>
    <n v="7.0000000000000007E-2"/>
    <n v="45000"/>
    <n v="5321.84"/>
    <n v="1064.3680000000002"/>
    <n v="4257.4719999999998"/>
    <n v="320"/>
    <n v="3937.4719999999998"/>
    <x v="11"/>
    <n v="4"/>
    <n v="2024"/>
  </r>
  <r>
    <s v="ORD-202431945"/>
    <s v="2024-09-17 12:48"/>
    <s v="Laura Herrera"/>
    <s v="meyershannon@example.org"/>
    <x v="5"/>
    <x v="4"/>
    <x v="19"/>
    <x v="2"/>
    <s v="Cash"/>
    <s v="Returned"/>
    <n v="3"/>
    <n v="785.56"/>
    <n v="0.05"/>
    <x v="1"/>
    <s v="AU"/>
    <n v="0.1"/>
    <n v="30000"/>
    <n v="2356.6799999999998"/>
    <n v="117.834"/>
    <n v="2238.846"/>
    <n v="600"/>
    <n v="1638.846"/>
    <x v="6"/>
    <n v="3"/>
    <n v="2024"/>
  </r>
  <r>
    <s v="ORD-202474853"/>
    <s v="2024-08-30 08:37"/>
    <s v="Danielle Medina"/>
    <s v="grantzachary@example.net"/>
    <x v="8"/>
    <x v="1"/>
    <x v="13"/>
    <x v="3"/>
    <s v="Bank Transfer"/>
    <s v="Pending"/>
    <n v="4"/>
    <n v="322.69"/>
    <n v="0.1"/>
    <x v="3"/>
    <s v="JP"/>
    <n v="0.1"/>
    <n v="45000"/>
    <n v="1290.76"/>
    <n v="129.07599999999999"/>
    <n v="1161.684"/>
    <n v="320"/>
    <n v="841.68399999999997"/>
    <x v="5"/>
    <n v="3"/>
    <n v="2024"/>
  </r>
  <r>
    <s v="ORD-202450107"/>
    <s v="2024-08-05 12:36"/>
    <s v="Cheryl Gonzales"/>
    <s v="kim47@example.org"/>
    <x v="2"/>
    <x v="4"/>
    <x v="23"/>
    <x v="2"/>
    <s v="Bank Transfer"/>
    <s v="Cancelled"/>
    <n v="3"/>
    <n v="832.57"/>
    <n v="0"/>
    <x v="0"/>
    <s v="SG"/>
    <n v="7.0000000000000007E-2"/>
    <n v="30000"/>
    <n v="2497.71"/>
    <n v="0"/>
    <n v="2497.71"/>
    <n v="600"/>
    <n v="1897.71"/>
    <x v="5"/>
    <n v="3"/>
    <n v="2024"/>
  </r>
  <r>
    <s v="ORD-202440169"/>
    <s v="2024-10-25 01:29"/>
    <s v="Louis Brown"/>
    <s v="stevenlucas@example.org"/>
    <x v="5"/>
    <x v="1"/>
    <x v="22"/>
    <x v="1"/>
    <s v="E-Wallet"/>
    <s v="Returned"/>
    <n v="8"/>
    <n v="647.76"/>
    <n v="0.1"/>
    <x v="1"/>
    <s v="AU"/>
    <n v="0.1"/>
    <n v="45000"/>
    <n v="5182.08"/>
    <n v="518.20799999999997"/>
    <n v="4663.8720000000003"/>
    <n v="640"/>
    <n v="4023.8720000000003"/>
    <x v="9"/>
    <n v="4"/>
    <n v="2024"/>
  </r>
  <r>
    <s v="ORD-202451552"/>
    <s v="2024-05-19 12:01"/>
    <s v="Ashley Osborne"/>
    <s v="phillipmorris@example.org"/>
    <x v="2"/>
    <x v="2"/>
    <x v="21"/>
    <x v="0"/>
    <s v="E-Wallet"/>
    <s v="Completed"/>
    <n v="2"/>
    <n v="409.45"/>
    <n v="0.05"/>
    <x v="0"/>
    <s v="SG"/>
    <n v="7.0000000000000007E-2"/>
    <n v="35000"/>
    <n v="818.9"/>
    <n v="40.945"/>
    <n v="777.95499999999993"/>
    <n v="300"/>
    <n v="477.95499999999993"/>
    <x v="2"/>
    <n v="2"/>
    <n v="2024"/>
  </r>
  <r>
    <s v="ORD-202446231"/>
    <s v="2024-04-26 03:07"/>
    <s v="Kevin Marquez"/>
    <s v="nicoledavis@example.com"/>
    <x v="7"/>
    <x v="4"/>
    <x v="16"/>
    <x v="2"/>
    <s v="E-Wallet"/>
    <s v="Cancelled"/>
    <n v="6"/>
    <n v="825.85"/>
    <n v="0"/>
    <x v="0"/>
    <s v="MY"/>
    <n v="0.06"/>
    <n v="30000"/>
    <n v="4955.1000000000004"/>
    <n v="0"/>
    <n v="4955.1000000000004"/>
    <n v="1200"/>
    <n v="3755.1000000000004"/>
    <x v="4"/>
    <n v="2"/>
    <n v="2024"/>
  </r>
  <r>
    <s v="ORD-202499592"/>
    <s v="2024-05-20 06:45"/>
    <s v="Susan Hogan"/>
    <s v="davisjasmin@example.net"/>
    <x v="6"/>
    <x v="0"/>
    <x v="12"/>
    <x v="2"/>
    <s v="E-Wallet"/>
    <s v="Returned"/>
    <n v="1"/>
    <n v="1369.89"/>
    <n v="0.05"/>
    <x v="2"/>
    <s v="IN"/>
    <n v="0.18"/>
    <n v="40000"/>
    <n v="1369.89"/>
    <n v="68.494500000000002"/>
    <n v="1301.3955000000001"/>
    <n v="120"/>
    <n v="1181.3955000000001"/>
    <x v="2"/>
    <n v="2"/>
    <n v="2024"/>
  </r>
  <r>
    <s v="ORD-202463183"/>
    <s v="2024-10-23 20:00"/>
    <s v="Joseph Cruz"/>
    <s v="nicholasjames@example.org"/>
    <x v="9"/>
    <x v="1"/>
    <x v="9"/>
    <x v="3"/>
    <s v="Bank Transfer"/>
    <s v="Pending"/>
    <n v="4"/>
    <n v="1300.22"/>
    <n v="0"/>
    <x v="3"/>
    <s v="KR"/>
    <n v="0.1"/>
    <n v="45000"/>
    <n v="5200.88"/>
    <n v="0"/>
    <n v="5200.88"/>
    <n v="320"/>
    <n v="4880.88"/>
    <x v="9"/>
    <n v="4"/>
    <n v="2024"/>
  </r>
  <r>
    <s v="ORD-202477610"/>
    <s v="2024-10-27 17:48"/>
    <s v="Krystal Keller"/>
    <s v="fernandothomas@example.net"/>
    <x v="9"/>
    <x v="2"/>
    <x v="2"/>
    <x v="1"/>
    <s v="Bank Transfer"/>
    <s v="Pending"/>
    <n v="6"/>
    <n v="1190.99"/>
    <n v="0"/>
    <x v="3"/>
    <s v="KR"/>
    <n v="0.1"/>
    <n v="35000"/>
    <n v="7145.9400000000005"/>
    <n v="0"/>
    <n v="7145.9400000000005"/>
    <n v="900"/>
    <n v="6245.9400000000005"/>
    <x v="9"/>
    <n v="4"/>
    <n v="2024"/>
  </r>
  <r>
    <s v="ORD-202467498"/>
    <s v="2024-08-18 17:01"/>
    <s v="Eric Cross"/>
    <s v="lroberts@example.org"/>
    <x v="4"/>
    <x v="0"/>
    <x v="12"/>
    <x v="0"/>
    <s v="Bank Transfer"/>
    <s v="Cancelled"/>
    <n v="5"/>
    <n v="1312.52"/>
    <n v="0.2"/>
    <x v="0"/>
    <s v="PH"/>
    <n v="0.12"/>
    <n v="40000"/>
    <n v="6562.6"/>
    <n v="1312.5200000000002"/>
    <n v="5250.08"/>
    <n v="600"/>
    <n v="4650.08"/>
    <x v="5"/>
    <n v="3"/>
    <n v="2024"/>
  </r>
  <r>
    <s v="ORD-202454541"/>
    <s v="2024-04-25 13:27"/>
    <s v="Toni Smith"/>
    <s v="alexander77@example.net"/>
    <x v="8"/>
    <x v="1"/>
    <x v="22"/>
    <x v="0"/>
    <s v="Debit Card"/>
    <s v="Pending"/>
    <n v="1"/>
    <n v="499.23"/>
    <n v="0.15"/>
    <x v="3"/>
    <s v="JP"/>
    <n v="0.1"/>
    <n v="45000"/>
    <n v="499.23"/>
    <n v="74.884500000000003"/>
    <n v="424.34550000000002"/>
    <n v="80"/>
    <n v="344.34550000000002"/>
    <x v="4"/>
    <n v="2"/>
    <n v="2024"/>
  </r>
  <r>
    <s v="ORD-202484473"/>
    <s v="2024-11-18 19:58"/>
    <s v="Lisa Snyder"/>
    <s v="briannaalvarez@example.com"/>
    <x v="6"/>
    <x v="1"/>
    <x v="24"/>
    <x v="0"/>
    <s v="Cash"/>
    <s v="Returned"/>
    <n v="4"/>
    <n v="1470.56"/>
    <n v="0.1"/>
    <x v="2"/>
    <s v="IN"/>
    <n v="0.18"/>
    <n v="45000"/>
    <n v="5882.24"/>
    <n v="588.22400000000005"/>
    <n v="5294.0159999999996"/>
    <n v="320"/>
    <n v="4974.0159999999996"/>
    <x v="11"/>
    <n v="4"/>
    <n v="2024"/>
  </r>
  <r>
    <s v="ORD-202434685"/>
    <s v="2024-08-31 03:21"/>
    <s v="Kyle Smith"/>
    <s v="christine83@example.org"/>
    <x v="6"/>
    <x v="2"/>
    <x v="2"/>
    <x v="3"/>
    <s v="Credit Card"/>
    <s v="Returned"/>
    <n v="2"/>
    <n v="153.46"/>
    <n v="0.2"/>
    <x v="2"/>
    <s v="IN"/>
    <n v="0.18"/>
    <n v="35000"/>
    <n v="306.92"/>
    <n v="61.384000000000007"/>
    <n v="245.536"/>
    <n v="300"/>
    <n v="-54.463999999999999"/>
    <x v="5"/>
    <n v="3"/>
    <n v="2024"/>
  </r>
  <r>
    <s v="ORD-202413517"/>
    <s v="2024-04-05 06:04"/>
    <s v="Anthony Bailey"/>
    <s v="melissaestrada@example.net"/>
    <x v="8"/>
    <x v="4"/>
    <x v="5"/>
    <x v="1"/>
    <s v="Credit Card"/>
    <s v="Cancelled"/>
    <n v="9"/>
    <n v="361.06"/>
    <n v="0"/>
    <x v="3"/>
    <s v="JP"/>
    <n v="0.1"/>
    <n v="30000"/>
    <n v="3249.54"/>
    <n v="0"/>
    <n v="3249.54"/>
    <n v="1800"/>
    <n v="1449.54"/>
    <x v="4"/>
    <n v="2"/>
    <n v="2024"/>
  </r>
  <r>
    <s v="ORD-202477964"/>
    <s v="2024-01-06 05:20"/>
    <s v="Thomas Williams"/>
    <s v="kchaney@example.net"/>
    <x v="8"/>
    <x v="2"/>
    <x v="21"/>
    <x v="1"/>
    <s v="Bank Transfer"/>
    <s v="Completed"/>
    <n v="3"/>
    <n v="1484.55"/>
    <n v="0.15"/>
    <x v="3"/>
    <s v="JP"/>
    <n v="0.1"/>
    <n v="35000"/>
    <n v="4453.6499999999996"/>
    <n v="668.0474999999999"/>
    <n v="3785.6025"/>
    <n v="450"/>
    <n v="3335.6025"/>
    <x v="1"/>
    <n v="1"/>
    <n v="2024"/>
  </r>
  <r>
    <s v="ORD-202460986"/>
    <s v="2024-04-15 04:55"/>
    <s v="Matthew Graves"/>
    <s v="tammycurry@example.com"/>
    <x v="1"/>
    <x v="4"/>
    <x v="19"/>
    <x v="2"/>
    <s v="Cash"/>
    <s v="Pending"/>
    <n v="8"/>
    <n v="1229.58"/>
    <n v="0"/>
    <x v="0"/>
    <s v="TH"/>
    <n v="7.0000000000000007E-2"/>
    <n v="30000"/>
    <n v="9836.64"/>
    <n v="0"/>
    <n v="9836.64"/>
    <n v="1600"/>
    <n v="8236.64"/>
    <x v="4"/>
    <n v="2"/>
    <n v="2024"/>
  </r>
  <r>
    <s v="ORD-202475860"/>
    <s v="2024-12-16 14:17"/>
    <s v="Anna Evans"/>
    <s v="priscilla16@example.net"/>
    <x v="1"/>
    <x v="3"/>
    <x v="7"/>
    <x v="3"/>
    <s v="Cash"/>
    <s v="Cancelled"/>
    <n v="7"/>
    <n v="676.91"/>
    <n v="0.15"/>
    <x v="0"/>
    <s v="TH"/>
    <n v="7.0000000000000007E-2"/>
    <n v="50000"/>
    <n v="4738.37"/>
    <n v="710.75549999999998"/>
    <n v="4027.6144999999997"/>
    <n v="3150"/>
    <n v="877.61449999999968"/>
    <x v="10"/>
    <n v="4"/>
    <n v="2024"/>
  </r>
  <r>
    <s v="ORD-202484609"/>
    <s v="2024-09-08 14:29"/>
    <s v="John Martinez"/>
    <s v="mark68@example.org"/>
    <x v="6"/>
    <x v="3"/>
    <x v="8"/>
    <x v="2"/>
    <s v="Bank Transfer"/>
    <s v="Pending"/>
    <n v="8"/>
    <n v="442.55"/>
    <n v="0.05"/>
    <x v="2"/>
    <s v="IN"/>
    <n v="0.18"/>
    <n v="50000"/>
    <n v="3540.4"/>
    <n v="177.02"/>
    <n v="3363.38"/>
    <n v="3600"/>
    <n v="-236.61999999999989"/>
    <x v="6"/>
    <n v="3"/>
    <n v="2024"/>
  </r>
  <r>
    <s v="ORD-202464401"/>
    <s v="2024-05-07 05:57"/>
    <s v="Lisa Rodriguez"/>
    <s v="webbhaley@example.net"/>
    <x v="6"/>
    <x v="2"/>
    <x v="17"/>
    <x v="0"/>
    <s v="Bank Transfer"/>
    <s v="Completed"/>
    <n v="3"/>
    <n v="586.23"/>
    <n v="0.2"/>
    <x v="2"/>
    <s v="IN"/>
    <n v="0.18"/>
    <n v="35000"/>
    <n v="1758.69"/>
    <n v="351.73800000000006"/>
    <n v="1406.952"/>
    <n v="450"/>
    <n v="956.952"/>
    <x v="2"/>
    <n v="2"/>
    <n v="2024"/>
  </r>
  <r>
    <s v="ORD-202441417"/>
    <s v="2024-03-21 08:56"/>
    <s v="Lee Stewart"/>
    <s v="sara99@example.com"/>
    <x v="5"/>
    <x v="4"/>
    <x v="16"/>
    <x v="1"/>
    <s v="Cash"/>
    <s v="Completed"/>
    <n v="4"/>
    <n v="1051.5999999999999"/>
    <n v="0.1"/>
    <x v="1"/>
    <s v="AU"/>
    <n v="0.1"/>
    <n v="30000"/>
    <n v="4206.3999999999996"/>
    <n v="420.64"/>
    <n v="3785.7599999999998"/>
    <n v="800"/>
    <n v="2985.7599999999998"/>
    <x v="7"/>
    <n v="1"/>
    <n v="2024"/>
  </r>
  <r>
    <s v="ORD-202458330"/>
    <s v="2024-02-09 03:32"/>
    <s v="Lynn Vasquez"/>
    <s v="nicolehall@example.com"/>
    <x v="4"/>
    <x v="2"/>
    <x v="17"/>
    <x v="0"/>
    <s v="Bank Transfer"/>
    <s v="Completed"/>
    <n v="4"/>
    <n v="259.79000000000002"/>
    <n v="0.15"/>
    <x v="0"/>
    <s v="PH"/>
    <n v="0.12"/>
    <n v="35000"/>
    <n v="1039.1600000000001"/>
    <n v="155.874"/>
    <n v="883.28600000000006"/>
    <n v="600"/>
    <n v="283.28600000000006"/>
    <x v="0"/>
    <n v="1"/>
    <n v="2024"/>
  </r>
  <r>
    <s v="ORD-202419593"/>
    <s v="2024-11-23 22:43"/>
    <s v="April Johnson"/>
    <s v="mclaughlinjared@example.net"/>
    <x v="9"/>
    <x v="2"/>
    <x v="2"/>
    <x v="0"/>
    <s v="Credit Card"/>
    <s v="Cancelled"/>
    <n v="4"/>
    <n v="1122.75"/>
    <n v="0.1"/>
    <x v="3"/>
    <s v="KR"/>
    <n v="0.1"/>
    <n v="35000"/>
    <n v="4491"/>
    <n v="449.1"/>
    <n v="4041.9"/>
    <n v="600"/>
    <n v="3441.9"/>
    <x v="11"/>
    <n v="4"/>
    <n v="2024"/>
  </r>
  <r>
    <s v="ORD-202425031"/>
    <s v="2024-12-29 04:20"/>
    <s v="Mrs. Felicia Castro DDS"/>
    <s v="davidsonhannah@example.com"/>
    <x v="9"/>
    <x v="2"/>
    <x v="17"/>
    <x v="3"/>
    <s v="Bank Transfer"/>
    <s v="Pending"/>
    <n v="9"/>
    <n v="116.33"/>
    <n v="0.2"/>
    <x v="3"/>
    <s v="KR"/>
    <n v="0.1"/>
    <n v="35000"/>
    <n v="1046.97"/>
    <n v="209.39400000000001"/>
    <n v="837.57600000000002"/>
    <n v="1350"/>
    <n v="-512.42399999999998"/>
    <x v="10"/>
    <n v="4"/>
    <n v="2024"/>
  </r>
  <r>
    <s v="ORD-202471707"/>
    <s v="2024-05-22 05:10"/>
    <s v="Elizabeth Hunter"/>
    <s v="katie15@example.com"/>
    <x v="3"/>
    <x v="1"/>
    <x v="13"/>
    <x v="1"/>
    <s v="Debit Card"/>
    <s v="Completed"/>
    <n v="2"/>
    <n v="278.2"/>
    <n v="0.15"/>
    <x v="0"/>
    <s v="ID"/>
    <n v="0.11"/>
    <n v="45000"/>
    <n v="556.4"/>
    <n v="83.46"/>
    <n v="472.94"/>
    <n v="160"/>
    <n v="312.94"/>
    <x v="2"/>
    <n v="2"/>
    <n v="2024"/>
  </r>
  <r>
    <s v="ORD-202498000"/>
    <s v="2024-01-06 21:17"/>
    <s v="Keith Choi"/>
    <s v="jamesbass@example.net"/>
    <x v="2"/>
    <x v="2"/>
    <x v="2"/>
    <x v="3"/>
    <s v="Bank Transfer"/>
    <s v="Completed"/>
    <n v="1"/>
    <n v="279.24"/>
    <n v="0.2"/>
    <x v="0"/>
    <s v="SG"/>
    <n v="7.0000000000000007E-2"/>
    <n v="35000"/>
    <n v="279.24"/>
    <n v="55.848000000000006"/>
    <n v="223.392"/>
    <n v="150"/>
    <n v="73.391999999999996"/>
    <x v="1"/>
    <n v="1"/>
    <n v="2024"/>
  </r>
  <r>
    <s v="ORD-202493203"/>
    <s v="2024-09-24 20:42"/>
    <s v="John Johnson"/>
    <s v="timothyburton@example.net"/>
    <x v="7"/>
    <x v="2"/>
    <x v="2"/>
    <x v="0"/>
    <s v="Bank Transfer"/>
    <s v="Pending"/>
    <n v="10"/>
    <n v="674.32"/>
    <n v="0"/>
    <x v="0"/>
    <s v="MY"/>
    <n v="0.06"/>
    <n v="35000"/>
    <n v="6743.2000000000007"/>
    <n v="0"/>
    <n v="6743.2000000000007"/>
    <n v="1500"/>
    <n v="5243.2000000000007"/>
    <x v="6"/>
    <n v="3"/>
    <n v="2024"/>
  </r>
  <r>
    <s v="ORD-202442728"/>
    <s v="2024-07-10 07:12"/>
    <s v="Julia Olsen"/>
    <s v="conleykevin@example.net"/>
    <x v="7"/>
    <x v="3"/>
    <x v="3"/>
    <x v="3"/>
    <s v="Credit Card"/>
    <s v="Pending"/>
    <n v="1"/>
    <n v="56.5"/>
    <n v="0.05"/>
    <x v="0"/>
    <s v="MY"/>
    <n v="0.06"/>
    <n v="50000"/>
    <n v="56.5"/>
    <n v="2.8250000000000002"/>
    <n v="53.674999999999997"/>
    <n v="450"/>
    <n v="-396.32499999999999"/>
    <x v="3"/>
    <n v="3"/>
    <n v="2024"/>
  </r>
  <r>
    <s v="ORD-202422661"/>
    <s v="2024-12-06 05:46"/>
    <s v="Kristen Smith"/>
    <s v="lauren51@example.org"/>
    <x v="2"/>
    <x v="3"/>
    <x v="3"/>
    <x v="3"/>
    <s v="Cash"/>
    <s v="Pending"/>
    <n v="6"/>
    <n v="776.06"/>
    <n v="0.05"/>
    <x v="0"/>
    <s v="SG"/>
    <n v="7.0000000000000007E-2"/>
    <n v="50000"/>
    <n v="4656.3599999999997"/>
    <n v="232.81799999999998"/>
    <n v="4423.5419999999995"/>
    <n v="2700"/>
    <n v="1723.5419999999995"/>
    <x v="10"/>
    <n v="4"/>
    <n v="2024"/>
  </r>
  <r>
    <s v="ORD-202481002"/>
    <s v="2024-07-21 13:07"/>
    <s v="Andre Terrell"/>
    <s v="ashleyprice@example.net"/>
    <x v="1"/>
    <x v="0"/>
    <x v="20"/>
    <x v="1"/>
    <s v="E-Wallet"/>
    <s v="Completed"/>
    <n v="3"/>
    <n v="544.52"/>
    <n v="0"/>
    <x v="0"/>
    <s v="TH"/>
    <n v="7.0000000000000007E-2"/>
    <n v="40000"/>
    <n v="1633.56"/>
    <n v="0"/>
    <n v="1633.56"/>
    <n v="360"/>
    <n v="1273.56"/>
    <x v="3"/>
    <n v="3"/>
    <n v="2024"/>
  </r>
  <r>
    <s v="ORD-202461011"/>
    <s v="2024-04-18 14:14"/>
    <s v="Richard Parker"/>
    <s v="jennifer46@example.org"/>
    <x v="7"/>
    <x v="4"/>
    <x v="6"/>
    <x v="1"/>
    <s v="E-Wallet"/>
    <s v="Returned"/>
    <n v="2"/>
    <n v="562.94000000000005"/>
    <n v="0"/>
    <x v="0"/>
    <s v="MY"/>
    <n v="0.06"/>
    <n v="30000"/>
    <n v="1125.8800000000001"/>
    <n v="0"/>
    <n v="1125.8800000000001"/>
    <n v="400"/>
    <n v="725.88000000000011"/>
    <x v="4"/>
    <n v="2"/>
    <n v="2024"/>
  </r>
  <r>
    <s v="ORD-202423344"/>
    <s v="2024-12-30 17:50"/>
    <s v="David Hayes DVM"/>
    <s v="aliciathompson@example.com"/>
    <x v="6"/>
    <x v="0"/>
    <x v="4"/>
    <x v="1"/>
    <s v="Debit Card"/>
    <s v="Cancelled"/>
    <n v="10"/>
    <n v="1439.17"/>
    <n v="0.05"/>
    <x v="2"/>
    <s v="IN"/>
    <n v="0.18"/>
    <n v="40000"/>
    <n v="14391.7"/>
    <n v="719.58500000000004"/>
    <n v="13672.115000000002"/>
    <n v="1200"/>
    <n v="12472.115000000002"/>
    <x v="10"/>
    <n v="4"/>
    <n v="2024"/>
  </r>
  <r>
    <s v="ORD-202432980"/>
    <s v="2024-11-21 22:20"/>
    <s v="Paula Gentry"/>
    <s v="zhunter@example.com"/>
    <x v="9"/>
    <x v="3"/>
    <x v="14"/>
    <x v="1"/>
    <s v="Cash"/>
    <s v="Pending"/>
    <n v="10"/>
    <n v="41.21"/>
    <n v="0.1"/>
    <x v="3"/>
    <s v="KR"/>
    <n v="0.1"/>
    <n v="50000"/>
    <n v="412.1"/>
    <n v="41.210000000000008"/>
    <n v="370.89"/>
    <n v="4500"/>
    <n v="-4129.1099999999997"/>
    <x v="11"/>
    <n v="4"/>
    <n v="2024"/>
  </r>
  <r>
    <s v="ORD-202475984"/>
    <s v="2024-10-27 22:00"/>
    <s v="Brittany Peterson"/>
    <s v="hoconnor@example.com"/>
    <x v="1"/>
    <x v="3"/>
    <x v="10"/>
    <x v="3"/>
    <s v="Bank Transfer"/>
    <s v="Pending"/>
    <n v="2"/>
    <n v="1142.03"/>
    <n v="0.05"/>
    <x v="0"/>
    <s v="TH"/>
    <n v="7.0000000000000007E-2"/>
    <n v="50000"/>
    <n v="2284.06"/>
    <n v="114.203"/>
    <n v="2169.857"/>
    <n v="900"/>
    <n v="1269.857"/>
    <x v="9"/>
    <n v="4"/>
    <n v="2024"/>
  </r>
  <r>
    <s v="ORD-202491233"/>
    <s v="2024-02-10 01:08"/>
    <s v="Briana Wiggins"/>
    <s v="jamiejohnson@example.com"/>
    <x v="4"/>
    <x v="2"/>
    <x v="2"/>
    <x v="0"/>
    <s v="Debit Card"/>
    <s v="Returned"/>
    <n v="7"/>
    <n v="314.99"/>
    <n v="0"/>
    <x v="0"/>
    <s v="PH"/>
    <n v="0.12"/>
    <n v="35000"/>
    <n v="2204.9300000000003"/>
    <n v="0"/>
    <n v="2204.9300000000003"/>
    <n v="1050"/>
    <n v="1154.9300000000003"/>
    <x v="0"/>
    <n v="1"/>
    <n v="2024"/>
  </r>
  <r>
    <s v="ORD-202453082"/>
    <s v="2024-03-09 08:20"/>
    <s v="Kelly Smith"/>
    <s v="mcdanielbrooke@example.org"/>
    <x v="3"/>
    <x v="1"/>
    <x v="24"/>
    <x v="3"/>
    <s v="E-Wallet"/>
    <s v="Cancelled"/>
    <n v="5"/>
    <n v="977.35"/>
    <n v="0"/>
    <x v="0"/>
    <s v="ID"/>
    <n v="0.11"/>
    <n v="45000"/>
    <n v="4886.75"/>
    <n v="0"/>
    <n v="4886.75"/>
    <n v="400"/>
    <n v="4486.75"/>
    <x v="7"/>
    <n v="1"/>
    <n v="2024"/>
  </r>
  <r>
    <s v="ORD-202441752"/>
    <s v="2024-04-15 17:03"/>
    <s v="Stephen Garcia"/>
    <s v="andrew43@example.com"/>
    <x v="1"/>
    <x v="0"/>
    <x v="12"/>
    <x v="3"/>
    <s v="Bank Transfer"/>
    <s v="Completed"/>
    <n v="9"/>
    <n v="1310.97"/>
    <n v="0.05"/>
    <x v="0"/>
    <s v="TH"/>
    <n v="7.0000000000000007E-2"/>
    <n v="40000"/>
    <n v="11798.73"/>
    <n v="589.93650000000002"/>
    <n v="11208.7935"/>
    <n v="1080"/>
    <n v="10128.7935"/>
    <x v="4"/>
    <n v="2"/>
    <n v="2024"/>
  </r>
  <r>
    <s v="ORD-202418469"/>
    <s v="2024-09-08 02:12"/>
    <s v="Dustin Patel"/>
    <s v="rlambert@example.org"/>
    <x v="3"/>
    <x v="0"/>
    <x v="0"/>
    <x v="3"/>
    <s v="Debit Card"/>
    <s v="Completed"/>
    <n v="3"/>
    <n v="201.46"/>
    <n v="0.15"/>
    <x v="0"/>
    <s v="ID"/>
    <n v="0.11"/>
    <n v="40000"/>
    <n v="604.38"/>
    <n v="90.656999999999996"/>
    <n v="513.72299999999996"/>
    <n v="360"/>
    <n v="153.72299999999996"/>
    <x v="6"/>
    <n v="3"/>
    <n v="2024"/>
  </r>
  <r>
    <s v="ORD-202465868"/>
    <s v="2024-08-27 09:10"/>
    <s v="Brian Mullen"/>
    <s v="clarkmichael@example.com"/>
    <x v="1"/>
    <x v="0"/>
    <x v="15"/>
    <x v="2"/>
    <s v="Cash"/>
    <s v="Returned"/>
    <n v="4"/>
    <n v="277.01"/>
    <n v="0.05"/>
    <x v="0"/>
    <s v="TH"/>
    <n v="7.0000000000000007E-2"/>
    <n v="40000"/>
    <n v="1108.04"/>
    <n v="55.402000000000001"/>
    <n v="1052.6379999999999"/>
    <n v="480"/>
    <n v="572.63799999999992"/>
    <x v="5"/>
    <n v="3"/>
    <n v="2024"/>
  </r>
  <r>
    <s v="ORD-202493309"/>
    <s v="2024-04-13 08:55"/>
    <s v="Tony Brock"/>
    <s v="georgecollins@example.com"/>
    <x v="9"/>
    <x v="3"/>
    <x v="14"/>
    <x v="1"/>
    <s v="Bank Transfer"/>
    <s v="Returned"/>
    <n v="3"/>
    <n v="606.39"/>
    <n v="0.1"/>
    <x v="3"/>
    <s v="KR"/>
    <n v="0.1"/>
    <n v="50000"/>
    <n v="1819.17"/>
    <n v="181.91700000000003"/>
    <n v="1637.2530000000002"/>
    <n v="1350"/>
    <n v="287.25300000000016"/>
    <x v="4"/>
    <n v="2"/>
    <n v="2024"/>
  </r>
  <r>
    <s v="ORD-202430431"/>
    <s v="2024-09-03 00:48"/>
    <s v="Amber Johnson"/>
    <s v="rodriguezbrian@example.com"/>
    <x v="8"/>
    <x v="2"/>
    <x v="11"/>
    <x v="3"/>
    <s v="Cash"/>
    <s v="Pending"/>
    <n v="5"/>
    <n v="1141.9000000000001"/>
    <n v="0.15"/>
    <x v="3"/>
    <s v="JP"/>
    <n v="0.1"/>
    <n v="35000"/>
    <n v="5709.5"/>
    <n v="856.42499999999995"/>
    <n v="4853.0749999999998"/>
    <n v="750"/>
    <n v="4103.0749999999998"/>
    <x v="6"/>
    <n v="3"/>
    <n v="2024"/>
  </r>
  <r>
    <s v="ORD-202443723"/>
    <s v="2024-07-13 14:19"/>
    <s v="Michael Vance"/>
    <s v="tjensen@example.com"/>
    <x v="9"/>
    <x v="4"/>
    <x v="19"/>
    <x v="2"/>
    <s v="Debit Card"/>
    <s v="Returned"/>
    <n v="8"/>
    <n v="849.78"/>
    <n v="0"/>
    <x v="3"/>
    <s v="KR"/>
    <n v="0.1"/>
    <n v="30000"/>
    <n v="6798.24"/>
    <n v="0"/>
    <n v="6798.24"/>
    <n v="1600"/>
    <n v="5198.24"/>
    <x v="3"/>
    <n v="3"/>
    <n v="2024"/>
  </r>
  <r>
    <s v="ORD-202435652"/>
    <s v="2024-03-20 06:00"/>
    <s v="Michelle Lambert"/>
    <s v="beltrankatelyn@example.com"/>
    <x v="3"/>
    <x v="1"/>
    <x v="22"/>
    <x v="2"/>
    <s v="Bank Transfer"/>
    <s v="Returned"/>
    <n v="7"/>
    <n v="744.81"/>
    <n v="0.1"/>
    <x v="0"/>
    <s v="ID"/>
    <n v="0.11"/>
    <n v="45000"/>
    <n v="5213.67"/>
    <n v="521.36700000000008"/>
    <n v="4692.3029999999999"/>
    <n v="560"/>
    <n v="4132.3029999999999"/>
    <x v="7"/>
    <n v="1"/>
    <n v="2024"/>
  </r>
  <r>
    <s v="ORD-202450345"/>
    <s v="2024-11-24 18:04"/>
    <s v="Anna Lang"/>
    <s v="tdavis@example.net"/>
    <x v="8"/>
    <x v="3"/>
    <x v="8"/>
    <x v="3"/>
    <s v="Bank Transfer"/>
    <s v="Cancelled"/>
    <n v="10"/>
    <n v="586.47"/>
    <n v="0"/>
    <x v="3"/>
    <s v="JP"/>
    <n v="0.1"/>
    <n v="50000"/>
    <n v="5864.7000000000007"/>
    <n v="0"/>
    <n v="5864.7000000000007"/>
    <n v="4500"/>
    <n v="1364.7000000000007"/>
    <x v="11"/>
    <n v="4"/>
    <n v="2024"/>
  </r>
  <r>
    <s v="ORD-202455688"/>
    <s v="2024-09-17 22:31"/>
    <s v="Pamela Ruiz"/>
    <s v="douglashuang@example.com"/>
    <x v="4"/>
    <x v="3"/>
    <x v="3"/>
    <x v="1"/>
    <s v="Credit Card"/>
    <s v="Cancelled"/>
    <n v="4"/>
    <n v="1390.88"/>
    <n v="0"/>
    <x v="0"/>
    <s v="PH"/>
    <n v="0.12"/>
    <n v="50000"/>
    <n v="5563.52"/>
    <n v="0"/>
    <n v="5563.52"/>
    <n v="1800"/>
    <n v="3763.5200000000004"/>
    <x v="6"/>
    <n v="3"/>
    <n v="2024"/>
  </r>
  <r>
    <s v="ORD-202492700"/>
    <s v="2024-12-27 21:01"/>
    <s v="Jenna Lyons"/>
    <s v="kristina57@example.com"/>
    <x v="2"/>
    <x v="4"/>
    <x v="6"/>
    <x v="3"/>
    <s v="Cash"/>
    <s v="Pending"/>
    <n v="3"/>
    <n v="691.37"/>
    <n v="0.05"/>
    <x v="0"/>
    <s v="SG"/>
    <n v="7.0000000000000007E-2"/>
    <n v="30000"/>
    <n v="2074.11"/>
    <n v="103.70550000000001"/>
    <n v="1970.4045000000001"/>
    <n v="600"/>
    <n v="1370.4045000000001"/>
    <x v="10"/>
    <n v="4"/>
    <n v="2024"/>
  </r>
  <r>
    <s v="ORD-202411617"/>
    <s v="2024-02-29 02:41"/>
    <s v="John Bell"/>
    <s v="ssingleton@example.com"/>
    <x v="8"/>
    <x v="2"/>
    <x v="18"/>
    <x v="3"/>
    <s v="Bank Transfer"/>
    <s v="Pending"/>
    <n v="2"/>
    <n v="1461.61"/>
    <n v="0.15"/>
    <x v="3"/>
    <s v="JP"/>
    <n v="0.1"/>
    <n v="35000"/>
    <n v="2923.22"/>
    <n v="438.48299999999995"/>
    <n v="2484.7370000000001"/>
    <n v="300"/>
    <n v="2184.7370000000001"/>
    <x v="0"/>
    <n v="1"/>
    <n v="2024"/>
  </r>
  <r>
    <s v="ORD-202465950"/>
    <s v="2024-05-09 22:19"/>
    <s v="Bethany Garcia"/>
    <s v="nguyendebra@example.com"/>
    <x v="5"/>
    <x v="1"/>
    <x v="24"/>
    <x v="0"/>
    <s v="Credit Card"/>
    <s v="Cancelled"/>
    <n v="7"/>
    <n v="885.33"/>
    <n v="0.2"/>
    <x v="1"/>
    <s v="AU"/>
    <n v="0.1"/>
    <n v="45000"/>
    <n v="6197.31"/>
    <n v="1239.4620000000002"/>
    <n v="4957.848"/>
    <n v="560"/>
    <n v="4397.848"/>
    <x v="2"/>
    <n v="2"/>
    <n v="2024"/>
  </r>
  <r>
    <s v="ORD-202428705"/>
    <s v="2024-05-17 23:13"/>
    <s v="Jennifer Gutierrez"/>
    <s v="amydickson@example.com"/>
    <x v="8"/>
    <x v="4"/>
    <x v="16"/>
    <x v="0"/>
    <s v="Credit Card"/>
    <s v="Returned"/>
    <n v="8"/>
    <n v="1480.73"/>
    <n v="0"/>
    <x v="3"/>
    <s v="JP"/>
    <n v="0.1"/>
    <n v="30000"/>
    <n v="11845.84"/>
    <n v="0"/>
    <n v="11845.84"/>
    <n v="1600"/>
    <n v="10245.84"/>
    <x v="2"/>
    <n v="2"/>
    <n v="2024"/>
  </r>
  <r>
    <s v="ORD-202478807"/>
    <s v="2024-08-01 20:18"/>
    <s v="Daniel Benson"/>
    <s v="bmueller@example.net"/>
    <x v="8"/>
    <x v="0"/>
    <x v="0"/>
    <x v="1"/>
    <s v="Debit Card"/>
    <s v="Completed"/>
    <n v="3"/>
    <n v="571.36"/>
    <n v="0"/>
    <x v="3"/>
    <s v="JP"/>
    <n v="0.1"/>
    <n v="40000"/>
    <n v="1714.08"/>
    <n v="0"/>
    <n v="1714.08"/>
    <n v="360"/>
    <n v="1354.08"/>
    <x v="5"/>
    <n v="3"/>
    <n v="2024"/>
  </r>
  <r>
    <s v="ORD-202469069"/>
    <s v="2024-10-17 06:11"/>
    <s v="Kimberly Young"/>
    <s v="stevensonjennifer@example.com"/>
    <x v="1"/>
    <x v="3"/>
    <x v="7"/>
    <x v="1"/>
    <s v="Bank Transfer"/>
    <s v="Completed"/>
    <n v="4"/>
    <n v="1216.6300000000001"/>
    <n v="0.05"/>
    <x v="0"/>
    <s v="TH"/>
    <n v="7.0000000000000007E-2"/>
    <n v="50000"/>
    <n v="4866.5200000000004"/>
    <n v="243.32600000000002"/>
    <n v="4623.1940000000004"/>
    <n v="1800"/>
    <n v="2823.1940000000004"/>
    <x v="9"/>
    <n v="4"/>
    <n v="2024"/>
  </r>
  <r>
    <s v="ORD-202493418"/>
    <s v="2024-03-26 02:18"/>
    <s v="Kyle Nguyen"/>
    <s v="shortgregory@example.com"/>
    <x v="7"/>
    <x v="2"/>
    <x v="11"/>
    <x v="3"/>
    <s v="Bank Transfer"/>
    <s v="Returned"/>
    <n v="6"/>
    <n v="425.99"/>
    <n v="0"/>
    <x v="0"/>
    <s v="MY"/>
    <n v="0.06"/>
    <n v="35000"/>
    <n v="2555.94"/>
    <n v="0"/>
    <n v="2555.94"/>
    <n v="900"/>
    <n v="1655.94"/>
    <x v="7"/>
    <n v="1"/>
    <n v="2024"/>
  </r>
  <r>
    <s v="ORD-202498185"/>
    <s v="2024-02-21 00:03"/>
    <s v="Brian Cervantes"/>
    <s v="pmurphy@example.net"/>
    <x v="0"/>
    <x v="3"/>
    <x v="10"/>
    <x v="3"/>
    <s v="Cash"/>
    <s v="Completed"/>
    <n v="1"/>
    <n v="1186.97"/>
    <n v="0"/>
    <x v="0"/>
    <s v="VN"/>
    <n v="0.1"/>
    <n v="50000"/>
    <n v="1186.97"/>
    <n v="0"/>
    <n v="1186.97"/>
    <n v="450"/>
    <n v="736.97"/>
    <x v="0"/>
    <n v="1"/>
    <n v="2024"/>
  </r>
  <r>
    <s v="ORD-202459239"/>
    <s v="2024-11-04 16:48"/>
    <s v="Daniel Taylor"/>
    <s v="shermandonna@example.com"/>
    <x v="0"/>
    <x v="2"/>
    <x v="17"/>
    <x v="2"/>
    <s v="E-Wallet"/>
    <s v="Cancelled"/>
    <n v="10"/>
    <n v="1139.01"/>
    <n v="0.1"/>
    <x v="0"/>
    <s v="VN"/>
    <n v="0.1"/>
    <n v="35000"/>
    <n v="11390.1"/>
    <n v="1139.01"/>
    <n v="10251.09"/>
    <n v="1500"/>
    <n v="8751.09"/>
    <x v="11"/>
    <n v="4"/>
    <n v="2024"/>
  </r>
  <r>
    <s v="ORD-202451317"/>
    <s v="2024-05-02 11:42"/>
    <s v="Jean Lane"/>
    <s v="jamierich@example.com"/>
    <x v="8"/>
    <x v="2"/>
    <x v="18"/>
    <x v="0"/>
    <s v="Credit Card"/>
    <s v="Returned"/>
    <n v="6"/>
    <n v="100"/>
    <n v="0.05"/>
    <x v="3"/>
    <s v="JP"/>
    <n v="0.1"/>
    <n v="35000"/>
    <n v="600"/>
    <n v="30"/>
    <n v="570"/>
    <n v="900"/>
    <n v="-330"/>
    <x v="2"/>
    <n v="2"/>
    <n v="2024"/>
  </r>
  <r>
    <s v="ORD-202462665"/>
    <s v="2024-03-12 00:38"/>
    <s v="Susan Torres"/>
    <s v="wrobbins@example.org"/>
    <x v="7"/>
    <x v="1"/>
    <x v="22"/>
    <x v="1"/>
    <s v="Cash"/>
    <s v="Returned"/>
    <n v="4"/>
    <n v="1427.33"/>
    <n v="0.05"/>
    <x v="0"/>
    <s v="MY"/>
    <n v="0.06"/>
    <n v="45000"/>
    <n v="5709.32"/>
    <n v="285.46600000000001"/>
    <n v="5423.8539999999994"/>
    <n v="320"/>
    <n v="5103.8539999999994"/>
    <x v="7"/>
    <n v="1"/>
    <n v="2024"/>
  </r>
  <r>
    <s v="ORD-202477490"/>
    <s v="2024-07-30 21:12"/>
    <s v="Lisa Dixon"/>
    <s v="melissabrown@example.net"/>
    <x v="3"/>
    <x v="4"/>
    <x v="16"/>
    <x v="2"/>
    <s v="Bank Transfer"/>
    <s v="Pending"/>
    <n v="1"/>
    <n v="956.16"/>
    <n v="0.2"/>
    <x v="0"/>
    <s v="ID"/>
    <n v="0.11"/>
    <n v="30000"/>
    <n v="956.16"/>
    <n v="191.232"/>
    <n v="764.928"/>
    <n v="200"/>
    <n v="564.928"/>
    <x v="3"/>
    <n v="3"/>
    <n v="2024"/>
  </r>
  <r>
    <s v="ORD-202489529"/>
    <s v="2024-09-05 12:47"/>
    <s v="April Castro"/>
    <s v="daniel40@example.org"/>
    <x v="6"/>
    <x v="3"/>
    <x v="14"/>
    <x v="0"/>
    <s v="Bank Transfer"/>
    <s v="Cancelled"/>
    <n v="8"/>
    <n v="650.46"/>
    <n v="0.2"/>
    <x v="2"/>
    <s v="IN"/>
    <n v="0.18"/>
    <n v="50000"/>
    <n v="5203.68"/>
    <n v="1040.7360000000001"/>
    <n v="4162.9440000000004"/>
    <n v="3600"/>
    <n v="562.94400000000041"/>
    <x v="6"/>
    <n v="3"/>
    <n v="2024"/>
  </r>
  <r>
    <s v="ORD-202489583"/>
    <s v="2024-04-09 22:09"/>
    <s v="Kevin Garrett"/>
    <s v="bsullivan@example.net"/>
    <x v="5"/>
    <x v="1"/>
    <x v="1"/>
    <x v="2"/>
    <s v="Cash"/>
    <s v="Returned"/>
    <n v="8"/>
    <n v="62.14"/>
    <n v="0"/>
    <x v="1"/>
    <s v="AU"/>
    <n v="0.1"/>
    <n v="45000"/>
    <n v="497.12"/>
    <n v="0"/>
    <n v="497.12"/>
    <n v="640"/>
    <n v="-142.88"/>
    <x v="4"/>
    <n v="2"/>
    <n v="2024"/>
  </r>
  <r>
    <s v="ORD-202432027"/>
    <s v="2024-08-16 03:30"/>
    <s v="Christopher Taylor"/>
    <s v="xbridges@example.com"/>
    <x v="5"/>
    <x v="0"/>
    <x v="0"/>
    <x v="1"/>
    <s v="Credit Card"/>
    <s v="Pending"/>
    <n v="2"/>
    <n v="329.29"/>
    <n v="0"/>
    <x v="1"/>
    <s v="AU"/>
    <n v="0.1"/>
    <n v="40000"/>
    <n v="658.58"/>
    <n v="0"/>
    <n v="658.58"/>
    <n v="240"/>
    <n v="418.58000000000004"/>
    <x v="5"/>
    <n v="3"/>
    <n v="2024"/>
  </r>
  <r>
    <s v="ORD-202452795"/>
    <s v="2024-07-15 08:14"/>
    <s v="Zachary Santiago"/>
    <s v="alexanderwong@example.org"/>
    <x v="0"/>
    <x v="2"/>
    <x v="11"/>
    <x v="1"/>
    <s v="Credit Card"/>
    <s v="Cancelled"/>
    <n v="9"/>
    <n v="1003.23"/>
    <n v="0.2"/>
    <x v="0"/>
    <s v="VN"/>
    <n v="0.1"/>
    <n v="35000"/>
    <n v="9029.07"/>
    <n v="1805.8140000000001"/>
    <n v="7223.2559999999994"/>
    <n v="1350"/>
    <n v="5873.2559999999994"/>
    <x v="3"/>
    <n v="3"/>
    <n v="2024"/>
  </r>
  <r>
    <s v="ORD-202439334"/>
    <s v="2024-10-21 19:04"/>
    <s v="Katelyn Kim"/>
    <s v="christophermay@example.com"/>
    <x v="4"/>
    <x v="2"/>
    <x v="17"/>
    <x v="3"/>
    <s v="Debit Card"/>
    <s v="Cancelled"/>
    <n v="9"/>
    <n v="986.07"/>
    <n v="0.1"/>
    <x v="0"/>
    <s v="PH"/>
    <n v="0.12"/>
    <n v="35000"/>
    <n v="8874.630000000001"/>
    <n v="887.46300000000019"/>
    <n v="7987.1670000000013"/>
    <n v="1350"/>
    <n v="6637.1670000000013"/>
    <x v="9"/>
    <n v="4"/>
    <n v="2024"/>
  </r>
  <r>
    <s v="ORD-202425163"/>
    <s v="2024-05-28 02:07"/>
    <s v="Stephanie Dominguez"/>
    <s v="dhanson@example.net"/>
    <x v="7"/>
    <x v="4"/>
    <x v="6"/>
    <x v="2"/>
    <s v="Debit Card"/>
    <s v="Cancelled"/>
    <n v="2"/>
    <n v="1406.76"/>
    <n v="0.15"/>
    <x v="0"/>
    <s v="MY"/>
    <n v="0.06"/>
    <n v="30000"/>
    <n v="2813.52"/>
    <n v="422.02799999999996"/>
    <n v="2391.4920000000002"/>
    <n v="400"/>
    <n v="1991.4920000000002"/>
    <x v="2"/>
    <n v="2"/>
    <n v="2024"/>
  </r>
  <r>
    <s v="ORD-202459832"/>
    <s v="2024-10-22 23:00"/>
    <s v="Robert Cruz"/>
    <s v="jacobjacobs@example.net"/>
    <x v="0"/>
    <x v="3"/>
    <x v="10"/>
    <x v="2"/>
    <s v="E-Wallet"/>
    <s v="Pending"/>
    <n v="7"/>
    <n v="810.37"/>
    <n v="0.1"/>
    <x v="0"/>
    <s v="VN"/>
    <n v="0.1"/>
    <n v="50000"/>
    <n v="5672.59"/>
    <n v="567.25900000000001"/>
    <n v="5105.3310000000001"/>
    <n v="3150"/>
    <n v="1955.3310000000001"/>
    <x v="9"/>
    <n v="4"/>
    <n v="2024"/>
  </r>
  <r>
    <s v="ORD-202478124"/>
    <s v="2024-12-05 19:37"/>
    <s v="Dr. Michael Adams DVM"/>
    <s v="arthur09@example.com"/>
    <x v="1"/>
    <x v="3"/>
    <x v="3"/>
    <x v="3"/>
    <s v="E-Wallet"/>
    <s v="Pending"/>
    <n v="8"/>
    <n v="28.64"/>
    <n v="0.05"/>
    <x v="0"/>
    <s v="TH"/>
    <n v="7.0000000000000007E-2"/>
    <n v="50000"/>
    <n v="229.12"/>
    <n v="11.456000000000001"/>
    <n v="217.66400000000002"/>
    <n v="3600"/>
    <n v="-3382.3359999999998"/>
    <x v="10"/>
    <n v="4"/>
    <n v="2024"/>
  </r>
  <r>
    <s v="ORD-202475514"/>
    <s v="2024-12-14 14:09"/>
    <s v="Ashley Olson"/>
    <s v="thomasjessica@example.com"/>
    <x v="6"/>
    <x v="4"/>
    <x v="5"/>
    <x v="2"/>
    <s v="E-Wallet"/>
    <s v="Completed"/>
    <n v="1"/>
    <n v="1124.3800000000001"/>
    <n v="0.15"/>
    <x v="2"/>
    <s v="IN"/>
    <n v="0.18"/>
    <n v="30000"/>
    <n v="1124.3800000000001"/>
    <n v="168.65700000000001"/>
    <n v="955.72300000000007"/>
    <n v="200"/>
    <n v="755.72300000000007"/>
    <x v="10"/>
    <n v="4"/>
    <n v="2024"/>
  </r>
  <r>
    <s v="ORD-202445841"/>
    <s v="2024-12-27 18:30"/>
    <s v="Blake Wu"/>
    <s v="sanchezcrystal@example.net"/>
    <x v="1"/>
    <x v="2"/>
    <x v="2"/>
    <x v="2"/>
    <s v="Debit Card"/>
    <s v="Pending"/>
    <n v="7"/>
    <n v="1060.6500000000001"/>
    <n v="0"/>
    <x v="0"/>
    <s v="TH"/>
    <n v="7.0000000000000007E-2"/>
    <n v="35000"/>
    <n v="7424.5500000000011"/>
    <n v="0"/>
    <n v="7424.5500000000011"/>
    <n v="1050"/>
    <n v="6374.5500000000011"/>
    <x v="10"/>
    <n v="4"/>
    <n v="2024"/>
  </r>
  <r>
    <s v="ORD-202439500"/>
    <s v="2024-12-24 23:03"/>
    <s v="Angela Schultz"/>
    <s v="chloe58@example.org"/>
    <x v="2"/>
    <x v="2"/>
    <x v="17"/>
    <x v="1"/>
    <s v="E-Wallet"/>
    <s v="Returned"/>
    <n v="3"/>
    <n v="459.17"/>
    <n v="0"/>
    <x v="0"/>
    <s v="SG"/>
    <n v="7.0000000000000007E-2"/>
    <n v="35000"/>
    <n v="1377.51"/>
    <n v="0"/>
    <n v="1377.51"/>
    <n v="450"/>
    <n v="927.51"/>
    <x v="10"/>
    <n v="4"/>
    <n v="2024"/>
  </r>
  <r>
    <s v="ORD-202498853"/>
    <s v="2024-08-30 11:48"/>
    <s v="Jose Harrison"/>
    <s v="robert44@example.org"/>
    <x v="8"/>
    <x v="2"/>
    <x v="11"/>
    <x v="3"/>
    <s v="Cash"/>
    <s v="Returned"/>
    <n v="5"/>
    <n v="798.85"/>
    <n v="0.05"/>
    <x v="3"/>
    <s v="JP"/>
    <n v="0.1"/>
    <n v="35000"/>
    <n v="3994.25"/>
    <n v="199.71250000000001"/>
    <n v="3794.5374999999999"/>
    <n v="750"/>
    <n v="3044.5374999999999"/>
    <x v="5"/>
    <n v="3"/>
    <n v="2024"/>
  </r>
  <r>
    <s v="ORD-202422755"/>
    <s v="2024-03-08 10:48"/>
    <s v="Thomas Curry"/>
    <s v="bryan79@example.org"/>
    <x v="6"/>
    <x v="3"/>
    <x v="14"/>
    <x v="3"/>
    <s v="Bank Transfer"/>
    <s v="Returned"/>
    <n v="3"/>
    <n v="694.44"/>
    <n v="0.15"/>
    <x v="2"/>
    <s v="IN"/>
    <n v="0.18"/>
    <n v="50000"/>
    <n v="2083.3200000000002"/>
    <n v="312.49799999999999"/>
    <n v="1770.8220000000001"/>
    <n v="1350"/>
    <n v="420.82200000000012"/>
    <x v="7"/>
    <n v="1"/>
    <n v="2024"/>
  </r>
  <r>
    <s v="ORD-202448152"/>
    <s v="2024-03-15 06:13"/>
    <s v="Mary Carter"/>
    <s v="mitchellchristopher@example.net"/>
    <x v="1"/>
    <x v="3"/>
    <x v="14"/>
    <x v="3"/>
    <s v="Bank Transfer"/>
    <s v="Returned"/>
    <n v="10"/>
    <n v="1093.05"/>
    <n v="0"/>
    <x v="0"/>
    <s v="TH"/>
    <n v="7.0000000000000007E-2"/>
    <n v="50000"/>
    <n v="10930.5"/>
    <n v="0"/>
    <n v="10930.5"/>
    <n v="4500"/>
    <n v="6430.5"/>
    <x v="7"/>
    <n v="1"/>
    <n v="2024"/>
  </r>
  <r>
    <s v="ORD-202499056"/>
    <s v="2024-03-27 01:06"/>
    <s v="Richard King"/>
    <s v="joshua40@example.net"/>
    <x v="4"/>
    <x v="2"/>
    <x v="21"/>
    <x v="2"/>
    <s v="Cash"/>
    <s v="Returned"/>
    <n v="2"/>
    <n v="1418.42"/>
    <n v="0.15"/>
    <x v="0"/>
    <s v="PH"/>
    <n v="0.12"/>
    <n v="35000"/>
    <n v="2836.84"/>
    <n v="425.52600000000001"/>
    <n v="2411.3140000000003"/>
    <n v="300"/>
    <n v="2111.3140000000003"/>
    <x v="7"/>
    <n v="1"/>
    <n v="2024"/>
  </r>
  <r>
    <s v="ORD-202429473"/>
    <s v="2024-11-17 23:25"/>
    <s v="Christopher Vargas"/>
    <s v="donnawood@example.org"/>
    <x v="1"/>
    <x v="3"/>
    <x v="8"/>
    <x v="3"/>
    <s v="Bank Transfer"/>
    <s v="Completed"/>
    <n v="8"/>
    <n v="372.67"/>
    <n v="0.05"/>
    <x v="0"/>
    <s v="TH"/>
    <n v="7.0000000000000007E-2"/>
    <n v="50000"/>
    <n v="2981.36"/>
    <n v="149.06800000000001"/>
    <n v="2832.2919999999999"/>
    <n v="3600"/>
    <n v="-767.70800000000008"/>
    <x v="11"/>
    <n v="4"/>
    <n v="2024"/>
  </r>
  <r>
    <s v="ORD-202470774"/>
    <s v="2024-11-28 12:17"/>
    <s v="Michael Washington"/>
    <s v="cooperchristopher@example.org"/>
    <x v="9"/>
    <x v="4"/>
    <x v="16"/>
    <x v="1"/>
    <s v="Cash"/>
    <s v="Pending"/>
    <n v="2"/>
    <n v="193.2"/>
    <n v="0"/>
    <x v="3"/>
    <s v="KR"/>
    <n v="0.1"/>
    <n v="30000"/>
    <n v="386.4"/>
    <n v="0"/>
    <n v="386.4"/>
    <n v="400"/>
    <n v="-13.600000000000023"/>
    <x v="11"/>
    <n v="4"/>
    <n v="2024"/>
  </r>
  <r>
    <s v="ORD-202413018"/>
    <s v="2024-10-27 18:36"/>
    <s v="Samantha Monroe"/>
    <s v="ptownsend@example.net"/>
    <x v="9"/>
    <x v="4"/>
    <x v="16"/>
    <x v="1"/>
    <s v="Bank Transfer"/>
    <s v="Cancelled"/>
    <n v="3"/>
    <n v="1194.5999999999999"/>
    <n v="0.1"/>
    <x v="3"/>
    <s v="KR"/>
    <n v="0.1"/>
    <n v="30000"/>
    <n v="3583.7999999999997"/>
    <n v="358.38"/>
    <n v="3225.4199999999996"/>
    <n v="600"/>
    <n v="2625.4199999999996"/>
    <x v="9"/>
    <n v="4"/>
    <n v="2024"/>
  </r>
  <r>
    <s v="ORD-202484897"/>
    <s v="2024-03-05 03:20"/>
    <s v="Mark Clark"/>
    <s v="brian41@example.org"/>
    <x v="7"/>
    <x v="1"/>
    <x v="9"/>
    <x v="1"/>
    <s v="Credit Card"/>
    <s v="Completed"/>
    <n v="1"/>
    <n v="616.91999999999996"/>
    <n v="0.1"/>
    <x v="0"/>
    <s v="MY"/>
    <n v="0.06"/>
    <n v="45000"/>
    <n v="616.91999999999996"/>
    <n v="61.692"/>
    <n v="555.22799999999995"/>
    <n v="80"/>
    <n v="475.22799999999995"/>
    <x v="7"/>
    <n v="1"/>
    <n v="2024"/>
  </r>
  <r>
    <s v="ORD-202437192"/>
    <s v="2024-12-03 03:11"/>
    <s v="James Turner"/>
    <s v="noahthornton@example.com"/>
    <x v="6"/>
    <x v="0"/>
    <x v="20"/>
    <x v="0"/>
    <s v="Debit Card"/>
    <s v="Pending"/>
    <n v="6"/>
    <n v="838.76"/>
    <n v="0"/>
    <x v="2"/>
    <s v="IN"/>
    <n v="0.18"/>
    <n v="40000"/>
    <n v="5032.5599999999995"/>
    <n v="0"/>
    <n v="5032.5599999999995"/>
    <n v="720"/>
    <n v="4312.5599999999995"/>
    <x v="10"/>
    <n v="4"/>
    <n v="2024"/>
  </r>
  <r>
    <s v="ORD-202495542"/>
    <s v="2024-03-23 02:35"/>
    <s v="Joseph Graham"/>
    <s v="sara76@example.net"/>
    <x v="0"/>
    <x v="3"/>
    <x v="8"/>
    <x v="2"/>
    <s v="Cash"/>
    <s v="Pending"/>
    <n v="9"/>
    <n v="1470.19"/>
    <n v="0.05"/>
    <x v="0"/>
    <s v="VN"/>
    <n v="0.1"/>
    <n v="50000"/>
    <n v="13231.710000000001"/>
    <n v="661.58550000000014"/>
    <n v="12570.124500000002"/>
    <n v="4050"/>
    <n v="8520.1245000000017"/>
    <x v="7"/>
    <n v="1"/>
    <n v="2024"/>
  </r>
  <r>
    <s v="ORD-202465450"/>
    <s v="2024-12-02 00:15"/>
    <s v="Joseph Blanchard"/>
    <s v="hardindana@example.com"/>
    <x v="0"/>
    <x v="3"/>
    <x v="10"/>
    <x v="1"/>
    <s v="Debit Card"/>
    <s v="Returned"/>
    <n v="5"/>
    <n v="1358.36"/>
    <n v="0.2"/>
    <x v="0"/>
    <s v="VN"/>
    <n v="0.1"/>
    <n v="50000"/>
    <n v="6791.7999999999993"/>
    <n v="1358.36"/>
    <n v="5433.44"/>
    <n v="2250"/>
    <n v="3183.4399999999996"/>
    <x v="10"/>
    <n v="4"/>
    <n v="2024"/>
  </r>
  <r>
    <s v="ORD-202451017"/>
    <s v="2024-09-24 11:38"/>
    <s v="Marissa Nelson"/>
    <s v="joseph14@example.net"/>
    <x v="5"/>
    <x v="1"/>
    <x v="9"/>
    <x v="0"/>
    <s v="Debit Card"/>
    <s v="Pending"/>
    <n v="1"/>
    <n v="1036.58"/>
    <n v="0"/>
    <x v="1"/>
    <s v="AU"/>
    <n v="0.1"/>
    <n v="45000"/>
    <n v="1036.58"/>
    <n v="0"/>
    <n v="1036.58"/>
    <n v="80"/>
    <n v="956.57999999999993"/>
    <x v="6"/>
    <n v="3"/>
    <n v="2024"/>
  </r>
  <r>
    <s v="ORD-202449283"/>
    <s v="2024-04-20 04:38"/>
    <s v="Julia Leonard"/>
    <s v="jessicachapman@example.org"/>
    <x v="5"/>
    <x v="0"/>
    <x v="12"/>
    <x v="1"/>
    <s v="Credit Card"/>
    <s v="Cancelled"/>
    <n v="3"/>
    <n v="548.21"/>
    <n v="0.2"/>
    <x v="1"/>
    <s v="AU"/>
    <n v="0.1"/>
    <n v="40000"/>
    <n v="1644.63"/>
    <n v="328.92600000000004"/>
    <n v="1315.7040000000002"/>
    <n v="360"/>
    <n v="955.70400000000018"/>
    <x v="4"/>
    <n v="2"/>
    <n v="2024"/>
  </r>
  <r>
    <s v="ORD-202444167"/>
    <s v="2024-07-14 20:57"/>
    <s v="Megan Kaiser"/>
    <s v="amy01@example.org"/>
    <x v="2"/>
    <x v="2"/>
    <x v="17"/>
    <x v="1"/>
    <s v="Debit Card"/>
    <s v="Pending"/>
    <n v="5"/>
    <n v="138.63"/>
    <n v="0.2"/>
    <x v="0"/>
    <s v="SG"/>
    <n v="7.0000000000000007E-2"/>
    <n v="35000"/>
    <n v="693.15"/>
    <n v="138.63"/>
    <n v="554.52"/>
    <n v="750"/>
    <n v="-195.48000000000002"/>
    <x v="3"/>
    <n v="3"/>
    <n v="2024"/>
  </r>
  <r>
    <s v="ORD-202419248"/>
    <s v="2024-11-18 23:17"/>
    <s v="Joseph Jennings"/>
    <s v="jeffrey44@example.org"/>
    <x v="1"/>
    <x v="4"/>
    <x v="6"/>
    <x v="3"/>
    <s v="Bank Transfer"/>
    <s v="Pending"/>
    <n v="9"/>
    <n v="991.12"/>
    <n v="0.15"/>
    <x v="0"/>
    <s v="TH"/>
    <n v="7.0000000000000007E-2"/>
    <n v="30000"/>
    <n v="8920.08"/>
    <n v="1338.0119999999999"/>
    <n v="7582.0680000000002"/>
    <n v="1800"/>
    <n v="5782.0680000000002"/>
    <x v="11"/>
    <n v="4"/>
    <n v="2024"/>
  </r>
  <r>
    <s v="ORD-202451465"/>
    <s v="2024-08-10 12:01"/>
    <s v="Manuel Brown"/>
    <s v="stephanielittle@example.net"/>
    <x v="6"/>
    <x v="0"/>
    <x v="20"/>
    <x v="1"/>
    <s v="Credit Card"/>
    <s v="Cancelled"/>
    <n v="9"/>
    <n v="416.14"/>
    <n v="0"/>
    <x v="2"/>
    <s v="IN"/>
    <n v="0.18"/>
    <n v="40000"/>
    <n v="3745.2599999999998"/>
    <n v="0"/>
    <n v="3745.2599999999998"/>
    <n v="1080"/>
    <n v="2665.2599999999998"/>
    <x v="5"/>
    <n v="3"/>
    <n v="2024"/>
  </r>
  <r>
    <s v="ORD-202493909"/>
    <s v="2024-02-15 11:58"/>
    <s v="Angelica Jacobs"/>
    <s v="pdouglas@example.net"/>
    <x v="4"/>
    <x v="4"/>
    <x v="5"/>
    <x v="0"/>
    <s v="Credit Card"/>
    <s v="Returned"/>
    <n v="4"/>
    <n v="1305.25"/>
    <n v="0.05"/>
    <x v="0"/>
    <s v="PH"/>
    <n v="0.12"/>
    <n v="30000"/>
    <n v="5221"/>
    <n v="261.05"/>
    <n v="4959.95"/>
    <n v="800"/>
    <n v="4159.95"/>
    <x v="0"/>
    <n v="1"/>
    <n v="2024"/>
  </r>
  <r>
    <s v="ORD-202439127"/>
    <s v="2024-07-12 03:50"/>
    <s v="Cathy Rodriguez"/>
    <s v="jonowens@example.org"/>
    <x v="7"/>
    <x v="0"/>
    <x v="12"/>
    <x v="1"/>
    <s v="Credit Card"/>
    <s v="Cancelled"/>
    <n v="5"/>
    <n v="1096.57"/>
    <n v="0.15"/>
    <x v="0"/>
    <s v="MY"/>
    <n v="0.06"/>
    <n v="40000"/>
    <n v="5482.8499999999995"/>
    <n v="822.4274999999999"/>
    <n v="4660.4224999999997"/>
    <n v="600"/>
    <n v="4060.4224999999997"/>
    <x v="3"/>
    <n v="3"/>
    <n v="2024"/>
  </r>
  <r>
    <s v="ORD-202484993"/>
    <s v="2024-05-24 17:17"/>
    <s v="Tammy Hill"/>
    <s v="qschwartz@example.com"/>
    <x v="6"/>
    <x v="3"/>
    <x v="8"/>
    <x v="2"/>
    <s v="Cash"/>
    <s v="Returned"/>
    <n v="7"/>
    <n v="268.56"/>
    <n v="0"/>
    <x v="2"/>
    <s v="IN"/>
    <n v="0.18"/>
    <n v="50000"/>
    <n v="1879.92"/>
    <n v="0"/>
    <n v="1879.92"/>
    <n v="3150"/>
    <n v="-1270.08"/>
    <x v="2"/>
    <n v="2"/>
    <n v="2024"/>
  </r>
  <r>
    <s v="ORD-202472503"/>
    <s v="2024-10-30 04:16"/>
    <s v="Richard Ramirez"/>
    <s v="reyesmarvin@example.org"/>
    <x v="3"/>
    <x v="1"/>
    <x v="9"/>
    <x v="2"/>
    <s v="Credit Card"/>
    <s v="Cancelled"/>
    <n v="3"/>
    <n v="991.48"/>
    <n v="0.1"/>
    <x v="0"/>
    <s v="ID"/>
    <n v="0.11"/>
    <n v="45000"/>
    <n v="2974.44"/>
    <n v="297.44400000000002"/>
    <n v="2676.9960000000001"/>
    <n v="240"/>
    <n v="2436.9960000000001"/>
    <x v="9"/>
    <n v="4"/>
    <n v="2024"/>
  </r>
  <r>
    <s v="ORD-202442651"/>
    <s v="2024-12-13 19:26"/>
    <s v="Robert Thompson"/>
    <s v="vasquezsarah@example.net"/>
    <x v="9"/>
    <x v="0"/>
    <x v="15"/>
    <x v="2"/>
    <s v="E-Wallet"/>
    <s v="Returned"/>
    <n v="8"/>
    <n v="1479.58"/>
    <n v="0.15"/>
    <x v="3"/>
    <s v="KR"/>
    <n v="0.1"/>
    <n v="40000"/>
    <n v="11836.64"/>
    <n v="1775.4959999999999"/>
    <n v="10061.144"/>
    <n v="960"/>
    <n v="9101.1440000000002"/>
    <x v="10"/>
    <n v="4"/>
    <n v="2024"/>
  </r>
  <r>
    <s v="ORD-202478235"/>
    <s v="2024-04-27 09:40"/>
    <s v="Matthew Rodriguez"/>
    <s v="probinson@example.org"/>
    <x v="7"/>
    <x v="4"/>
    <x v="19"/>
    <x v="0"/>
    <s v="Credit Card"/>
    <s v="Pending"/>
    <n v="2"/>
    <n v="1159.31"/>
    <n v="0.2"/>
    <x v="0"/>
    <s v="MY"/>
    <n v="0.06"/>
    <n v="30000"/>
    <n v="2318.62"/>
    <n v="463.72399999999999"/>
    <n v="1854.896"/>
    <n v="400"/>
    <n v="1454.896"/>
    <x v="4"/>
    <n v="2"/>
    <n v="2024"/>
  </r>
  <r>
    <s v="ORD-202422272"/>
    <s v="2024-03-25 18:03"/>
    <s v="Michelle Garcia"/>
    <s v="jonesjessica@example.com"/>
    <x v="7"/>
    <x v="4"/>
    <x v="6"/>
    <x v="3"/>
    <s v="Bank Transfer"/>
    <s v="Returned"/>
    <n v="1"/>
    <n v="1395.44"/>
    <n v="0.1"/>
    <x v="0"/>
    <s v="MY"/>
    <n v="0.06"/>
    <n v="30000"/>
    <n v="1395.44"/>
    <n v="139.54400000000001"/>
    <n v="1255.896"/>
    <n v="200"/>
    <n v="1055.896"/>
    <x v="7"/>
    <n v="1"/>
    <n v="2024"/>
  </r>
  <r>
    <s v="ORD-202477503"/>
    <s v="2024-12-16 21:56"/>
    <s v="Jonathan Delgado"/>
    <s v="fitzpatrickelizabeth@example.com"/>
    <x v="5"/>
    <x v="3"/>
    <x v="3"/>
    <x v="0"/>
    <s v="Bank Transfer"/>
    <s v="Cancelled"/>
    <n v="4"/>
    <n v="35.64"/>
    <n v="0.2"/>
    <x v="1"/>
    <s v="AU"/>
    <n v="0.1"/>
    <n v="50000"/>
    <n v="142.56"/>
    <n v="28.512"/>
    <n v="114.048"/>
    <n v="1800"/>
    <n v="-1685.952"/>
    <x v="10"/>
    <n v="4"/>
    <n v="2024"/>
  </r>
  <r>
    <s v="ORD-202442011"/>
    <s v="2024-12-04 16:43"/>
    <s v="Gary Myers"/>
    <s v="robertsonshelby@example.com"/>
    <x v="6"/>
    <x v="3"/>
    <x v="10"/>
    <x v="3"/>
    <s v="Debit Card"/>
    <s v="Completed"/>
    <n v="3"/>
    <n v="681.25"/>
    <n v="0.2"/>
    <x v="2"/>
    <s v="IN"/>
    <n v="0.18"/>
    <n v="50000"/>
    <n v="2043.75"/>
    <n v="408.75"/>
    <n v="1635"/>
    <n v="1350"/>
    <n v="285"/>
    <x v="10"/>
    <n v="4"/>
    <n v="2024"/>
  </r>
  <r>
    <s v="ORD-202458110"/>
    <s v="2024-03-09 16:22"/>
    <s v="Jared Luna"/>
    <s v="fernandezaaron@example.net"/>
    <x v="3"/>
    <x v="2"/>
    <x v="17"/>
    <x v="2"/>
    <s v="Debit Card"/>
    <s v="Completed"/>
    <n v="6"/>
    <n v="577.96"/>
    <n v="0"/>
    <x v="0"/>
    <s v="ID"/>
    <n v="0.11"/>
    <n v="35000"/>
    <n v="3467.76"/>
    <n v="0"/>
    <n v="3467.76"/>
    <n v="900"/>
    <n v="2567.7600000000002"/>
    <x v="7"/>
    <n v="1"/>
    <n v="2024"/>
  </r>
  <r>
    <s v="ORD-202448019"/>
    <s v="2024-06-02 15:18"/>
    <s v="Karen Bradley"/>
    <s v="mathew46@example.org"/>
    <x v="0"/>
    <x v="0"/>
    <x v="20"/>
    <x v="3"/>
    <s v="E-Wallet"/>
    <s v="Completed"/>
    <n v="10"/>
    <n v="1110.97"/>
    <n v="0.1"/>
    <x v="0"/>
    <s v="VN"/>
    <n v="0.1"/>
    <n v="40000"/>
    <n v="11109.7"/>
    <n v="1110.97"/>
    <n v="9998.7300000000014"/>
    <n v="1200"/>
    <n v="8798.7300000000014"/>
    <x v="8"/>
    <n v="2"/>
    <n v="2024"/>
  </r>
  <r>
    <s v="ORD-202470693"/>
    <s v="2024-11-12 15:03"/>
    <s v="Tina Davis"/>
    <s v="christopher74@example.net"/>
    <x v="4"/>
    <x v="3"/>
    <x v="10"/>
    <x v="0"/>
    <s v="Credit Card"/>
    <s v="Cancelled"/>
    <n v="5"/>
    <n v="698.63"/>
    <n v="0.05"/>
    <x v="0"/>
    <s v="PH"/>
    <n v="0.12"/>
    <n v="50000"/>
    <n v="3493.15"/>
    <n v="174.65750000000003"/>
    <n v="3318.4925000000003"/>
    <n v="2250"/>
    <n v="1068.4925000000003"/>
    <x v="11"/>
    <n v="4"/>
    <n v="2024"/>
  </r>
  <r>
    <s v="ORD-202434400"/>
    <s v="2024-07-24 11:00"/>
    <s v="Julian Ponce"/>
    <s v="kentprice@example.org"/>
    <x v="7"/>
    <x v="2"/>
    <x v="17"/>
    <x v="3"/>
    <s v="Bank Transfer"/>
    <s v="Completed"/>
    <n v="9"/>
    <n v="308.35000000000002"/>
    <n v="0.15"/>
    <x v="0"/>
    <s v="MY"/>
    <n v="0.06"/>
    <n v="35000"/>
    <n v="2775.15"/>
    <n v="416.27249999999998"/>
    <n v="2358.8775000000001"/>
    <n v="1350"/>
    <n v="1008.8775000000001"/>
    <x v="3"/>
    <n v="3"/>
    <n v="2024"/>
  </r>
  <r>
    <s v="ORD-202473886"/>
    <s v="2024-01-04 04:49"/>
    <s v="Heather Miller"/>
    <s v="imoss@example.org"/>
    <x v="0"/>
    <x v="0"/>
    <x v="15"/>
    <x v="1"/>
    <s v="Debit Card"/>
    <s v="Cancelled"/>
    <n v="5"/>
    <n v="602.11"/>
    <n v="0.05"/>
    <x v="0"/>
    <s v="VN"/>
    <n v="0.1"/>
    <n v="40000"/>
    <n v="3010.55"/>
    <n v="150.5275"/>
    <n v="2860.0225"/>
    <n v="600"/>
    <n v="2260.0225"/>
    <x v="1"/>
    <n v="1"/>
    <n v="2024"/>
  </r>
  <r>
    <s v="ORD-202424246"/>
    <s v="2024-08-12 21:53"/>
    <s v="Nathan Watkins"/>
    <s v="yprice@example.net"/>
    <x v="9"/>
    <x v="0"/>
    <x v="0"/>
    <x v="2"/>
    <s v="Debit Card"/>
    <s v="Completed"/>
    <n v="7"/>
    <n v="540.29999999999995"/>
    <n v="0"/>
    <x v="3"/>
    <s v="KR"/>
    <n v="0.1"/>
    <n v="40000"/>
    <n v="3782.0999999999995"/>
    <n v="0"/>
    <n v="3782.0999999999995"/>
    <n v="840"/>
    <n v="2942.0999999999995"/>
    <x v="5"/>
    <n v="3"/>
    <n v="2024"/>
  </r>
  <r>
    <s v="ORD-202434846"/>
    <s v="2024-05-25 01:08"/>
    <s v="Kathryn Hanna"/>
    <s v="blevy@example.org"/>
    <x v="8"/>
    <x v="2"/>
    <x v="2"/>
    <x v="3"/>
    <s v="Bank Transfer"/>
    <s v="Cancelled"/>
    <n v="3"/>
    <n v="1352.98"/>
    <n v="0.2"/>
    <x v="3"/>
    <s v="JP"/>
    <n v="0.1"/>
    <n v="35000"/>
    <n v="4058.94"/>
    <n v="811.78800000000001"/>
    <n v="3247.152"/>
    <n v="450"/>
    <n v="2797.152"/>
    <x v="2"/>
    <n v="2"/>
    <n v="2024"/>
  </r>
  <r>
    <s v="ORD-202425570"/>
    <s v="2024-08-03 15:35"/>
    <s v="George Le"/>
    <s v="zwilson@example.net"/>
    <x v="9"/>
    <x v="0"/>
    <x v="4"/>
    <x v="1"/>
    <s v="Debit Card"/>
    <s v="Completed"/>
    <n v="7"/>
    <n v="1130.3699999999999"/>
    <n v="0.15"/>
    <x v="3"/>
    <s v="KR"/>
    <n v="0.1"/>
    <n v="40000"/>
    <n v="7912.5899999999992"/>
    <n v="1186.8884999999998"/>
    <n v="6725.7014999999992"/>
    <n v="840"/>
    <n v="5885.7014999999992"/>
    <x v="5"/>
    <n v="3"/>
    <n v="2024"/>
  </r>
  <r>
    <s v="ORD-202424139"/>
    <s v="2024-01-11 04:09"/>
    <s v="Judy Gregory"/>
    <s v="joycehall@example.org"/>
    <x v="4"/>
    <x v="1"/>
    <x v="13"/>
    <x v="2"/>
    <s v="Bank Transfer"/>
    <s v="Completed"/>
    <n v="4"/>
    <n v="1154.57"/>
    <n v="0"/>
    <x v="0"/>
    <s v="PH"/>
    <n v="0.12"/>
    <n v="45000"/>
    <n v="4618.28"/>
    <n v="0"/>
    <n v="4618.28"/>
    <n v="320"/>
    <n v="4298.28"/>
    <x v="1"/>
    <n v="1"/>
    <n v="2024"/>
  </r>
  <r>
    <s v="ORD-202466928"/>
    <s v="2024-09-02 09:18"/>
    <s v="Charles Valdez"/>
    <s v="nmeadows@example.org"/>
    <x v="9"/>
    <x v="3"/>
    <x v="3"/>
    <x v="3"/>
    <s v="Debit Card"/>
    <s v="Cancelled"/>
    <n v="3"/>
    <n v="382.9"/>
    <n v="0.2"/>
    <x v="3"/>
    <s v="KR"/>
    <n v="0.1"/>
    <n v="50000"/>
    <n v="1148.6999999999998"/>
    <n v="229.73999999999998"/>
    <n v="918.95999999999981"/>
    <n v="1350"/>
    <n v="-431.04000000000019"/>
    <x v="6"/>
    <n v="3"/>
    <n v="2024"/>
  </r>
  <r>
    <s v="ORD-202425075"/>
    <s v="2024-05-14 22:15"/>
    <s v="Matthew Smith"/>
    <s v="conwaylori@example.org"/>
    <x v="8"/>
    <x v="0"/>
    <x v="15"/>
    <x v="3"/>
    <s v="Debit Card"/>
    <s v="Pending"/>
    <n v="2"/>
    <n v="1064.0899999999999"/>
    <n v="0.2"/>
    <x v="3"/>
    <s v="JP"/>
    <n v="0.1"/>
    <n v="40000"/>
    <n v="2128.1799999999998"/>
    <n v="425.63599999999997"/>
    <n v="1702.5439999999999"/>
    <n v="240"/>
    <n v="1462.5439999999999"/>
    <x v="2"/>
    <n v="2"/>
    <n v="2024"/>
  </r>
  <r>
    <s v="ORD-202440065"/>
    <s v="2024-03-02 04:25"/>
    <s v="Christopher Garza"/>
    <s v="wilsonbrooke@example.net"/>
    <x v="3"/>
    <x v="4"/>
    <x v="5"/>
    <x v="3"/>
    <s v="Credit Card"/>
    <s v="Completed"/>
    <n v="7"/>
    <n v="1394.71"/>
    <n v="0"/>
    <x v="0"/>
    <s v="ID"/>
    <n v="0.11"/>
    <n v="30000"/>
    <n v="9762.9700000000012"/>
    <n v="0"/>
    <n v="9762.9700000000012"/>
    <n v="1400"/>
    <n v="8362.9700000000012"/>
    <x v="7"/>
    <n v="1"/>
    <n v="2024"/>
  </r>
  <r>
    <s v="ORD-202459853"/>
    <s v="2024-07-27 16:19"/>
    <s v="Robert Simmons"/>
    <s v="rnguyen@example.net"/>
    <x v="1"/>
    <x v="0"/>
    <x v="4"/>
    <x v="1"/>
    <s v="Credit Card"/>
    <s v="Cancelled"/>
    <n v="1"/>
    <n v="647.72"/>
    <n v="0.15"/>
    <x v="0"/>
    <s v="TH"/>
    <n v="7.0000000000000007E-2"/>
    <n v="40000"/>
    <n v="647.72"/>
    <n v="97.158000000000001"/>
    <n v="550.56200000000001"/>
    <n v="120"/>
    <n v="430.56200000000001"/>
    <x v="3"/>
    <n v="3"/>
    <n v="2024"/>
  </r>
  <r>
    <s v="ORD-202424425"/>
    <s v="2024-05-17 11:17"/>
    <s v="Erica Oconnell"/>
    <s v="kathrynwatkins@example.com"/>
    <x v="4"/>
    <x v="2"/>
    <x v="21"/>
    <x v="0"/>
    <s v="Credit Card"/>
    <s v="Completed"/>
    <n v="1"/>
    <n v="489.96"/>
    <n v="0"/>
    <x v="0"/>
    <s v="PH"/>
    <n v="0.12"/>
    <n v="35000"/>
    <n v="489.96"/>
    <n v="0"/>
    <n v="489.96"/>
    <n v="150"/>
    <n v="339.96"/>
    <x v="2"/>
    <n v="2"/>
    <n v="2024"/>
  </r>
  <r>
    <s v="ORD-202496563"/>
    <s v="2024-06-13 06:18"/>
    <s v="Donald Todd"/>
    <s v="heathertran@example.com"/>
    <x v="9"/>
    <x v="4"/>
    <x v="6"/>
    <x v="1"/>
    <s v="E-Wallet"/>
    <s v="Cancelled"/>
    <n v="3"/>
    <n v="164.63"/>
    <n v="0.05"/>
    <x v="3"/>
    <s v="KR"/>
    <n v="0.1"/>
    <n v="30000"/>
    <n v="493.89"/>
    <n v="24.694500000000001"/>
    <n v="469.19549999999998"/>
    <n v="600"/>
    <n v="-130.80450000000002"/>
    <x v="8"/>
    <n v="2"/>
    <n v="2024"/>
  </r>
  <r>
    <s v="ORD-202449892"/>
    <s v="2024-02-27 03:42"/>
    <s v="Kevin Anderson"/>
    <s v="bstrickland@example.com"/>
    <x v="3"/>
    <x v="1"/>
    <x v="9"/>
    <x v="2"/>
    <s v="Debit Card"/>
    <s v="Cancelled"/>
    <n v="6"/>
    <n v="506.85"/>
    <n v="0.2"/>
    <x v="0"/>
    <s v="ID"/>
    <n v="0.11"/>
    <n v="45000"/>
    <n v="3041.1000000000004"/>
    <n v="608.22000000000014"/>
    <n v="2432.88"/>
    <n v="480"/>
    <n v="1952.88"/>
    <x v="0"/>
    <n v="1"/>
    <n v="2024"/>
  </r>
  <r>
    <s v="ORD-202437529"/>
    <s v="2024-10-26 12:05"/>
    <s v="Adam Howe"/>
    <s v="robert72@example.org"/>
    <x v="7"/>
    <x v="0"/>
    <x v="12"/>
    <x v="3"/>
    <s v="Debit Card"/>
    <s v="Returned"/>
    <n v="10"/>
    <n v="193.73"/>
    <n v="0.2"/>
    <x v="0"/>
    <s v="MY"/>
    <n v="0.06"/>
    <n v="40000"/>
    <n v="1937.3"/>
    <n v="387.46000000000004"/>
    <n v="1549.84"/>
    <n v="1200"/>
    <n v="349.83999999999992"/>
    <x v="9"/>
    <n v="4"/>
    <n v="2024"/>
  </r>
  <r>
    <s v="ORD-202422928"/>
    <s v="2024-02-08 17:39"/>
    <s v="Devin Cole"/>
    <s v="sharonbishop@example.org"/>
    <x v="4"/>
    <x v="4"/>
    <x v="19"/>
    <x v="3"/>
    <s v="Credit Card"/>
    <s v="Pending"/>
    <n v="4"/>
    <n v="1484.62"/>
    <n v="0.15"/>
    <x v="0"/>
    <s v="PH"/>
    <n v="0.12"/>
    <n v="30000"/>
    <n v="5938.48"/>
    <n v="890.77199999999993"/>
    <n v="5047.7079999999996"/>
    <n v="800"/>
    <n v="4247.7079999999996"/>
    <x v="0"/>
    <n v="1"/>
    <n v="2024"/>
  </r>
  <r>
    <s v="ORD-202435127"/>
    <s v="2024-08-02 17:45"/>
    <s v="Michelle Salazar"/>
    <s v="burtonkimberly@example.com"/>
    <x v="0"/>
    <x v="1"/>
    <x v="22"/>
    <x v="0"/>
    <s v="Bank Transfer"/>
    <s v="Completed"/>
    <n v="8"/>
    <n v="1343.95"/>
    <n v="0.2"/>
    <x v="0"/>
    <s v="VN"/>
    <n v="0.1"/>
    <n v="45000"/>
    <n v="10751.6"/>
    <n v="2150.3200000000002"/>
    <n v="8601.2800000000007"/>
    <n v="640"/>
    <n v="7961.2800000000007"/>
    <x v="5"/>
    <n v="3"/>
    <n v="2024"/>
  </r>
  <r>
    <s v="ORD-202473284"/>
    <s v="2024-08-02 16:59"/>
    <s v="Justin Lee"/>
    <s v="montgomerymichelle@example.net"/>
    <x v="5"/>
    <x v="3"/>
    <x v="7"/>
    <x v="0"/>
    <s v="Cash"/>
    <s v="Completed"/>
    <n v="3"/>
    <n v="904.74"/>
    <n v="0.05"/>
    <x v="1"/>
    <s v="AU"/>
    <n v="0.1"/>
    <n v="50000"/>
    <n v="2714.2200000000003"/>
    <n v="135.71100000000001"/>
    <n v="2578.509"/>
    <n v="1350"/>
    <n v="1228.509"/>
    <x v="5"/>
    <n v="3"/>
    <n v="2024"/>
  </r>
  <r>
    <s v="ORD-202434928"/>
    <s v="2024-07-22 15:43"/>
    <s v="Julie Sims"/>
    <s v="joshualee@example.org"/>
    <x v="5"/>
    <x v="1"/>
    <x v="13"/>
    <x v="1"/>
    <s v="Bank Transfer"/>
    <s v="Cancelled"/>
    <n v="9"/>
    <n v="260.79000000000002"/>
    <n v="0.1"/>
    <x v="1"/>
    <s v="AU"/>
    <n v="0.1"/>
    <n v="45000"/>
    <n v="2347.11"/>
    <n v="234.71100000000001"/>
    <n v="2112.3990000000003"/>
    <n v="720"/>
    <n v="1392.3990000000003"/>
    <x v="3"/>
    <n v="3"/>
    <n v="2024"/>
  </r>
  <r>
    <s v="ORD-202437122"/>
    <s v="2024-04-04 00:10"/>
    <s v="Tracy Wells"/>
    <s v="ernestlivingston@example.org"/>
    <x v="6"/>
    <x v="0"/>
    <x v="12"/>
    <x v="2"/>
    <s v="E-Wallet"/>
    <s v="Pending"/>
    <n v="9"/>
    <n v="1049.6300000000001"/>
    <n v="0.1"/>
    <x v="2"/>
    <s v="IN"/>
    <n v="0.18"/>
    <n v="40000"/>
    <n v="9446.6700000000019"/>
    <n v="944.66700000000026"/>
    <n v="8502.0030000000024"/>
    <n v="1080"/>
    <n v="7422.0030000000024"/>
    <x v="4"/>
    <n v="2"/>
    <n v="2024"/>
  </r>
  <r>
    <s v="ORD-202448844"/>
    <s v="2024-12-28 08:35"/>
    <s v="Dominique Hamilton"/>
    <s v="christina70@example.org"/>
    <x v="7"/>
    <x v="0"/>
    <x v="0"/>
    <x v="0"/>
    <s v="Debit Card"/>
    <s v="Cancelled"/>
    <n v="4"/>
    <n v="82.73"/>
    <n v="0.05"/>
    <x v="0"/>
    <s v="MY"/>
    <n v="0.06"/>
    <n v="40000"/>
    <n v="330.92"/>
    <n v="16.546000000000003"/>
    <n v="314.37400000000002"/>
    <n v="480"/>
    <n v="-165.62599999999998"/>
    <x v="10"/>
    <n v="4"/>
    <n v="2024"/>
  </r>
  <r>
    <s v="ORD-202427428"/>
    <s v="2024-05-18 01:41"/>
    <s v="Tammy Thompson"/>
    <s v="washingtondarren@example.org"/>
    <x v="1"/>
    <x v="0"/>
    <x v="12"/>
    <x v="2"/>
    <s v="E-Wallet"/>
    <s v="Completed"/>
    <n v="6"/>
    <n v="187.53"/>
    <n v="0.2"/>
    <x v="0"/>
    <s v="TH"/>
    <n v="7.0000000000000007E-2"/>
    <n v="40000"/>
    <n v="1125.18"/>
    <n v="225.03600000000003"/>
    <n v="900.14400000000001"/>
    <n v="720"/>
    <n v="180.14400000000001"/>
    <x v="2"/>
    <n v="2"/>
    <n v="2024"/>
  </r>
  <r>
    <s v="ORD-202481994"/>
    <s v="2024-05-15 23:08"/>
    <s v="Leslie Nguyen"/>
    <s v="julievillanueva@example.org"/>
    <x v="8"/>
    <x v="1"/>
    <x v="22"/>
    <x v="0"/>
    <s v="E-Wallet"/>
    <s v="Pending"/>
    <n v="1"/>
    <n v="497.08"/>
    <n v="0.2"/>
    <x v="3"/>
    <s v="JP"/>
    <n v="0.1"/>
    <n v="45000"/>
    <n v="497.08"/>
    <n v="99.415999999999997"/>
    <n v="397.66399999999999"/>
    <n v="80"/>
    <n v="317.66399999999999"/>
    <x v="2"/>
    <n v="2"/>
    <n v="2024"/>
  </r>
  <r>
    <s v="ORD-202446659"/>
    <s v="2024-03-31 08:01"/>
    <s v="Erika Garcia"/>
    <s v="ykane@example.org"/>
    <x v="5"/>
    <x v="1"/>
    <x v="13"/>
    <x v="2"/>
    <s v="Cash"/>
    <s v="Pending"/>
    <n v="7"/>
    <n v="1088.06"/>
    <n v="0.2"/>
    <x v="1"/>
    <s v="AU"/>
    <n v="0.1"/>
    <n v="45000"/>
    <n v="7616.42"/>
    <n v="1523.2840000000001"/>
    <n v="6093.1360000000004"/>
    <n v="560"/>
    <n v="5533.1360000000004"/>
    <x v="7"/>
    <n v="1"/>
    <n v="2024"/>
  </r>
  <r>
    <s v="ORD-202467958"/>
    <s v="2024-04-22 10:17"/>
    <s v="Kevin Brown"/>
    <s v="nthomas@example.com"/>
    <x v="1"/>
    <x v="1"/>
    <x v="24"/>
    <x v="1"/>
    <s v="E-Wallet"/>
    <s v="Pending"/>
    <n v="4"/>
    <n v="246.13"/>
    <n v="0.2"/>
    <x v="0"/>
    <s v="TH"/>
    <n v="7.0000000000000007E-2"/>
    <n v="45000"/>
    <n v="984.52"/>
    <n v="196.904"/>
    <n v="787.61599999999999"/>
    <n v="320"/>
    <n v="467.61599999999999"/>
    <x v="4"/>
    <n v="2"/>
    <n v="2024"/>
  </r>
  <r>
    <s v="ORD-202472784"/>
    <s v="2024-02-17 15:11"/>
    <s v="James Ellis"/>
    <s v="crystalcantrell@example.org"/>
    <x v="9"/>
    <x v="0"/>
    <x v="0"/>
    <x v="3"/>
    <s v="E-Wallet"/>
    <s v="Completed"/>
    <n v="8"/>
    <n v="295.45999999999998"/>
    <n v="0.2"/>
    <x v="3"/>
    <s v="KR"/>
    <n v="0.1"/>
    <n v="40000"/>
    <n v="2363.6799999999998"/>
    <n v="472.73599999999999"/>
    <n v="1890.944"/>
    <n v="960"/>
    <n v="930.94399999999996"/>
    <x v="0"/>
    <n v="1"/>
    <n v="2024"/>
  </r>
  <r>
    <s v="ORD-202450653"/>
    <s v="2024-03-24 05:52"/>
    <s v="Andrew Carroll"/>
    <s v="derek77@example.com"/>
    <x v="8"/>
    <x v="1"/>
    <x v="9"/>
    <x v="3"/>
    <s v="Bank Transfer"/>
    <s v="Returned"/>
    <n v="2"/>
    <n v="118.14"/>
    <n v="0.1"/>
    <x v="3"/>
    <s v="JP"/>
    <n v="0.1"/>
    <n v="45000"/>
    <n v="236.28"/>
    <n v="23.628"/>
    <n v="212.65199999999999"/>
    <n v="160"/>
    <n v="52.651999999999987"/>
    <x v="7"/>
    <n v="1"/>
    <n v="2024"/>
  </r>
  <r>
    <s v="ORD-202423137"/>
    <s v="2024-09-26 04:46"/>
    <s v="Greg Tanner"/>
    <s v="kristinelittle@example.net"/>
    <x v="3"/>
    <x v="1"/>
    <x v="13"/>
    <x v="0"/>
    <s v="Credit Card"/>
    <s v="Pending"/>
    <n v="1"/>
    <n v="576.14"/>
    <n v="0"/>
    <x v="0"/>
    <s v="ID"/>
    <n v="0.11"/>
    <n v="45000"/>
    <n v="576.14"/>
    <n v="0"/>
    <n v="576.14"/>
    <n v="80"/>
    <n v="496.14"/>
    <x v="6"/>
    <n v="3"/>
    <n v="2024"/>
  </r>
  <r>
    <s v="ORD-202442550"/>
    <s v="2024-02-12 08:09"/>
    <s v="Laura Tran"/>
    <s v="christophervincent@example.com"/>
    <x v="6"/>
    <x v="3"/>
    <x v="8"/>
    <x v="2"/>
    <s v="Credit Card"/>
    <s v="Pending"/>
    <n v="2"/>
    <n v="1437.06"/>
    <n v="0.15"/>
    <x v="2"/>
    <s v="IN"/>
    <n v="0.18"/>
    <n v="50000"/>
    <n v="2874.12"/>
    <n v="431.11799999999999"/>
    <n v="2443.002"/>
    <n v="900"/>
    <n v="1543.002"/>
    <x v="0"/>
    <n v="1"/>
    <n v="2024"/>
  </r>
  <r>
    <s v="ORD-202428249"/>
    <s v="2024-09-02 18:57"/>
    <s v="Cindy Wells"/>
    <s v="uramirez@example.com"/>
    <x v="9"/>
    <x v="0"/>
    <x v="4"/>
    <x v="0"/>
    <s v="Cash"/>
    <s v="Cancelled"/>
    <n v="3"/>
    <n v="507.66"/>
    <n v="0"/>
    <x v="3"/>
    <s v="KR"/>
    <n v="0.1"/>
    <n v="40000"/>
    <n v="1522.98"/>
    <n v="0"/>
    <n v="1522.98"/>
    <n v="360"/>
    <n v="1162.98"/>
    <x v="6"/>
    <n v="3"/>
    <n v="2024"/>
  </r>
  <r>
    <s v="ORD-202492245"/>
    <s v="2024-10-05 03:01"/>
    <s v="Danielle Murphy"/>
    <s v="patriciavargas@example.org"/>
    <x v="3"/>
    <x v="3"/>
    <x v="10"/>
    <x v="3"/>
    <s v="Credit Card"/>
    <s v="Pending"/>
    <n v="9"/>
    <n v="455.66"/>
    <n v="0.1"/>
    <x v="0"/>
    <s v="ID"/>
    <n v="0.11"/>
    <n v="50000"/>
    <n v="4100.9400000000005"/>
    <n v="410.09400000000005"/>
    <n v="3690.8460000000005"/>
    <n v="4050"/>
    <n v="-359.15399999999954"/>
    <x v="9"/>
    <n v="4"/>
    <n v="2024"/>
  </r>
  <r>
    <s v="ORD-202413145"/>
    <s v="2024-04-26 13:24"/>
    <s v="Stephanie Butler"/>
    <s v="williamsthomas@example.net"/>
    <x v="2"/>
    <x v="4"/>
    <x v="23"/>
    <x v="0"/>
    <s v="Bank Transfer"/>
    <s v="Pending"/>
    <n v="7"/>
    <n v="350.44"/>
    <n v="0.2"/>
    <x v="0"/>
    <s v="SG"/>
    <n v="7.0000000000000007E-2"/>
    <n v="30000"/>
    <n v="2453.08"/>
    <n v="490.61599999999999"/>
    <n v="1962.4639999999999"/>
    <n v="1400"/>
    <n v="562.46399999999994"/>
    <x v="4"/>
    <n v="2"/>
    <n v="2024"/>
  </r>
  <r>
    <s v="ORD-202424435"/>
    <s v="2024-04-24 03:18"/>
    <s v="Joseph Mendoza"/>
    <s v="chavezjohn@example.net"/>
    <x v="4"/>
    <x v="3"/>
    <x v="10"/>
    <x v="0"/>
    <s v="Cash"/>
    <s v="Pending"/>
    <n v="6"/>
    <n v="510.58"/>
    <n v="0"/>
    <x v="0"/>
    <s v="PH"/>
    <n v="0.12"/>
    <n v="50000"/>
    <n v="3063.48"/>
    <n v="0"/>
    <n v="3063.48"/>
    <n v="2700"/>
    <n v="363.48"/>
    <x v="4"/>
    <n v="2"/>
    <n v="2024"/>
  </r>
  <r>
    <s v="ORD-202433339"/>
    <s v="2024-08-07 16:21"/>
    <s v="Melissa Russell"/>
    <s v="davidphillips@example.net"/>
    <x v="6"/>
    <x v="0"/>
    <x v="15"/>
    <x v="2"/>
    <s v="E-Wallet"/>
    <s v="Completed"/>
    <n v="5"/>
    <n v="238.08"/>
    <n v="0.15"/>
    <x v="2"/>
    <s v="IN"/>
    <n v="0.18"/>
    <n v="40000"/>
    <n v="1190.4000000000001"/>
    <n v="178.56"/>
    <n v="1011.8400000000001"/>
    <n v="600"/>
    <n v="411.84000000000015"/>
    <x v="5"/>
    <n v="3"/>
    <n v="2024"/>
  </r>
  <r>
    <s v="ORD-202475437"/>
    <s v="2024-12-04 11:59"/>
    <s v="Mrs. Maureen Martin DDS"/>
    <s v="braysteven@example.org"/>
    <x v="0"/>
    <x v="3"/>
    <x v="8"/>
    <x v="3"/>
    <s v="E-Wallet"/>
    <s v="Pending"/>
    <n v="3"/>
    <n v="1294.6500000000001"/>
    <n v="0.2"/>
    <x v="0"/>
    <s v="VN"/>
    <n v="0.1"/>
    <n v="50000"/>
    <n v="3883.9500000000003"/>
    <n v="776.79000000000008"/>
    <n v="3107.1600000000003"/>
    <n v="1350"/>
    <n v="1757.1600000000003"/>
    <x v="10"/>
    <n v="4"/>
    <n v="2024"/>
  </r>
  <r>
    <s v="ORD-202461196"/>
    <s v="2024-08-16 23:50"/>
    <s v="Jennifer Clarke"/>
    <s v="courtney01@example.com"/>
    <x v="9"/>
    <x v="3"/>
    <x v="8"/>
    <x v="0"/>
    <s v="E-Wallet"/>
    <s v="Pending"/>
    <n v="5"/>
    <n v="873.1"/>
    <n v="0"/>
    <x v="3"/>
    <s v="KR"/>
    <n v="0.1"/>
    <n v="50000"/>
    <n v="4365.5"/>
    <n v="0"/>
    <n v="4365.5"/>
    <n v="2250"/>
    <n v="2115.5"/>
    <x v="5"/>
    <n v="3"/>
    <n v="2024"/>
  </r>
  <r>
    <s v="ORD-202433838"/>
    <s v="2024-07-16 11:20"/>
    <s v="Faith Johnson"/>
    <s v="smullins@example.net"/>
    <x v="9"/>
    <x v="2"/>
    <x v="17"/>
    <x v="2"/>
    <s v="Debit Card"/>
    <s v="Pending"/>
    <n v="7"/>
    <n v="1044.73"/>
    <n v="0.15"/>
    <x v="3"/>
    <s v="KR"/>
    <n v="0.1"/>
    <n v="35000"/>
    <n v="7313.1100000000006"/>
    <n v="1096.9665"/>
    <n v="6216.1435000000001"/>
    <n v="1050"/>
    <n v="5166.1435000000001"/>
    <x v="3"/>
    <n v="3"/>
    <n v="2024"/>
  </r>
  <r>
    <s v="ORD-202460224"/>
    <s v="2024-08-02 17:31"/>
    <s v="Rebecca French"/>
    <s v="olivermatthew@example.org"/>
    <x v="5"/>
    <x v="1"/>
    <x v="24"/>
    <x v="0"/>
    <s v="Cash"/>
    <s v="Returned"/>
    <n v="4"/>
    <n v="805.72"/>
    <n v="0.1"/>
    <x v="1"/>
    <s v="AU"/>
    <n v="0.1"/>
    <n v="45000"/>
    <n v="3222.88"/>
    <n v="322.28800000000001"/>
    <n v="2900.5920000000001"/>
    <n v="320"/>
    <n v="2580.5920000000001"/>
    <x v="5"/>
    <n v="3"/>
    <n v="2024"/>
  </r>
  <r>
    <s v="ORD-202479067"/>
    <s v="2024-10-22 22:51"/>
    <s v="Susan Cox"/>
    <s v="rodriguezmichael@example.net"/>
    <x v="1"/>
    <x v="3"/>
    <x v="7"/>
    <x v="2"/>
    <s v="Cash"/>
    <s v="Returned"/>
    <n v="4"/>
    <n v="552.14"/>
    <n v="0"/>
    <x v="0"/>
    <s v="TH"/>
    <n v="7.0000000000000007E-2"/>
    <n v="50000"/>
    <n v="2208.56"/>
    <n v="0"/>
    <n v="2208.56"/>
    <n v="1800"/>
    <n v="408.55999999999995"/>
    <x v="9"/>
    <n v="4"/>
    <n v="2024"/>
  </r>
  <r>
    <s v="ORD-202427510"/>
    <s v="2024-02-26 01:58"/>
    <s v="Jacob Wong"/>
    <s v="castrokim@example.org"/>
    <x v="4"/>
    <x v="4"/>
    <x v="5"/>
    <x v="1"/>
    <s v="Debit Card"/>
    <s v="Pending"/>
    <n v="3"/>
    <n v="452.63"/>
    <n v="0.15"/>
    <x v="0"/>
    <s v="PH"/>
    <n v="0.12"/>
    <n v="30000"/>
    <n v="1357.8899999999999"/>
    <n v="203.68349999999998"/>
    <n v="1154.2064999999998"/>
    <n v="600"/>
    <n v="554.20649999999978"/>
    <x v="0"/>
    <n v="1"/>
    <n v="2024"/>
  </r>
  <r>
    <s v="ORD-202439437"/>
    <s v="2024-01-29 23:08"/>
    <s v="Mrs. Ashley Mendoza"/>
    <s v="karenhodges@example.com"/>
    <x v="7"/>
    <x v="0"/>
    <x v="15"/>
    <x v="0"/>
    <s v="Credit Card"/>
    <s v="Completed"/>
    <n v="7"/>
    <n v="1103.6300000000001"/>
    <n v="0.05"/>
    <x v="0"/>
    <s v="MY"/>
    <n v="0.06"/>
    <n v="40000"/>
    <n v="7725.4100000000008"/>
    <n v="386.27050000000008"/>
    <n v="7339.1395000000011"/>
    <n v="840"/>
    <n v="6499.1395000000011"/>
    <x v="1"/>
    <n v="1"/>
    <n v="2024"/>
  </r>
  <r>
    <s v="ORD-202472498"/>
    <s v="2024-10-31 05:01"/>
    <s v="Derek Frazier"/>
    <s v="brian55@example.com"/>
    <x v="2"/>
    <x v="4"/>
    <x v="5"/>
    <x v="1"/>
    <s v="Debit Card"/>
    <s v="Pending"/>
    <n v="2"/>
    <n v="132.31"/>
    <n v="0"/>
    <x v="0"/>
    <s v="SG"/>
    <n v="7.0000000000000007E-2"/>
    <n v="30000"/>
    <n v="264.62"/>
    <n v="0"/>
    <n v="264.62"/>
    <n v="400"/>
    <n v="-135.38"/>
    <x v="9"/>
    <n v="4"/>
    <n v="2024"/>
  </r>
  <r>
    <s v="ORD-202471573"/>
    <s v="2024-03-12 23:33"/>
    <s v="Mr. Bryan Mckinney"/>
    <s v="shannon51@example.org"/>
    <x v="0"/>
    <x v="2"/>
    <x v="17"/>
    <x v="0"/>
    <s v="E-Wallet"/>
    <s v="Completed"/>
    <n v="8"/>
    <n v="1088"/>
    <n v="0.2"/>
    <x v="0"/>
    <s v="VN"/>
    <n v="0.1"/>
    <n v="35000"/>
    <n v="8704"/>
    <n v="1740.8000000000002"/>
    <n v="6963.2"/>
    <n v="1200"/>
    <n v="5763.2"/>
    <x v="7"/>
    <n v="1"/>
    <n v="2024"/>
  </r>
  <r>
    <s v="ORD-202430432"/>
    <s v="2024-01-31 20:02"/>
    <s v="Judith Miller"/>
    <s v="keithfrye@example.org"/>
    <x v="6"/>
    <x v="0"/>
    <x v="12"/>
    <x v="1"/>
    <s v="Cash"/>
    <s v="Cancelled"/>
    <n v="7"/>
    <n v="253.12"/>
    <n v="0.1"/>
    <x v="2"/>
    <s v="IN"/>
    <n v="0.18"/>
    <n v="40000"/>
    <n v="1771.8400000000001"/>
    <n v="177.18400000000003"/>
    <n v="1594.6560000000002"/>
    <n v="840"/>
    <n v="754.65600000000018"/>
    <x v="1"/>
    <n v="1"/>
    <n v="2024"/>
  </r>
  <r>
    <s v="ORD-202484981"/>
    <s v="2024-09-13 09:45"/>
    <s v="Brian Hernandez"/>
    <s v="nancymeyer@example.net"/>
    <x v="1"/>
    <x v="2"/>
    <x v="21"/>
    <x v="1"/>
    <s v="Debit Card"/>
    <s v="Pending"/>
    <n v="2"/>
    <n v="418.66"/>
    <n v="0.15"/>
    <x v="0"/>
    <s v="TH"/>
    <n v="7.0000000000000007E-2"/>
    <n v="35000"/>
    <n v="837.32"/>
    <n v="125.598"/>
    <n v="711.72200000000009"/>
    <n v="300"/>
    <n v="411.72200000000009"/>
    <x v="6"/>
    <n v="3"/>
    <n v="2024"/>
  </r>
  <r>
    <s v="ORD-202462481"/>
    <s v="2024-11-12 01:14"/>
    <s v="Jason Fleming"/>
    <s v="thomasfisher@example.net"/>
    <x v="8"/>
    <x v="0"/>
    <x v="12"/>
    <x v="1"/>
    <s v="Bank Transfer"/>
    <s v="Cancelled"/>
    <n v="2"/>
    <n v="913.55"/>
    <n v="0.2"/>
    <x v="3"/>
    <s v="JP"/>
    <n v="0.1"/>
    <n v="40000"/>
    <n v="1827.1"/>
    <n v="365.42"/>
    <n v="1461.6799999999998"/>
    <n v="240"/>
    <n v="1221.6799999999998"/>
    <x v="11"/>
    <n v="4"/>
    <n v="2024"/>
  </r>
  <r>
    <s v="ORD-202495550"/>
    <s v="2024-11-24 12:52"/>
    <s v="Dorothy Brown"/>
    <s v="marystone@example.com"/>
    <x v="8"/>
    <x v="0"/>
    <x v="20"/>
    <x v="2"/>
    <s v="Credit Card"/>
    <s v="Completed"/>
    <n v="7"/>
    <n v="1207.96"/>
    <n v="0"/>
    <x v="3"/>
    <s v="JP"/>
    <n v="0.1"/>
    <n v="40000"/>
    <n v="8455.7200000000012"/>
    <n v="0"/>
    <n v="8455.7200000000012"/>
    <n v="840"/>
    <n v="7615.7200000000012"/>
    <x v="11"/>
    <n v="4"/>
    <n v="2024"/>
  </r>
  <r>
    <s v="ORD-202420198"/>
    <s v="2024-07-04 19:49"/>
    <s v="Grant Lucas"/>
    <s v="todd88@example.com"/>
    <x v="4"/>
    <x v="3"/>
    <x v="7"/>
    <x v="0"/>
    <s v="Debit Card"/>
    <s v="Completed"/>
    <n v="9"/>
    <n v="434.08"/>
    <n v="0"/>
    <x v="0"/>
    <s v="PH"/>
    <n v="0.12"/>
    <n v="50000"/>
    <n v="3906.72"/>
    <n v="0"/>
    <n v="3906.72"/>
    <n v="4050"/>
    <n v="-143.2800000000002"/>
    <x v="3"/>
    <n v="3"/>
    <n v="2024"/>
  </r>
  <r>
    <s v="ORD-202450516"/>
    <s v="2024-04-06 17:12"/>
    <s v="Keith Villanueva"/>
    <s v="george43@example.com"/>
    <x v="3"/>
    <x v="0"/>
    <x v="4"/>
    <x v="0"/>
    <s v="Cash"/>
    <s v="Returned"/>
    <n v="10"/>
    <n v="141.28"/>
    <n v="0.15"/>
    <x v="0"/>
    <s v="ID"/>
    <n v="0.11"/>
    <n v="40000"/>
    <n v="1412.8"/>
    <n v="211.92"/>
    <n v="1200.8799999999999"/>
    <n v="1200"/>
    <n v="0.87999999999988177"/>
    <x v="4"/>
    <n v="2"/>
    <n v="2024"/>
  </r>
  <r>
    <s v="ORD-202415987"/>
    <s v="2024-01-25 10:05"/>
    <s v="Dwayne Bruce"/>
    <s v="michaelbryant@example.org"/>
    <x v="0"/>
    <x v="3"/>
    <x v="14"/>
    <x v="3"/>
    <s v="E-Wallet"/>
    <s v="Returned"/>
    <n v="7"/>
    <n v="1131.24"/>
    <n v="0.15"/>
    <x v="0"/>
    <s v="VN"/>
    <n v="0.1"/>
    <n v="50000"/>
    <n v="7918.68"/>
    <n v="1187.8019999999999"/>
    <n v="6730.8780000000006"/>
    <n v="3150"/>
    <n v="3580.8780000000006"/>
    <x v="1"/>
    <n v="1"/>
    <n v="2024"/>
  </r>
  <r>
    <s v="ORD-202456640"/>
    <s v="2024-03-07 22:43"/>
    <s v="Caitlyn Nichols"/>
    <s v="teresafranco@example.net"/>
    <x v="7"/>
    <x v="4"/>
    <x v="19"/>
    <x v="3"/>
    <s v="Credit Card"/>
    <s v="Returned"/>
    <n v="9"/>
    <n v="1346.32"/>
    <n v="0"/>
    <x v="0"/>
    <s v="MY"/>
    <n v="0.06"/>
    <n v="30000"/>
    <n v="12116.88"/>
    <n v="0"/>
    <n v="12116.88"/>
    <n v="1800"/>
    <n v="10316.879999999999"/>
    <x v="7"/>
    <n v="1"/>
    <n v="2024"/>
  </r>
  <r>
    <s v="ORD-202472515"/>
    <s v="2024-10-27 01:18"/>
    <s v="Rebecca Martin"/>
    <s v="williamsleslie@example.org"/>
    <x v="2"/>
    <x v="0"/>
    <x v="15"/>
    <x v="3"/>
    <s v="Debit Card"/>
    <s v="Pending"/>
    <n v="2"/>
    <n v="131.94999999999999"/>
    <n v="0.2"/>
    <x v="0"/>
    <s v="SG"/>
    <n v="7.0000000000000007E-2"/>
    <n v="40000"/>
    <n v="263.89999999999998"/>
    <n v="52.78"/>
    <n v="211.11999999999998"/>
    <n v="240"/>
    <n v="-28.880000000000024"/>
    <x v="9"/>
    <n v="4"/>
    <n v="2024"/>
  </r>
  <r>
    <s v="ORD-202431108"/>
    <s v="2024-09-13 16:46"/>
    <s v="Jacob Harris"/>
    <s v="wadetiffany@example.org"/>
    <x v="6"/>
    <x v="1"/>
    <x v="22"/>
    <x v="2"/>
    <s v="E-Wallet"/>
    <s v="Returned"/>
    <n v="3"/>
    <n v="679.51"/>
    <n v="0.05"/>
    <x v="2"/>
    <s v="IN"/>
    <n v="0.18"/>
    <n v="45000"/>
    <n v="2038.53"/>
    <n v="101.9265"/>
    <n v="1936.6034999999999"/>
    <n v="240"/>
    <n v="1696.6034999999999"/>
    <x v="6"/>
    <n v="3"/>
    <n v="2024"/>
  </r>
  <r>
    <s v="ORD-202415244"/>
    <s v="2024-12-30 21:24"/>
    <s v="Joshua Martin"/>
    <s v="david06@example.com"/>
    <x v="1"/>
    <x v="0"/>
    <x v="12"/>
    <x v="1"/>
    <s v="Credit Card"/>
    <s v="Completed"/>
    <n v="3"/>
    <n v="916.21"/>
    <n v="0.15"/>
    <x v="0"/>
    <s v="TH"/>
    <n v="7.0000000000000007E-2"/>
    <n v="40000"/>
    <n v="2748.63"/>
    <n v="412.29450000000003"/>
    <n v="2336.3355000000001"/>
    <n v="360"/>
    <n v="1976.3355000000001"/>
    <x v="10"/>
    <n v="4"/>
    <n v="2024"/>
  </r>
  <r>
    <s v="ORD-202428693"/>
    <s v="2024-06-07 17:55"/>
    <s v="Theresa Reilly"/>
    <s v="adamrodgers@example.net"/>
    <x v="7"/>
    <x v="2"/>
    <x v="11"/>
    <x v="3"/>
    <s v="Credit Card"/>
    <s v="Cancelled"/>
    <n v="3"/>
    <n v="690.39"/>
    <n v="0.05"/>
    <x v="0"/>
    <s v="MY"/>
    <n v="0.06"/>
    <n v="35000"/>
    <n v="2071.17"/>
    <n v="103.55850000000001"/>
    <n v="1967.6115"/>
    <n v="450"/>
    <n v="1517.6115"/>
    <x v="8"/>
    <n v="2"/>
    <n v="2024"/>
  </r>
  <r>
    <s v="ORD-202485564"/>
    <s v="2024-07-05 11:05"/>
    <s v="Michael Wells"/>
    <s v="tara92@example.net"/>
    <x v="7"/>
    <x v="0"/>
    <x v="15"/>
    <x v="1"/>
    <s v="Debit Card"/>
    <s v="Completed"/>
    <n v="8"/>
    <n v="398.05"/>
    <n v="0.05"/>
    <x v="0"/>
    <s v="MY"/>
    <n v="0.06"/>
    <n v="40000"/>
    <n v="3184.4"/>
    <n v="159.22000000000003"/>
    <n v="3025.1800000000003"/>
    <n v="960"/>
    <n v="2065.1800000000003"/>
    <x v="3"/>
    <n v="3"/>
    <n v="2024"/>
  </r>
  <r>
    <s v="ORD-202484545"/>
    <s v="2024-09-06 01:23"/>
    <s v="Tammy Morgan"/>
    <s v="dennisrachel@example.org"/>
    <x v="0"/>
    <x v="2"/>
    <x v="17"/>
    <x v="2"/>
    <s v="Cash"/>
    <s v="Cancelled"/>
    <n v="3"/>
    <n v="1287.6500000000001"/>
    <n v="0.1"/>
    <x v="0"/>
    <s v="VN"/>
    <n v="0.1"/>
    <n v="35000"/>
    <n v="3862.9500000000003"/>
    <n v="386.29500000000007"/>
    <n v="3476.6550000000002"/>
    <n v="450"/>
    <n v="3026.6550000000002"/>
    <x v="6"/>
    <n v="3"/>
    <n v="2024"/>
  </r>
  <r>
    <s v="ORD-202458979"/>
    <s v="2024-02-12 21:26"/>
    <s v="Audrey Johnson"/>
    <s v="seandavis@example.org"/>
    <x v="5"/>
    <x v="2"/>
    <x v="2"/>
    <x v="0"/>
    <s v="Debit Card"/>
    <s v="Completed"/>
    <n v="1"/>
    <n v="1317.95"/>
    <n v="0.15"/>
    <x v="1"/>
    <s v="AU"/>
    <n v="0.1"/>
    <n v="35000"/>
    <n v="1317.95"/>
    <n v="197.6925"/>
    <n v="1120.2575000000002"/>
    <n v="150"/>
    <n v="970.25750000000016"/>
    <x v="0"/>
    <n v="1"/>
    <n v="2024"/>
  </r>
  <r>
    <s v="ORD-202430258"/>
    <s v="2024-02-23 09:24"/>
    <s v="Christie Fox"/>
    <s v="james18@example.com"/>
    <x v="2"/>
    <x v="1"/>
    <x v="24"/>
    <x v="1"/>
    <s v="Credit Card"/>
    <s v="Cancelled"/>
    <n v="4"/>
    <n v="1282.94"/>
    <n v="0.1"/>
    <x v="0"/>
    <s v="SG"/>
    <n v="7.0000000000000007E-2"/>
    <n v="45000"/>
    <n v="5131.76"/>
    <n v="513.17600000000004"/>
    <n v="4618.5839999999998"/>
    <n v="320"/>
    <n v="4298.5839999999998"/>
    <x v="0"/>
    <n v="1"/>
    <n v="2024"/>
  </r>
  <r>
    <s v="ORD-202471063"/>
    <s v="2024-08-27 20:34"/>
    <s v="Tina Daugherty"/>
    <s v="ulee@example.net"/>
    <x v="9"/>
    <x v="3"/>
    <x v="8"/>
    <x v="1"/>
    <s v="Debit Card"/>
    <s v="Returned"/>
    <n v="2"/>
    <n v="282.70999999999998"/>
    <n v="0.1"/>
    <x v="3"/>
    <s v="KR"/>
    <n v="0.1"/>
    <n v="50000"/>
    <n v="565.41999999999996"/>
    <n v="56.542000000000002"/>
    <n v="508.87799999999993"/>
    <n v="900"/>
    <n v="-391.12200000000007"/>
    <x v="5"/>
    <n v="3"/>
    <n v="2024"/>
  </r>
  <r>
    <s v="ORD-202453086"/>
    <s v="2024-02-03 10:21"/>
    <s v="Terri Kerr"/>
    <s v="raymond65@example.com"/>
    <x v="6"/>
    <x v="2"/>
    <x v="21"/>
    <x v="2"/>
    <s v="Bank Transfer"/>
    <s v="Completed"/>
    <n v="8"/>
    <n v="1057.9000000000001"/>
    <n v="0"/>
    <x v="2"/>
    <s v="IN"/>
    <n v="0.18"/>
    <n v="35000"/>
    <n v="8463.2000000000007"/>
    <n v="0"/>
    <n v="8463.2000000000007"/>
    <n v="1200"/>
    <n v="7263.2000000000007"/>
    <x v="0"/>
    <n v="1"/>
    <n v="2024"/>
  </r>
  <r>
    <s v="ORD-202481444"/>
    <s v="2024-03-20 15:09"/>
    <s v="Dustin Bell"/>
    <s v="fsawyer@example.org"/>
    <x v="1"/>
    <x v="4"/>
    <x v="6"/>
    <x v="0"/>
    <s v="E-Wallet"/>
    <s v="Returned"/>
    <n v="10"/>
    <n v="61.52"/>
    <n v="0.1"/>
    <x v="0"/>
    <s v="TH"/>
    <n v="7.0000000000000007E-2"/>
    <n v="30000"/>
    <n v="615.20000000000005"/>
    <n v="61.52000000000001"/>
    <n v="553.68000000000006"/>
    <n v="2000"/>
    <n v="-1446.32"/>
    <x v="7"/>
    <n v="1"/>
    <n v="2024"/>
  </r>
  <r>
    <s v="ORD-202472050"/>
    <s v="2024-04-19 01:13"/>
    <s v="Jill Riddle"/>
    <s v="zroberts@example.net"/>
    <x v="3"/>
    <x v="2"/>
    <x v="2"/>
    <x v="3"/>
    <s v="Credit Card"/>
    <s v="Cancelled"/>
    <n v="3"/>
    <n v="389.33"/>
    <n v="0"/>
    <x v="0"/>
    <s v="ID"/>
    <n v="0.11"/>
    <n v="35000"/>
    <n v="1167.99"/>
    <n v="0"/>
    <n v="1167.99"/>
    <n v="450"/>
    <n v="717.99"/>
    <x v="4"/>
    <n v="2"/>
    <n v="2024"/>
  </r>
  <r>
    <s v="ORD-202463093"/>
    <s v="2024-02-11 09:55"/>
    <s v="Jessica Mosley"/>
    <s v="maryharper@example.org"/>
    <x v="9"/>
    <x v="2"/>
    <x v="18"/>
    <x v="0"/>
    <s v="Credit Card"/>
    <s v="Returned"/>
    <n v="5"/>
    <n v="332.95"/>
    <n v="0"/>
    <x v="3"/>
    <s v="KR"/>
    <n v="0.1"/>
    <n v="35000"/>
    <n v="1664.75"/>
    <n v="0"/>
    <n v="1664.75"/>
    <n v="750"/>
    <n v="914.75"/>
    <x v="0"/>
    <n v="1"/>
    <n v="2024"/>
  </r>
  <r>
    <s v="ORD-202454829"/>
    <s v="2024-06-01 05:12"/>
    <s v="John Dillon"/>
    <s v="carl96@example.org"/>
    <x v="4"/>
    <x v="2"/>
    <x v="17"/>
    <x v="1"/>
    <s v="E-Wallet"/>
    <s v="Returned"/>
    <n v="3"/>
    <n v="721.12"/>
    <n v="0.2"/>
    <x v="0"/>
    <s v="PH"/>
    <n v="0.12"/>
    <n v="35000"/>
    <n v="2163.36"/>
    <n v="432.67200000000003"/>
    <n v="1730.6880000000001"/>
    <n v="450"/>
    <n v="1280.6880000000001"/>
    <x v="8"/>
    <n v="2"/>
    <n v="2024"/>
  </r>
  <r>
    <s v="ORD-202411301"/>
    <s v="2024-10-14 19:12"/>
    <s v="Mark Nelson"/>
    <s v="angelapage@example.org"/>
    <x v="7"/>
    <x v="1"/>
    <x v="1"/>
    <x v="3"/>
    <s v="Bank Transfer"/>
    <s v="Pending"/>
    <n v="6"/>
    <n v="229.76"/>
    <n v="0"/>
    <x v="0"/>
    <s v="MY"/>
    <n v="0.06"/>
    <n v="45000"/>
    <n v="1378.56"/>
    <n v="0"/>
    <n v="1378.56"/>
    <n v="480"/>
    <n v="898.56"/>
    <x v="9"/>
    <n v="4"/>
    <n v="2024"/>
  </r>
  <r>
    <s v="ORD-202475463"/>
    <s v="2024-06-11 03:50"/>
    <s v="Ronnie Roberts"/>
    <s v="twilliams@example.net"/>
    <x v="8"/>
    <x v="4"/>
    <x v="6"/>
    <x v="1"/>
    <s v="Cash"/>
    <s v="Completed"/>
    <n v="8"/>
    <n v="1087.5899999999999"/>
    <n v="0"/>
    <x v="3"/>
    <s v="JP"/>
    <n v="0.1"/>
    <n v="30000"/>
    <n v="8700.7199999999993"/>
    <n v="0"/>
    <n v="8700.7199999999993"/>
    <n v="1600"/>
    <n v="7100.7199999999993"/>
    <x v="8"/>
    <n v="2"/>
    <n v="2024"/>
  </r>
  <r>
    <s v="ORD-202414782"/>
    <s v="2024-04-21 23:12"/>
    <s v="Justin Ford"/>
    <s v="moodyeric@example.com"/>
    <x v="8"/>
    <x v="1"/>
    <x v="9"/>
    <x v="3"/>
    <s v="Debit Card"/>
    <s v="Completed"/>
    <n v="4"/>
    <n v="907.4"/>
    <n v="0.05"/>
    <x v="3"/>
    <s v="JP"/>
    <n v="0.1"/>
    <n v="45000"/>
    <n v="3629.6"/>
    <n v="181.48000000000002"/>
    <n v="3448.12"/>
    <n v="320"/>
    <n v="3128.12"/>
    <x v="4"/>
    <n v="2"/>
    <n v="2024"/>
  </r>
  <r>
    <s v="ORD-202458530"/>
    <s v="2024-07-05 00:19"/>
    <s v="Sandra Kennedy"/>
    <s v="robert73@example.org"/>
    <x v="0"/>
    <x v="1"/>
    <x v="13"/>
    <x v="1"/>
    <s v="E-Wallet"/>
    <s v="Cancelled"/>
    <n v="8"/>
    <n v="1053.49"/>
    <n v="0.1"/>
    <x v="0"/>
    <s v="VN"/>
    <n v="0.1"/>
    <n v="45000"/>
    <n v="8427.92"/>
    <n v="842.79200000000003"/>
    <n v="7585.1279999999997"/>
    <n v="640"/>
    <n v="6945.1279999999997"/>
    <x v="3"/>
    <n v="3"/>
    <n v="2024"/>
  </r>
  <r>
    <s v="ORD-202481102"/>
    <s v="2024-08-06 16:48"/>
    <s v="Donald Gamble"/>
    <s v="georgemichael@example.com"/>
    <x v="4"/>
    <x v="3"/>
    <x v="7"/>
    <x v="3"/>
    <s v="Cash"/>
    <s v="Returned"/>
    <n v="6"/>
    <n v="696.35"/>
    <n v="0"/>
    <x v="0"/>
    <s v="PH"/>
    <n v="0.12"/>
    <n v="50000"/>
    <n v="4178.1000000000004"/>
    <n v="0"/>
    <n v="4178.1000000000004"/>
    <n v="2700"/>
    <n v="1478.1000000000004"/>
    <x v="5"/>
    <n v="3"/>
    <n v="2024"/>
  </r>
  <r>
    <s v="ORD-202460012"/>
    <s v="2024-05-25 21:44"/>
    <s v="Sheena Burton"/>
    <s v="hmccann@example.com"/>
    <x v="8"/>
    <x v="4"/>
    <x v="6"/>
    <x v="0"/>
    <s v="Credit Card"/>
    <s v="Completed"/>
    <n v="2"/>
    <n v="1407.78"/>
    <n v="0"/>
    <x v="3"/>
    <s v="JP"/>
    <n v="0.1"/>
    <n v="30000"/>
    <n v="2815.56"/>
    <n v="0"/>
    <n v="2815.56"/>
    <n v="400"/>
    <n v="2415.56"/>
    <x v="2"/>
    <n v="2"/>
    <n v="2024"/>
  </r>
  <r>
    <s v="ORD-202490774"/>
    <s v="2024-07-29 03:31"/>
    <s v="Laura Bruce"/>
    <s v="bonniethomas@example.com"/>
    <x v="6"/>
    <x v="1"/>
    <x v="13"/>
    <x v="0"/>
    <s v="E-Wallet"/>
    <s v="Returned"/>
    <n v="9"/>
    <n v="955.78"/>
    <n v="0.15"/>
    <x v="2"/>
    <s v="IN"/>
    <n v="0.18"/>
    <n v="45000"/>
    <n v="8602.02"/>
    <n v="1290.3030000000001"/>
    <n v="7311.7170000000006"/>
    <n v="720"/>
    <n v="6591.7170000000006"/>
    <x v="3"/>
    <n v="3"/>
    <n v="2024"/>
  </r>
  <r>
    <s v="ORD-202437770"/>
    <s v="2024-04-24 14:35"/>
    <s v="Brandy Martin"/>
    <s v="michael50@example.com"/>
    <x v="8"/>
    <x v="3"/>
    <x v="7"/>
    <x v="1"/>
    <s v="Bank Transfer"/>
    <s v="Returned"/>
    <n v="2"/>
    <n v="1286.67"/>
    <n v="0.05"/>
    <x v="3"/>
    <s v="JP"/>
    <n v="0.1"/>
    <n v="50000"/>
    <n v="2573.34"/>
    <n v="128.667"/>
    <n v="2444.6730000000002"/>
    <n v="900"/>
    <n v="1544.6730000000002"/>
    <x v="4"/>
    <n v="2"/>
    <n v="2024"/>
  </r>
  <r>
    <s v="ORD-202410996"/>
    <s v="2024-07-10 07:32"/>
    <s v="Mark Jones"/>
    <s v="katiewhite@example.org"/>
    <x v="0"/>
    <x v="4"/>
    <x v="23"/>
    <x v="3"/>
    <s v="Credit Card"/>
    <s v="Returned"/>
    <n v="7"/>
    <n v="471.48"/>
    <n v="0.2"/>
    <x v="0"/>
    <s v="VN"/>
    <n v="0.1"/>
    <n v="30000"/>
    <n v="3300.36"/>
    <n v="660.07200000000012"/>
    <n v="2640.288"/>
    <n v="1400"/>
    <n v="1240.288"/>
    <x v="3"/>
    <n v="3"/>
    <n v="2024"/>
  </r>
  <r>
    <s v="ORD-202414282"/>
    <s v="2024-01-08 00:09"/>
    <s v="Carol Morris"/>
    <s v="margaret44@example.net"/>
    <x v="4"/>
    <x v="1"/>
    <x v="1"/>
    <x v="1"/>
    <s v="Debit Card"/>
    <s v="Returned"/>
    <n v="3"/>
    <n v="486.44"/>
    <n v="0.15"/>
    <x v="0"/>
    <s v="PH"/>
    <n v="0.12"/>
    <n v="45000"/>
    <n v="1459.32"/>
    <n v="218.898"/>
    <n v="1240.422"/>
    <n v="240"/>
    <n v="1000.422"/>
    <x v="1"/>
    <n v="1"/>
    <n v="2024"/>
  </r>
  <r>
    <s v="ORD-202435252"/>
    <s v="2024-11-11 20:25"/>
    <s v="Heidi Ferguson"/>
    <s v="madeline02@example.net"/>
    <x v="3"/>
    <x v="1"/>
    <x v="24"/>
    <x v="3"/>
    <s v="Bank Transfer"/>
    <s v="Cancelled"/>
    <n v="7"/>
    <n v="206.37"/>
    <n v="0.2"/>
    <x v="0"/>
    <s v="ID"/>
    <n v="0.11"/>
    <n v="45000"/>
    <n v="1444.5900000000001"/>
    <n v="288.91800000000006"/>
    <n v="1155.672"/>
    <n v="560"/>
    <n v="595.67200000000003"/>
    <x v="11"/>
    <n v="4"/>
    <n v="2024"/>
  </r>
  <r>
    <s v="ORD-202477800"/>
    <s v="2024-03-22 13:14"/>
    <s v="Richard Jenkins"/>
    <s v="curtismoore@example.org"/>
    <x v="7"/>
    <x v="0"/>
    <x v="12"/>
    <x v="2"/>
    <s v="Cash"/>
    <s v="Pending"/>
    <n v="10"/>
    <n v="190.78"/>
    <n v="0.1"/>
    <x v="0"/>
    <s v="MY"/>
    <n v="0.06"/>
    <n v="40000"/>
    <n v="1907.8"/>
    <n v="190.78"/>
    <n v="1717.02"/>
    <n v="1200"/>
    <n v="517.02"/>
    <x v="7"/>
    <n v="1"/>
    <n v="2024"/>
  </r>
  <r>
    <s v="ORD-202452258"/>
    <s v="2024-04-14 02:05"/>
    <s v="Rebecca Hansen"/>
    <s v="butlersabrina@example.org"/>
    <x v="3"/>
    <x v="2"/>
    <x v="11"/>
    <x v="0"/>
    <s v="Cash"/>
    <s v="Completed"/>
    <n v="10"/>
    <n v="948.91"/>
    <n v="0"/>
    <x v="0"/>
    <s v="ID"/>
    <n v="0.11"/>
    <n v="35000"/>
    <n v="9489.1"/>
    <n v="0"/>
    <n v="9489.1"/>
    <n v="1500"/>
    <n v="7989.1"/>
    <x v="4"/>
    <n v="2"/>
    <n v="2024"/>
  </r>
  <r>
    <s v="ORD-202484946"/>
    <s v="2024-07-14 00:47"/>
    <s v="Tammy Mendoza"/>
    <s v="hannah27@example.net"/>
    <x v="2"/>
    <x v="2"/>
    <x v="2"/>
    <x v="3"/>
    <s v="Cash"/>
    <s v="Pending"/>
    <n v="4"/>
    <n v="292.02999999999997"/>
    <n v="0.05"/>
    <x v="0"/>
    <s v="SG"/>
    <n v="7.0000000000000007E-2"/>
    <n v="35000"/>
    <n v="1168.1199999999999"/>
    <n v="58.405999999999999"/>
    <n v="1109.7139999999999"/>
    <n v="600"/>
    <n v="509.71399999999994"/>
    <x v="3"/>
    <n v="3"/>
    <n v="2024"/>
  </r>
  <r>
    <s v="ORD-202459559"/>
    <s v="2024-05-13 21:03"/>
    <s v="Tracy Jackson"/>
    <s v="anthony13@example.org"/>
    <x v="0"/>
    <x v="3"/>
    <x v="7"/>
    <x v="0"/>
    <s v="Bank Transfer"/>
    <s v="Completed"/>
    <n v="10"/>
    <n v="946.75"/>
    <n v="0"/>
    <x v="0"/>
    <s v="VN"/>
    <n v="0.1"/>
    <n v="50000"/>
    <n v="9467.5"/>
    <n v="0"/>
    <n v="9467.5"/>
    <n v="4500"/>
    <n v="4967.5"/>
    <x v="2"/>
    <n v="2"/>
    <n v="2024"/>
  </r>
  <r>
    <s v="ORD-202424034"/>
    <s v="2024-03-13 09:16"/>
    <s v="Brenda Perez"/>
    <s v="jasonzavala@example.com"/>
    <x v="2"/>
    <x v="3"/>
    <x v="8"/>
    <x v="1"/>
    <s v="Credit Card"/>
    <s v="Returned"/>
    <n v="6"/>
    <n v="748.95"/>
    <n v="0"/>
    <x v="0"/>
    <s v="SG"/>
    <n v="7.0000000000000007E-2"/>
    <n v="50000"/>
    <n v="4493.7000000000007"/>
    <n v="0"/>
    <n v="4493.7000000000007"/>
    <n v="2700"/>
    <n v="1793.7000000000007"/>
    <x v="7"/>
    <n v="1"/>
    <n v="2024"/>
  </r>
  <r>
    <s v="ORD-202412877"/>
    <s v="2024-07-30 02:31"/>
    <s v="Rachel Jones"/>
    <s v="ctodd@example.org"/>
    <x v="7"/>
    <x v="0"/>
    <x v="15"/>
    <x v="1"/>
    <s v="Debit Card"/>
    <s v="Pending"/>
    <n v="6"/>
    <n v="572.25"/>
    <n v="0.2"/>
    <x v="0"/>
    <s v="MY"/>
    <n v="0.06"/>
    <n v="40000"/>
    <n v="3433.5"/>
    <n v="686.7"/>
    <n v="2746.8"/>
    <n v="720"/>
    <n v="2026.8000000000002"/>
    <x v="3"/>
    <n v="3"/>
    <n v="2024"/>
  </r>
  <r>
    <s v="ORD-202449158"/>
    <s v="2024-01-06 05:42"/>
    <s v="Ricky Palmer"/>
    <s v="harrisonrebekah@example.org"/>
    <x v="6"/>
    <x v="1"/>
    <x v="13"/>
    <x v="1"/>
    <s v="Cash"/>
    <s v="Completed"/>
    <n v="6"/>
    <n v="189.05"/>
    <n v="0.05"/>
    <x v="2"/>
    <s v="IN"/>
    <n v="0.18"/>
    <n v="45000"/>
    <n v="1134.3000000000002"/>
    <n v="56.715000000000011"/>
    <n v="1077.5850000000003"/>
    <n v="480"/>
    <n v="597.58500000000026"/>
    <x v="1"/>
    <n v="1"/>
    <n v="2024"/>
  </r>
  <r>
    <s v="ORD-202430760"/>
    <s v="2024-09-24 23:16"/>
    <s v="Michael Webster"/>
    <s v="morajamie@example.org"/>
    <x v="7"/>
    <x v="0"/>
    <x v="12"/>
    <x v="3"/>
    <s v="Debit Card"/>
    <s v="Cancelled"/>
    <n v="1"/>
    <n v="58.89"/>
    <n v="0.15"/>
    <x v="0"/>
    <s v="MY"/>
    <n v="0.06"/>
    <n v="40000"/>
    <n v="58.89"/>
    <n v="8.833499999999999"/>
    <n v="50.0565"/>
    <n v="120"/>
    <n v="-69.9435"/>
    <x v="6"/>
    <n v="3"/>
    <n v="2024"/>
  </r>
  <r>
    <s v="ORD-202425045"/>
    <s v="2024-04-21 00:20"/>
    <s v="Gregory Davis"/>
    <s v="stacy55@example.org"/>
    <x v="2"/>
    <x v="0"/>
    <x v="20"/>
    <x v="2"/>
    <s v="Bank Transfer"/>
    <s v="Pending"/>
    <n v="3"/>
    <n v="1095.7"/>
    <n v="0.05"/>
    <x v="0"/>
    <s v="SG"/>
    <n v="7.0000000000000007E-2"/>
    <n v="40000"/>
    <n v="3287.1000000000004"/>
    <n v="164.35500000000002"/>
    <n v="3122.7450000000003"/>
    <n v="360"/>
    <n v="2762.7450000000003"/>
    <x v="4"/>
    <n v="2"/>
    <n v="2024"/>
  </r>
  <r>
    <s v="ORD-202422054"/>
    <s v="2024-06-27 22:35"/>
    <s v="Phyllis Austin"/>
    <s v="garciabelinda@example.org"/>
    <x v="0"/>
    <x v="2"/>
    <x v="17"/>
    <x v="2"/>
    <s v="Debit Card"/>
    <s v="Pending"/>
    <n v="7"/>
    <n v="662.55"/>
    <n v="0"/>
    <x v="0"/>
    <s v="VN"/>
    <n v="0.1"/>
    <n v="35000"/>
    <n v="4637.8499999999995"/>
    <n v="0"/>
    <n v="4637.8499999999995"/>
    <n v="1050"/>
    <n v="3587.8499999999995"/>
    <x v="8"/>
    <n v="2"/>
    <n v="2024"/>
  </r>
  <r>
    <s v="ORD-202446842"/>
    <s v="2024-07-20 03:37"/>
    <s v="Michelle Brandt"/>
    <s v="rachelmedina@example.net"/>
    <x v="6"/>
    <x v="4"/>
    <x v="5"/>
    <x v="1"/>
    <s v="Bank Transfer"/>
    <s v="Cancelled"/>
    <n v="8"/>
    <n v="1194.24"/>
    <n v="0.1"/>
    <x v="2"/>
    <s v="IN"/>
    <n v="0.18"/>
    <n v="30000"/>
    <n v="9553.92"/>
    <n v="955.39200000000005"/>
    <n v="8598.5280000000002"/>
    <n v="1600"/>
    <n v="6998.5280000000002"/>
    <x v="3"/>
    <n v="3"/>
    <n v="2024"/>
  </r>
  <r>
    <s v="ORD-202451779"/>
    <s v="2024-11-14 03:38"/>
    <s v="Daniel Gordon"/>
    <s v="lrichardson@example.org"/>
    <x v="8"/>
    <x v="2"/>
    <x v="21"/>
    <x v="0"/>
    <s v="Bank Transfer"/>
    <s v="Pending"/>
    <n v="6"/>
    <n v="857.21"/>
    <n v="0.2"/>
    <x v="3"/>
    <s v="JP"/>
    <n v="0.1"/>
    <n v="35000"/>
    <n v="5143.26"/>
    <n v="1028.652"/>
    <n v="4114.6080000000002"/>
    <n v="900"/>
    <n v="3214.6080000000002"/>
    <x v="11"/>
    <n v="4"/>
    <n v="2024"/>
  </r>
  <r>
    <s v="ORD-202414424"/>
    <s v="2024-09-18 08:37"/>
    <s v="Tyler White"/>
    <s v="tina63@example.net"/>
    <x v="8"/>
    <x v="4"/>
    <x v="6"/>
    <x v="1"/>
    <s v="Credit Card"/>
    <s v="Completed"/>
    <n v="9"/>
    <n v="1242.6300000000001"/>
    <n v="0.05"/>
    <x v="3"/>
    <s v="JP"/>
    <n v="0.1"/>
    <n v="30000"/>
    <n v="11183.670000000002"/>
    <n v="559.18350000000009"/>
    <n v="10624.486500000003"/>
    <n v="1800"/>
    <n v="8824.4865000000027"/>
    <x v="6"/>
    <n v="3"/>
    <n v="2024"/>
  </r>
  <r>
    <s v="ORD-202433580"/>
    <s v="2024-06-14 13:50"/>
    <s v="Brian Rollins"/>
    <s v="owensapril@example.com"/>
    <x v="2"/>
    <x v="4"/>
    <x v="5"/>
    <x v="3"/>
    <s v="E-Wallet"/>
    <s v="Completed"/>
    <n v="6"/>
    <n v="122.87"/>
    <n v="0.05"/>
    <x v="0"/>
    <s v="SG"/>
    <n v="7.0000000000000007E-2"/>
    <n v="30000"/>
    <n v="737.22"/>
    <n v="36.861000000000004"/>
    <n v="700.35900000000004"/>
    <n v="1200"/>
    <n v="-499.64099999999996"/>
    <x v="8"/>
    <n v="2"/>
    <n v="2024"/>
  </r>
  <r>
    <s v="ORD-202411262"/>
    <s v="2024-06-12 22:00"/>
    <s v="Michele Hawkins"/>
    <s v="millertristan@example.com"/>
    <x v="4"/>
    <x v="0"/>
    <x v="15"/>
    <x v="0"/>
    <s v="Bank Transfer"/>
    <s v="Cancelled"/>
    <n v="6"/>
    <n v="857.69"/>
    <n v="0"/>
    <x v="0"/>
    <s v="PH"/>
    <n v="0.12"/>
    <n v="40000"/>
    <n v="5146.1400000000003"/>
    <n v="0"/>
    <n v="5146.1400000000003"/>
    <n v="720"/>
    <n v="4426.1400000000003"/>
    <x v="8"/>
    <n v="2"/>
    <n v="2024"/>
  </r>
  <r>
    <s v="ORD-202488879"/>
    <s v="2024-04-18 16:13"/>
    <s v="Kyle Collins"/>
    <s v="aperez@example.com"/>
    <x v="7"/>
    <x v="1"/>
    <x v="22"/>
    <x v="1"/>
    <s v="Bank Transfer"/>
    <s v="Cancelled"/>
    <n v="2"/>
    <n v="1078.6500000000001"/>
    <n v="0.15"/>
    <x v="0"/>
    <s v="MY"/>
    <n v="0.06"/>
    <n v="45000"/>
    <n v="2157.3000000000002"/>
    <n v="323.59500000000003"/>
    <n v="1833.7050000000002"/>
    <n v="160"/>
    <n v="1673.7050000000002"/>
    <x v="4"/>
    <n v="2"/>
    <n v="2024"/>
  </r>
  <r>
    <s v="ORD-202451958"/>
    <s v="2024-04-11 06:03"/>
    <s v="Mrs. Shannon Jacobson"/>
    <s v="xcrosby@example.org"/>
    <x v="9"/>
    <x v="2"/>
    <x v="11"/>
    <x v="0"/>
    <s v="Bank Transfer"/>
    <s v="Pending"/>
    <n v="7"/>
    <n v="1485.54"/>
    <n v="0"/>
    <x v="3"/>
    <s v="KR"/>
    <n v="0.1"/>
    <n v="35000"/>
    <n v="10398.779999999999"/>
    <n v="0"/>
    <n v="10398.779999999999"/>
    <n v="1050"/>
    <n v="9348.7799999999988"/>
    <x v="4"/>
    <n v="2"/>
    <n v="2024"/>
  </r>
  <r>
    <s v="ORD-202488830"/>
    <s v="2024-06-16 18:24"/>
    <s v="Michael Powers"/>
    <s v="qkim@example.net"/>
    <x v="1"/>
    <x v="1"/>
    <x v="13"/>
    <x v="1"/>
    <s v="E-Wallet"/>
    <s v="Pending"/>
    <n v="10"/>
    <n v="438.28"/>
    <n v="0"/>
    <x v="0"/>
    <s v="TH"/>
    <n v="7.0000000000000007E-2"/>
    <n v="45000"/>
    <n v="4382.7999999999993"/>
    <n v="0"/>
    <n v="4382.7999999999993"/>
    <n v="800"/>
    <n v="3582.7999999999993"/>
    <x v="8"/>
    <n v="2"/>
    <n v="2024"/>
  </r>
  <r>
    <s v="ORD-202462797"/>
    <s v="2024-01-19 17:58"/>
    <s v="Charles Morales"/>
    <s v="figueroapatricia@example.org"/>
    <x v="5"/>
    <x v="3"/>
    <x v="14"/>
    <x v="0"/>
    <s v="Bank Transfer"/>
    <s v="Cancelled"/>
    <n v="2"/>
    <n v="972.49"/>
    <n v="0.1"/>
    <x v="1"/>
    <s v="AU"/>
    <n v="0.1"/>
    <n v="50000"/>
    <n v="1944.98"/>
    <n v="194.49800000000002"/>
    <n v="1750.482"/>
    <n v="900"/>
    <n v="850.48199999999997"/>
    <x v="1"/>
    <n v="1"/>
    <n v="2024"/>
  </r>
  <r>
    <s v="ORD-202446002"/>
    <s v="2024-06-11 11:25"/>
    <s v="William Morgan"/>
    <s v="bmartinez@example.net"/>
    <x v="7"/>
    <x v="1"/>
    <x v="22"/>
    <x v="2"/>
    <s v="Bank Transfer"/>
    <s v="Returned"/>
    <n v="1"/>
    <n v="748.32"/>
    <n v="0.1"/>
    <x v="0"/>
    <s v="MY"/>
    <n v="0.06"/>
    <n v="45000"/>
    <n v="748.32"/>
    <n v="74.832000000000008"/>
    <n v="673.48800000000006"/>
    <n v="80"/>
    <n v="593.48800000000006"/>
    <x v="8"/>
    <n v="2"/>
    <n v="2024"/>
  </r>
  <r>
    <s v="ORD-202494029"/>
    <s v="2024-03-03 11:39"/>
    <s v="Dr. Ralph Wheeler DDS"/>
    <s v="qkelly@example.net"/>
    <x v="7"/>
    <x v="3"/>
    <x v="7"/>
    <x v="0"/>
    <s v="E-Wallet"/>
    <s v="Returned"/>
    <n v="1"/>
    <n v="86.03"/>
    <n v="0"/>
    <x v="0"/>
    <s v="MY"/>
    <n v="0.06"/>
    <n v="50000"/>
    <n v="86.03"/>
    <n v="0"/>
    <n v="86.03"/>
    <n v="450"/>
    <n v="-363.97"/>
    <x v="7"/>
    <n v="1"/>
    <n v="2024"/>
  </r>
  <r>
    <s v="ORD-202439667"/>
    <s v="2024-03-28 02:12"/>
    <s v="Victoria Dixon"/>
    <s v="katrinarodriguez@example.com"/>
    <x v="4"/>
    <x v="1"/>
    <x v="13"/>
    <x v="0"/>
    <s v="Credit Card"/>
    <s v="Completed"/>
    <n v="1"/>
    <n v="1402.15"/>
    <n v="0.05"/>
    <x v="0"/>
    <s v="PH"/>
    <n v="0.12"/>
    <n v="45000"/>
    <n v="1402.15"/>
    <n v="70.107500000000002"/>
    <n v="1332.0425"/>
    <n v="80"/>
    <n v="1252.0425"/>
    <x v="7"/>
    <n v="1"/>
    <n v="2024"/>
  </r>
  <r>
    <s v="ORD-202449883"/>
    <s v="2024-02-08 08:21"/>
    <s v="David Dunlap Jr."/>
    <s v="greertyrone@example.org"/>
    <x v="6"/>
    <x v="2"/>
    <x v="2"/>
    <x v="1"/>
    <s v="Credit Card"/>
    <s v="Pending"/>
    <n v="3"/>
    <n v="1052.52"/>
    <n v="0.15"/>
    <x v="2"/>
    <s v="IN"/>
    <n v="0.18"/>
    <n v="35000"/>
    <n v="3157.56"/>
    <n v="473.63399999999996"/>
    <n v="2683.9259999999999"/>
    <n v="450"/>
    <n v="2233.9259999999999"/>
    <x v="0"/>
    <n v="1"/>
    <n v="2024"/>
  </r>
  <r>
    <s v="ORD-202451855"/>
    <s v="2024-03-16 18:56"/>
    <s v="Janet Shelton"/>
    <s v="kevinhanson@example.org"/>
    <x v="8"/>
    <x v="2"/>
    <x v="11"/>
    <x v="1"/>
    <s v="Bank Transfer"/>
    <s v="Cancelled"/>
    <n v="4"/>
    <n v="789.82"/>
    <n v="0.15"/>
    <x v="3"/>
    <s v="JP"/>
    <n v="0.1"/>
    <n v="35000"/>
    <n v="3159.28"/>
    <n v="473.892"/>
    <n v="2685.3880000000004"/>
    <n v="600"/>
    <n v="2085.3880000000004"/>
    <x v="7"/>
    <n v="1"/>
    <n v="2024"/>
  </r>
  <r>
    <s v="ORD-202452193"/>
    <s v="2024-09-04 07:05"/>
    <s v="Kelly Vasquez"/>
    <s v="qharris@example.com"/>
    <x v="0"/>
    <x v="4"/>
    <x v="16"/>
    <x v="3"/>
    <s v="Credit Card"/>
    <s v="Completed"/>
    <n v="4"/>
    <n v="539.22"/>
    <n v="0.2"/>
    <x v="0"/>
    <s v="VN"/>
    <n v="0.1"/>
    <n v="30000"/>
    <n v="2156.88"/>
    <n v="431.37600000000003"/>
    <n v="1725.5040000000001"/>
    <n v="800"/>
    <n v="925.50400000000013"/>
    <x v="6"/>
    <n v="3"/>
    <n v="2024"/>
  </r>
  <r>
    <s v="ORD-202474828"/>
    <s v="2024-01-31 06:00"/>
    <s v="Dennis Cooper PhD"/>
    <s v="cisnerosanthony@example.com"/>
    <x v="1"/>
    <x v="2"/>
    <x v="17"/>
    <x v="3"/>
    <s v="Cash"/>
    <s v="Cancelled"/>
    <n v="2"/>
    <n v="294.06"/>
    <n v="0.05"/>
    <x v="0"/>
    <s v="TH"/>
    <n v="7.0000000000000007E-2"/>
    <n v="35000"/>
    <n v="588.12"/>
    <n v="29.406000000000002"/>
    <n v="558.71400000000006"/>
    <n v="300"/>
    <n v="258.71400000000006"/>
    <x v="1"/>
    <n v="1"/>
    <n v="2024"/>
  </r>
  <r>
    <s v="ORD-202450871"/>
    <s v="2024-12-28 14:41"/>
    <s v="Barbara Cole"/>
    <s v="cramos@example.org"/>
    <x v="2"/>
    <x v="1"/>
    <x v="13"/>
    <x v="1"/>
    <s v="Bank Transfer"/>
    <s v="Pending"/>
    <n v="4"/>
    <n v="1372.48"/>
    <n v="0.05"/>
    <x v="0"/>
    <s v="SG"/>
    <n v="7.0000000000000007E-2"/>
    <n v="45000"/>
    <n v="5489.92"/>
    <n v="274.49600000000004"/>
    <n v="5215.424"/>
    <n v="320"/>
    <n v="4895.424"/>
    <x v="10"/>
    <n v="4"/>
    <n v="2024"/>
  </r>
  <r>
    <s v="ORD-202462455"/>
    <s v="2024-04-06 02:17"/>
    <s v="Matthew Chan"/>
    <s v="travistaylor@example.net"/>
    <x v="8"/>
    <x v="0"/>
    <x v="4"/>
    <x v="0"/>
    <s v="Debit Card"/>
    <s v="Returned"/>
    <n v="10"/>
    <n v="1427.97"/>
    <n v="0.2"/>
    <x v="3"/>
    <s v="JP"/>
    <n v="0.1"/>
    <n v="40000"/>
    <n v="14279.7"/>
    <n v="2855.9400000000005"/>
    <n v="11423.76"/>
    <n v="1200"/>
    <n v="10223.76"/>
    <x v="4"/>
    <n v="2"/>
    <n v="2024"/>
  </r>
  <r>
    <s v="ORD-202424047"/>
    <s v="2024-02-26 07:01"/>
    <s v="Phillip Carroll"/>
    <s v="rkeller@example.net"/>
    <x v="9"/>
    <x v="0"/>
    <x v="4"/>
    <x v="2"/>
    <s v="E-Wallet"/>
    <s v="Completed"/>
    <n v="9"/>
    <n v="57.45"/>
    <n v="0.1"/>
    <x v="3"/>
    <s v="KR"/>
    <n v="0.1"/>
    <n v="40000"/>
    <n v="517.05000000000007"/>
    <n v="51.705000000000013"/>
    <n v="465.34500000000003"/>
    <n v="1080"/>
    <n v="-614.65499999999997"/>
    <x v="0"/>
    <n v="1"/>
    <n v="2024"/>
  </r>
  <r>
    <s v="ORD-202482129"/>
    <s v="2024-02-13 11:27"/>
    <s v="Karen Dickerson"/>
    <s v="myerstroy@example.com"/>
    <x v="1"/>
    <x v="0"/>
    <x v="15"/>
    <x v="0"/>
    <s v="Bank Transfer"/>
    <s v="Cancelled"/>
    <n v="9"/>
    <n v="760.75"/>
    <n v="0.05"/>
    <x v="0"/>
    <s v="TH"/>
    <n v="7.0000000000000007E-2"/>
    <n v="40000"/>
    <n v="6846.75"/>
    <n v="342.33750000000003"/>
    <n v="6504.4125000000004"/>
    <n v="1080"/>
    <n v="5424.4125000000004"/>
    <x v="0"/>
    <n v="1"/>
    <n v="2024"/>
  </r>
  <r>
    <s v="ORD-202458467"/>
    <s v="2024-02-20 01:41"/>
    <s v="Heather Levine"/>
    <s v="bryan90@example.org"/>
    <x v="8"/>
    <x v="2"/>
    <x v="21"/>
    <x v="2"/>
    <s v="Cash"/>
    <s v="Returned"/>
    <n v="7"/>
    <n v="451.6"/>
    <n v="0"/>
    <x v="3"/>
    <s v="JP"/>
    <n v="0.1"/>
    <n v="35000"/>
    <n v="3161.2000000000003"/>
    <n v="0"/>
    <n v="3161.2000000000003"/>
    <n v="1050"/>
    <n v="2111.2000000000003"/>
    <x v="0"/>
    <n v="1"/>
    <n v="2024"/>
  </r>
  <r>
    <s v="ORD-202477976"/>
    <s v="2024-08-09 03:43"/>
    <s v="Hannah Harmon"/>
    <s v="hubbardcolleen@example.com"/>
    <x v="3"/>
    <x v="0"/>
    <x v="20"/>
    <x v="2"/>
    <s v="Debit Card"/>
    <s v="Completed"/>
    <n v="1"/>
    <n v="341.08"/>
    <n v="0"/>
    <x v="0"/>
    <s v="ID"/>
    <n v="0.11"/>
    <n v="40000"/>
    <n v="341.08"/>
    <n v="0"/>
    <n v="341.08"/>
    <n v="120"/>
    <n v="221.07999999999998"/>
    <x v="5"/>
    <n v="3"/>
    <n v="2024"/>
  </r>
  <r>
    <s v="ORD-202479747"/>
    <s v="2024-02-21 08:14"/>
    <s v="Gregory Howard"/>
    <s v="brian33@example.org"/>
    <x v="6"/>
    <x v="2"/>
    <x v="17"/>
    <x v="2"/>
    <s v="Bank Transfer"/>
    <s v="Pending"/>
    <n v="4"/>
    <n v="598.42999999999995"/>
    <n v="0.2"/>
    <x v="2"/>
    <s v="IN"/>
    <n v="0.18"/>
    <n v="35000"/>
    <n v="2393.7199999999998"/>
    <n v="478.74399999999997"/>
    <n v="1914.9759999999999"/>
    <n v="600"/>
    <n v="1314.9759999999999"/>
    <x v="0"/>
    <n v="1"/>
    <n v="2024"/>
  </r>
  <r>
    <s v="ORD-202432417"/>
    <s v="2024-04-14 11:40"/>
    <s v="Leslie Lozano"/>
    <s v="meltondanny@example.org"/>
    <x v="0"/>
    <x v="1"/>
    <x v="22"/>
    <x v="1"/>
    <s v="E-Wallet"/>
    <s v="Pending"/>
    <n v="2"/>
    <n v="1104.82"/>
    <n v="0"/>
    <x v="0"/>
    <s v="VN"/>
    <n v="0.1"/>
    <n v="45000"/>
    <n v="2209.64"/>
    <n v="0"/>
    <n v="2209.64"/>
    <n v="160"/>
    <n v="2049.64"/>
    <x v="4"/>
    <n v="2"/>
    <n v="2024"/>
  </r>
  <r>
    <s v="ORD-202432312"/>
    <s v="2024-06-10 21:04"/>
    <s v="Gabriel Murray"/>
    <s v="abradley@example.com"/>
    <x v="2"/>
    <x v="0"/>
    <x v="4"/>
    <x v="1"/>
    <s v="Bank Transfer"/>
    <s v="Cancelled"/>
    <n v="3"/>
    <n v="1351.31"/>
    <n v="0"/>
    <x v="0"/>
    <s v="SG"/>
    <n v="7.0000000000000007E-2"/>
    <n v="40000"/>
    <n v="4053.93"/>
    <n v="0"/>
    <n v="4053.93"/>
    <n v="360"/>
    <n v="3693.93"/>
    <x v="8"/>
    <n v="2"/>
    <n v="2024"/>
  </r>
  <r>
    <s v="ORD-202412729"/>
    <s v="2024-03-31 08:56"/>
    <s v="John Johnson"/>
    <s v="nicholas65@example.net"/>
    <x v="7"/>
    <x v="0"/>
    <x v="20"/>
    <x v="0"/>
    <s v="Bank Transfer"/>
    <s v="Pending"/>
    <n v="8"/>
    <n v="897.1"/>
    <n v="0.15"/>
    <x v="0"/>
    <s v="MY"/>
    <n v="0.06"/>
    <n v="40000"/>
    <n v="7176.8"/>
    <n v="1076.52"/>
    <n v="6100.2800000000007"/>
    <n v="960"/>
    <n v="5140.2800000000007"/>
    <x v="7"/>
    <n v="1"/>
    <n v="2024"/>
  </r>
  <r>
    <s v="ORD-202471940"/>
    <s v="2024-02-26 01:52"/>
    <s v="John Vazquez"/>
    <s v="matthewshaw@example.net"/>
    <x v="3"/>
    <x v="1"/>
    <x v="22"/>
    <x v="3"/>
    <s v="Debit Card"/>
    <s v="Completed"/>
    <n v="9"/>
    <n v="1255.51"/>
    <n v="0.15"/>
    <x v="0"/>
    <s v="ID"/>
    <n v="0.11"/>
    <n v="45000"/>
    <n v="11299.59"/>
    <n v="1694.9385"/>
    <n v="9604.6514999999999"/>
    <n v="720"/>
    <n v="8884.6514999999999"/>
    <x v="0"/>
    <n v="1"/>
    <n v="2024"/>
  </r>
  <r>
    <s v="ORD-202423106"/>
    <s v="2024-06-04 23:21"/>
    <s v="Lucas Cox"/>
    <s v="oharris@example.org"/>
    <x v="9"/>
    <x v="2"/>
    <x v="2"/>
    <x v="1"/>
    <s v="E-Wallet"/>
    <s v="Cancelled"/>
    <n v="5"/>
    <n v="1484.84"/>
    <n v="0.2"/>
    <x v="3"/>
    <s v="KR"/>
    <n v="0.1"/>
    <n v="35000"/>
    <n v="7424.2"/>
    <n v="1484.8400000000001"/>
    <n v="5939.36"/>
    <n v="750"/>
    <n v="5189.3599999999997"/>
    <x v="8"/>
    <n v="2"/>
    <n v="2024"/>
  </r>
  <r>
    <s v="ORD-202470129"/>
    <s v="2024-01-07 11:19"/>
    <s v="Kimberly Mitchell"/>
    <s v="evansashley@example.org"/>
    <x v="4"/>
    <x v="1"/>
    <x v="1"/>
    <x v="0"/>
    <s v="Debit Card"/>
    <s v="Returned"/>
    <n v="5"/>
    <n v="734.27"/>
    <n v="0.2"/>
    <x v="0"/>
    <s v="PH"/>
    <n v="0.12"/>
    <n v="45000"/>
    <n v="3671.35"/>
    <n v="734.27"/>
    <n v="2937.08"/>
    <n v="400"/>
    <n v="2537.08"/>
    <x v="1"/>
    <n v="1"/>
    <n v="2024"/>
  </r>
  <r>
    <s v="ORD-202438869"/>
    <s v="2024-12-03 04:22"/>
    <s v="Tina Robbins"/>
    <s v="vargasjoshua@example.net"/>
    <x v="9"/>
    <x v="3"/>
    <x v="7"/>
    <x v="3"/>
    <s v="Credit Card"/>
    <s v="Pending"/>
    <n v="7"/>
    <n v="872.71"/>
    <n v="0.05"/>
    <x v="3"/>
    <s v="KR"/>
    <n v="0.1"/>
    <n v="50000"/>
    <n v="6108.97"/>
    <n v="305.44850000000002"/>
    <n v="5803.5214999999998"/>
    <n v="3150"/>
    <n v="2653.5214999999998"/>
    <x v="10"/>
    <n v="4"/>
    <n v="2024"/>
  </r>
  <r>
    <s v="ORD-202459516"/>
    <s v="2024-11-23 03:17"/>
    <s v="Karen Clark"/>
    <s v="pearsonkevin@example.com"/>
    <x v="5"/>
    <x v="2"/>
    <x v="18"/>
    <x v="1"/>
    <s v="Cash"/>
    <s v="Returned"/>
    <n v="6"/>
    <n v="274.8"/>
    <n v="0.05"/>
    <x v="1"/>
    <s v="AU"/>
    <n v="0.1"/>
    <n v="35000"/>
    <n v="1648.8000000000002"/>
    <n v="82.440000000000012"/>
    <n v="1566.3600000000001"/>
    <n v="900"/>
    <n v="666.36000000000013"/>
    <x v="11"/>
    <n v="4"/>
    <n v="2024"/>
  </r>
  <r>
    <s v="ORD-202446208"/>
    <s v="2024-06-07 06:02"/>
    <s v="Joshua Gonzalez"/>
    <s v="gking@example.com"/>
    <x v="6"/>
    <x v="1"/>
    <x v="22"/>
    <x v="1"/>
    <s v="Cash"/>
    <s v="Cancelled"/>
    <n v="2"/>
    <n v="1253.74"/>
    <n v="0.1"/>
    <x v="2"/>
    <s v="IN"/>
    <n v="0.18"/>
    <n v="45000"/>
    <n v="2507.48"/>
    <n v="250.74800000000002"/>
    <n v="2256.732"/>
    <n v="160"/>
    <n v="2096.732"/>
    <x v="8"/>
    <n v="2"/>
    <n v="2024"/>
  </r>
  <r>
    <s v="ORD-202447802"/>
    <s v="2024-02-26 00:31"/>
    <s v="Kimberly Ibarra"/>
    <s v="barbaralewis@example.net"/>
    <x v="2"/>
    <x v="2"/>
    <x v="21"/>
    <x v="3"/>
    <s v="E-Wallet"/>
    <s v="Returned"/>
    <n v="5"/>
    <n v="791.93"/>
    <n v="0.15"/>
    <x v="0"/>
    <s v="SG"/>
    <n v="7.0000000000000007E-2"/>
    <n v="35000"/>
    <n v="3959.6499999999996"/>
    <n v="593.94749999999988"/>
    <n v="3365.7024999999999"/>
    <n v="750"/>
    <n v="2615.7024999999999"/>
    <x v="0"/>
    <n v="1"/>
    <n v="2024"/>
  </r>
  <r>
    <s v="ORD-202447782"/>
    <s v="2024-02-03 09:00"/>
    <s v="Debra Little"/>
    <s v="umichael@example.net"/>
    <x v="9"/>
    <x v="3"/>
    <x v="7"/>
    <x v="0"/>
    <s v="Bank Transfer"/>
    <s v="Cancelled"/>
    <n v="10"/>
    <n v="435.28"/>
    <n v="0"/>
    <x v="3"/>
    <s v="KR"/>
    <n v="0.1"/>
    <n v="50000"/>
    <n v="4352.7999999999993"/>
    <n v="0"/>
    <n v="4352.7999999999993"/>
    <n v="4500"/>
    <n v="-147.20000000000073"/>
    <x v="0"/>
    <n v="1"/>
    <n v="2024"/>
  </r>
  <r>
    <s v="ORD-202410667"/>
    <s v="2024-08-08 11:42"/>
    <s v="Curtis Ford"/>
    <s v="edwardjennings@example.com"/>
    <x v="3"/>
    <x v="3"/>
    <x v="14"/>
    <x v="3"/>
    <s v="Credit Card"/>
    <s v="Cancelled"/>
    <n v="5"/>
    <n v="219.51"/>
    <n v="0.15"/>
    <x v="0"/>
    <s v="ID"/>
    <n v="0.11"/>
    <n v="50000"/>
    <n v="1097.55"/>
    <n v="164.63249999999999"/>
    <n v="932.91750000000002"/>
    <n v="2250"/>
    <n v="-1317.0825"/>
    <x v="5"/>
    <n v="3"/>
    <n v="2024"/>
  </r>
  <r>
    <s v="ORD-202428696"/>
    <s v="2024-04-10 13:37"/>
    <s v="Jennifer Dalton"/>
    <s v="waltersmeghan@example.com"/>
    <x v="7"/>
    <x v="4"/>
    <x v="5"/>
    <x v="1"/>
    <s v="Bank Transfer"/>
    <s v="Returned"/>
    <n v="6"/>
    <n v="62.72"/>
    <n v="0"/>
    <x v="0"/>
    <s v="MY"/>
    <n v="0.06"/>
    <n v="30000"/>
    <n v="376.32"/>
    <n v="0"/>
    <n v="376.32"/>
    <n v="1200"/>
    <n v="-823.68000000000006"/>
    <x v="4"/>
    <n v="2"/>
    <n v="2024"/>
  </r>
  <r>
    <s v="ORD-202422863"/>
    <s v="2024-05-13 09:38"/>
    <s v="Maria Scott"/>
    <s v="richardwilson@example.org"/>
    <x v="0"/>
    <x v="0"/>
    <x v="12"/>
    <x v="3"/>
    <s v="Debit Card"/>
    <s v="Cancelled"/>
    <n v="6"/>
    <n v="662.19"/>
    <n v="0.15"/>
    <x v="0"/>
    <s v="VN"/>
    <n v="0.1"/>
    <n v="40000"/>
    <n v="3973.1400000000003"/>
    <n v="595.971"/>
    <n v="3377.1690000000003"/>
    <n v="720"/>
    <n v="2657.1690000000003"/>
    <x v="2"/>
    <n v="2"/>
    <n v="2024"/>
  </r>
  <r>
    <s v="ORD-202427785"/>
    <s v="2024-08-01 17:12"/>
    <s v="Robert Collins"/>
    <s v="bcastro@example.com"/>
    <x v="0"/>
    <x v="4"/>
    <x v="16"/>
    <x v="3"/>
    <s v="Bank Transfer"/>
    <s v="Returned"/>
    <n v="8"/>
    <n v="456.54"/>
    <n v="0.15"/>
    <x v="0"/>
    <s v="VN"/>
    <n v="0.1"/>
    <n v="30000"/>
    <n v="3652.32"/>
    <n v="547.84799999999996"/>
    <n v="3104.4720000000002"/>
    <n v="1600"/>
    <n v="1504.4720000000002"/>
    <x v="5"/>
    <n v="3"/>
    <n v="2024"/>
  </r>
  <r>
    <s v="ORD-202422588"/>
    <s v="2024-03-11 16:28"/>
    <s v="Amanda Moore"/>
    <s v="anthonyclarke@example.com"/>
    <x v="4"/>
    <x v="1"/>
    <x v="22"/>
    <x v="1"/>
    <s v="Bank Transfer"/>
    <s v="Returned"/>
    <n v="7"/>
    <n v="710.54"/>
    <n v="0.1"/>
    <x v="0"/>
    <s v="PH"/>
    <n v="0.12"/>
    <n v="45000"/>
    <n v="4973.78"/>
    <n v="497.37799999999999"/>
    <n v="4476.402"/>
    <n v="560"/>
    <n v="3916.402"/>
    <x v="7"/>
    <n v="1"/>
    <n v="2024"/>
  </r>
  <r>
    <s v="ORD-202413627"/>
    <s v="2024-10-13 00:49"/>
    <s v="Casey Phelps"/>
    <s v="dcasey@example.org"/>
    <x v="8"/>
    <x v="3"/>
    <x v="7"/>
    <x v="2"/>
    <s v="Debit Card"/>
    <s v="Cancelled"/>
    <n v="5"/>
    <n v="928.58"/>
    <n v="0"/>
    <x v="3"/>
    <s v="JP"/>
    <n v="0.1"/>
    <n v="50000"/>
    <n v="4642.9000000000005"/>
    <n v="0"/>
    <n v="4642.9000000000005"/>
    <n v="2250"/>
    <n v="2392.9000000000005"/>
    <x v="9"/>
    <n v="4"/>
    <n v="2024"/>
  </r>
  <r>
    <s v="ORD-202417017"/>
    <s v="2024-07-20 04:25"/>
    <s v="Edward Brown"/>
    <s v="qmosley@example.net"/>
    <x v="3"/>
    <x v="2"/>
    <x v="18"/>
    <x v="0"/>
    <s v="E-Wallet"/>
    <s v="Completed"/>
    <n v="1"/>
    <n v="698.43"/>
    <n v="0"/>
    <x v="0"/>
    <s v="ID"/>
    <n v="0.11"/>
    <n v="35000"/>
    <n v="698.43"/>
    <n v="0"/>
    <n v="698.43"/>
    <n v="150"/>
    <n v="548.42999999999995"/>
    <x v="3"/>
    <n v="3"/>
    <n v="2024"/>
  </r>
  <r>
    <s v="ORD-202453710"/>
    <s v="2024-10-31 03:52"/>
    <s v="Jennifer Larsen"/>
    <s v="joelduncan@example.net"/>
    <x v="0"/>
    <x v="1"/>
    <x v="24"/>
    <x v="0"/>
    <s v="Debit Card"/>
    <s v="Pending"/>
    <n v="1"/>
    <n v="1040.53"/>
    <n v="0"/>
    <x v="0"/>
    <s v="VN"/>
    <n v="0.1"/>
    <n v="45000"/>
    <n v="1040.53"/>
    <n v="0"/>
    <n v="1040.53"/>
    <n v="80"/>
    <n v="960.53"/>
    <x v="9"/>
    <n v="4"/>
    <n v="2024"/>
  </r>
  <r>
    <s v="ORD-202483668"/>
    <s v="2024-09-10 04:14"/>
    <s v="Kelly Calderon"/>
    <s v="tyler13@example.net"/>
    <x v="2"/>
    <x v="4"/>
    <x v="23"/>
    <x v="3"/>
    <s v="Credit Card"/>
    <s v="Completed"/>
    <n v="1"/>
    <n v="1082.93"/>
    <n v="0.1"/>
    <x v="0"/>
    <s v="SG"/>
    <n v="7.0000000000000007E-2"/>
    <n v="30000"/>
    <n v="1082.93"/>
    <n v="108.29300000000001"/>
    <n v="974.63700000000006"/>
    <n v="200"/>
    <n v="774.63700000000006"/>
    <x v="6"/>
    <n v="3"/>
    <n v="2024"/>
  </r>
  <r>
    <s v="ORD-202410004"/>
    <s v="2024-03-19 19:56"/>
    <s v="Robert Murphy"/>
    <s v="vshaffer@example.org"/>
    <x v="7"/>
    <x v="1"/>
    <x v="13"/>
    <x v="0"/>
    <s v="Cash"/>
    <s v="Returned"/>
    <n v="2"/>
    <n v="382.1"/>
    <n v="0.1"/>
    <x v="0"/>
    <s v="MY"/>
    <n v="0.06"/>
    <n v="45000"/>
    <n v="764.2"/>
    <n v="76.42"/>
    <n v="687.78000000000009"/>
    <n v="160"/>
    <n v="527.78000000000009"/>
    <x v="7"/>
    <n v="1"/>
    <n v="2024"/>
  </r>
  <r>
    <s v="ORD-202461211"/>
    <s v="2024-01-29 03:19"/>
    <s v="Claudia Rodriguez"/>
    <s v="taragonzales@example.com"/>
    <x v="8"/>
    <x v="2"/>
    <x v="21"/>
    <x v="1"/>
    <s v="Cash"/>
    <s v="Completed"/>
    <n v="9"/>
    <n v="1233.0999999999999"/>
    <n v="0.05"/>
    <x v="3"/>
    <s v="JP"/>
    <n v="0.1"/>
    <n v="35000"/>
    <n v="11097.9"/>
    <n v="554.89499999999998"/>
    <n v="10543.004999999999"/>
    <n v="1350"/>
    <n v="9193.0049999999992"/>
    <x v="1"/>
    <n v="1"/>
    <n v="2024"/>
  </r>
  <r>
    <s v="ORD-202466669"/>
    <s v="2024-03-15 20:01"/>
    <s v="Amy Ferguson"/>
    <s v="stewartrodney@example.net"/>
    <x v="2"/>
    <x v="0"/>
    <x v="0"/>
    <x v="1"/>
    <s v="Bank Transfer"/>
    <s v="Cancelled"/>
    <n v="9"/>
    <n v="268.60000000000002"/>
    <n v="0"/>
    <x v="0"/>
    <s v="SG"/>
    <n v="7.0000000000000007E-2"/>
    <n v="40000"/>
    <n v="2417.4"/>
    <n v="0"/>
    <n v="2417.4"/>
    <n v="1080"/>
    <n v="1337.4"/>
    <x v="7"/>
    <n v="1"/>
    <n v="2024"/>
  </r>
  <r>
    <s v="ORD-202447938"/>
    <s v="2024-12-07 03:37"/>
    <s v="Donald Mueller"/>
    <s v="michaelbaldwin@example.com"/>
    <x v="9"/>
    <x v="4"/>
    <x v="23"/>
    <x v="1"/>
    <s v="Bank Transfer"/>
    <s v="Pending"/>
    <n v="2"/>
    <n v="595.91999999999996"/>
    <n v="0.1"/>
    <x v="3"/>
    <s v="KR"/>
    <n v="0.1"/>
    <n v="30000"/>
    <n v="1191.8399999999999"/>
    <n v="119.184"/>
    <n v="1072.6559999999999"/>
    <n v="400"/>
    <n v="672.65599999999995"/>
    <x v="10"/>
    <n v="4"/>
    <n v="2024"/>
  </r>
  <r>
    <s v="ORD-202413666"/>
    <s v="2024-05-25 14:07"/>
    <s v="Walter Obrien"/>
    <s v="vazquezkristina@example.org"/>
    <x v="6"/>
    <x v="2"/>
    <x v="11"/>
    <x v="1"/>
    <s v="Credit Card"/>
    <s v="Cancelled"/>
    <n v="1"/>
    <n v="877.1"/>
    <n v="0.2"/>
    <x v="2"/>
    <s v="IN"/>
    <n v="0.18"/>
    <n v="35000"/>
    <n v="877.1"/>
    <n v="175.42000000000002"/>
    <n v="701.68000000000006"/>
    <n v="150"/>
    <n v="551.68000000000006"/>
    <x v="2"/>
    <n v="2"/>
    <n v="2024"/>
  </r>
  <r>
    <s v="ORD-202428258"/>
    <s v="2024-08-27 23:29"/>
    <s v="James Fowler"/>
    <s v="rebecca18@example.org"/>
    <x v="0"/>
    <x v="3"/>
    <x v="7"/>
    <x v="2"/>
    <s v="Cash"/>
    <s v="Returned"/>
    <n v="9"/>
    <n v="546.26"/>
    <n v="0"/>
    <x v="0"/>
    <s v="VN"/>
    <n v="0.1"/>
    <n v="50000"/>
    <n v="4916.34"/>
    <n v="0"/>
    <n v="4916.34"/>
    <n v="4050"/>
    <n v="866.34000000000015"/>
    <x v="5"/>
    <n v="3"/>
    <n v="2024"/>
  </r>
  <r>
    <s v="ORD-202477245"/>
    <s v="2024-02-02 05:41"/>
    <s v="Jasmine Browning"/>
    <s v="qpennington@example.com"/>
    <x v="2"/>
    <x v="4"/>
    <x v="6"/>
    <x v="2"/>
    <s v="Bank Transfer"/>
    <s v="Completed"/>
    <n v="3"/>
    <n v="518.85"/>
    <n v="0.05"/>
    <x v="0"/>
    <s v="SG"/>
    <n v="7.0000000000000007E-2"/>
    <n v="30000"/>
    <n v="1556.5500000000002"/>
    <n v="77.827500000000015"/>
    <n v="1478.7225000000001"/>
    <n v="600"/>
    <n v="878.72250000000008"/>
    <x v="0"/>
    <n v="1"/>
    <n v="2024"/>
  </r>
  <r>
    <s v="ORD-202494559"/>
    <s v="2024-09-04 12:30"/>
    <s v="Rodney Young"/>
    <s v="michelemartin@example.com"/>
    <x v="6"/>
    <x v="0"/>
    <x v="12"/>
    <x v="2"/>
    <s v="Debit Card"/>
    <s v="Cancelled"/>
    <n v="9"/>
    <n v="1067.1199999999999"/>
    <n v="0.2"/>
    <x v="2"/>
    <s v="IN"/>
    <n v="0.18"/>
    <n v="40000"/>
    <n v="9604.0799999999981"/>
    <n v="1920.8159999999998"/>
    <n v="7683.2639999999983"/>
    <n v="1080"/>
    <n v="6603.2639999999983"/>
    <x v="6"/>
    <n v="3"/>
    <n v="2024"/>
  </r>
  <r>
    <s v="ORD-202486116"/>
    <s v="2024-06-27 18:39"/>
    <s v="Sherry Wang"/>
    <s v="rmccormick@example.org"/>
    <x v="8"/>
    <x v="3"/>
    <x v="8"/>
    <x v="0"/>
    <s v="Credit Card"/>
    <s v="Returned"/>
    <n v="3"/>
    <n v="58.84"/>
    <n v="0"/>
    <x v="3"/>
    <s v="JP"/>
    <n v="0.1"/>
    <n v="50000"/>
    <n v="176.52"/>
    <n v="0"/>
    <n v="176.52"/>
    <n v="1350"/>
    <n v="-1173.48"/>
    <x v="8"/>
    <n v="2"/>
    <n v="2024"/>
  </r>
  <r>
    <s v="ORD-202499040"/>
    <s v="2024-08-31 10:48"/>
    <s v="Teresa Ruiz"/>
    <s v="vhouse@example.net"/>
    <x v="1"/>
    <x v="0"/>
    <x v="20"/>
    <x v="1"/>
    <s v="Bank Transfer"/>
    <s v="Completed"/>
    <n v="3"/>
    <n v="1351.19"/>
    <n v="0.2"/>
    <x v="0"/>
    <s v="TH"/>
    <n v="7.0000000000000007E-2"/>
    <n v="40000"/>
    <n v="4053.57"/>
    <n v="810.71400000000006"/>
    <n v="3242.8560000000002"/>
    <n v="360"/>
    <n v="2882.8560000000002"/>
    <x v="5"/>
    <n v="3"/>
    <n v="2024"/>
  </r>
  <r>
    <s v="ORD-202418116"/>
    <s v="2024-11-09 08:07"/>
    <s v="Thomas Garcia"/>
    <s v="hollyhunter@example.com"/>
    <x v="3"/>
    <x v="3"/>
    <x v="3"/>
    <x v="0"/>
    <s v="Debit Card"/>
    <s v="Cancelled"/>
    <n v="10"/>
    <n v="1148.58"/>
    <n v="0.2"/>
    <x v="0"/>
    <s v="ID"/>
    <n v="0.11"/>
    <n v="50000"/>
    <n v="11485.8"/>
    <n v="2297.16"/>
    <n v="9188.64"/>
    <n v="4500"/>
    <n v="4688.6399999999994"/>
    <x v="11"/>
    <n v="4"/>
    <n v="2024"/>
  </r>
  <r>
    <s v="ORD-202424111"/>
    <s v="2024-12-23 14:24"/>
    <s v="Nicholas Kelley"/>
    <s v="shawn00@example.net"/>
    <x v="2"/>
    <x v="1"/>
    <x v="1"/>
    <x v="1"/>
    <s v="E-Wallet"/>
    <s v="Pending"/>
    <n v="5"/>
    <n v="311.61"/>
    <n v="0.1"/>
    <x v="0"/>
    <s v="SG"/>
    <n v="7.0000000000000007E-2"/>
    <n v="45000"/>
    <n v="1558.0500000000002"/>
    <n v="155.80500000000004"/>
    <n v="1402.2450000000001"/>
    <n v="400"/>
    <n v="1002.2450000000001"/>
    <x v="10"/>
    <n v="4"/>
    <n v="2024"/>
  </r>
  <r>
    <s v="ORD-202436370"/>
    <s v="2024-03-23 13:52"/>
    <s v="Lorraine Gibbs"/>
    <s v="aarongonzalez@example.com"/>
    <x v="5"/>
    <x v="0"/>
    <x v="20"/>
    <x v="0"/>
    <s v="Debit Card"/>
    <s v="Completed"/>
    <n v="2"/>
    <n v="879.43"/>
    <n v="0"/>
    <x v="1"/>
    <s v="AU"/>
    <n v="0.1"/>
    <n v="40000"/>
    <n v="1758.86"/>
    <n v="0"/>
    <n v="1758.86"/>
    <n v="240"/>
    <n v="1518.86"/>
    <x v="7"/>
    <n v="1"/>
    <n v="2024"/>
  </r>
  <r>
    <s v="ORD-202457128"/>
    <s v="2024-07-27 18:34"/>
    <s v="Bradley Moore"/>
    <s v="melaniejennings@example.com"/>
    <x v="7"/>
    <x v="4"/>
    <x v="5"/>
    <x v="3"/>
    <s v="Debit Card"/>
    <s v="Returned"/>
    <n v="9"/>
    <n v="1028.31"/>
    <n v="0.1"/>
    <x v="0"/>
    <s v="MY"/>
    <n v="0.06"/>
    <n v="30000"/>
    <n v="9254.7899999999991"/>
    <n v="925.47899999999993"/>
    <n v="8329.3109999999997"/>
    <n v="1800"/>
    <n v="6529.3109999999997"/>
    <x v="3"/>
    <n v="3"/>
    <n v="2024"/>
  </r>
  <r>
    <s v="ORD-202475647"/>
    <s v="2024-06-29 11:39"/>
    <s v="Shane Anderson"/>
    <s v="graceserrano@example.com"/>
    <x v="5"/>
    <x v="0"/>
    <x v="20"/>
    <x v="0"/>
    <s v="Debit Card"/>
    <s v="Cancelled"/>
    <n v="7"/>
    <n v="666.73"/>
    <n v="0"/>
    <x v="1"/>
    <s v="AU"/>
    <n v="0.1"/>
    <n v="40000"/>
    <n v="4667.1100000000006"/>
    <n v="0"/>
    <n v="4667.1100000000006"/>
    <n v="840"/>
    <n v="3827.1100000000006"/>
    <x v="8"/>
    <n v="2"/>
    <n v="2024"/>
  </r>
  <r>
    <s v="ORD-202423226"/>
    <s v="2024-03-01 15:14"/>
    <s v="Jason White"/>
    <s v="kduffy@example.org"/>
    <x v="3"/>
    <x v="1"/>
    <x v="1"/>
    <x v="2"/>
    <s v="Bank Transfer"/>
    <s v="Cancelled"/>
    <n v="4"/>
    <n v="506.42"/>
    <n v="0.05"/>
    <x v="0"/>
    <s v="ID"/>
    <n v="0.11"/>
    <n v="45000"/>
    <n v="2025.68"/>
    <n v="101.28400000000001"/>
    <n v="1924.396"/>
    <n v="320"/>
    <n v="1604.396"/>
    <x v="7"/>
    <n v="1"/>
    <n v="2024"/>
  </r>
  <r>
    <s v="ORD-202418906"/>
    <s v="2024-03-21 09:04"/>
    <s v="Alexander Hansen"/>
    <s v="rebeccamccann@example.org"/>
    <x v="5"/>
    <x v="1"/>
    <x v="9"/>
    <x v="2"/>
    <s v="Bank Transfer"/>
    <s v="Completed"/>
    <n v="10"/>
    <n v="1281.99"/>
    <n v="0.15"/>
    <x v="1"/>
    <s v="AU"/>
    <n v="0.1"/>
    <n v="45000"/>
    <n v="12819.9"/>
    <n v="1922.9849999999999"/>
    <n v="10896.914999999999"/>
    <n v="800"/>
    <n v="10096.914999999999"/>
    <x v="7"/>
    <n v="1"/>
    <n v="2024"/>
  </r>
  <r>
    <s v="ORD-202481557"/>
    <s v="2024-12-23 03:37"/>
    <s v="Samuel Williams"/>
    <s v="jburke@example.org"/>
    <x v="9"/>
    <x v="4"/>
    <x v="16"/>
    <x v="3"/>
    <s v="E-Wallet"/>
    <s v="Completed"/>
    <n v="7"/>
    <n v="62.93"/>
    <n v="0.05"/>
    <x v="3"/>
    <s v="KR"/>
    <n v="0.1"/>
    <n v="30000"/>
    <n v="440.51"/>
    <n v="22.025500000000001"/>
    <n v="418.48449999999997"/>
    <n v="1400"/>
    <n v="-981.51549999999997"/>
    <x v="10"/>
    <n v="4"/>
    <n v="2024"/>
  </r>
  <r>
    <s v="ORD-202428256"/>
    <s v="2024-04-14 17:52"/>
    <s v="Carolyn Bradley"/>
    <s v="higginsryan@example.com"/>
    <x v="4"/>
    <x v="3"/>
    <x v="7"/>
    <x v="0"/>
    <s v="E-Wallet"/>
    <s v="Completed"/>
    <n v="10"/>
    <n v="747.93"/>
    <n v="0.15"/>
    <x v="0"/>
    <s v="PH"/>
    <n v="0.12"/>
    <n v="50000"/>
    <n v="7479.2999999999993"/>
    <n v="1121.8949999999998"/>
    <n v="6357.4049999999997"/>
    <n v="4500"/>
    <n v="1857.4049999999997"/>
    <x v="4"/>
    <n v="2"/>
    <n v="2024"/>
  </r>
  <r>
    <s v="ORD-202464557"/>
    <s v="2024-11-02 23:39"/>
    <s v="Kathleen Walker"/>
    <s v="jamesatkins@example.com"/>
    <x v="7"/>
    <x v="1"/>
    <x v="24"/>
    <x v="0"/>
    <s v="Credit Card"/>
    <s v="Completed"/>
    <n v="5"/>
    <n v="1420.7"/>
    <n v="0.2"/>
    <x v="0"/>
    <s v="MY"/>
    <n v="0.06"/>
    <n v="45000"/>
    <n v="7103.5"/>
    <n v="1420.7"/>
    <n v="5682.8"/>
    <n v="400"/>
    <n v="5282.8"/>
    <x v="11"/>
    <n v="4"/>
    <n v="2024"/>
  </r>
  <r>
    <s v="ORD-202475089"/>
    <s v="2024-09-16 07:41"/>
    <s v="Johnny Anderson"/>
    <s v="carolcarney@example.com"/>
    <x v="4"/>
    <x v="2"/>
    <x v="17"/>
    <x v="0"/>
    <s v="Credit Card"/>
    <s v="Pending"/>
    <n v="4"/>
    <n v="465.58"/>
    <n v="0"/>
    <x v="0"/>
    <s v="PH"/>
    <n v="0.12"/>
    <n v="35000"/>
    <n v="1862.32"/>
    <n v="0"/>
    <n v="1862.32"/>
    <n v="600"/>
    <n v="1262.32"/>
    <x v="6"/>
    <n v="3"/>
    <n v="2024"/>
  </r>
  <r>
    <s v="ORD-202480016"/>
    <s v="2024-11-07 12:43"/>
    <s v="Chelsey White"/>
    <s v="anthonycherry@example.org"/>
    <x v="3"/>
    <x v="1"/>
    <x v="24"/>
    <x v="3"/>
    <s v="Bank Transfer"/>
    <s v="Returned"/>
    <n v="7"/>
    <n v="92.43"/>
    <n v="0.2"/>
    <x v="0"/>
    <s v="ID"/>
    <n v="0.11"/>
    <n v="45000"/>
    <n v="647.01"/>
    <n v="129.40200000000002"/>
    <n v="517.60799999999995"/>
    <n v="560"/>
    <n v="-42.392000000000053"/>
    <x v="11"/>
    <n v="4"/>
    <n v="2024"/>
  </r>
  <r>
    <s v="ORD-202482029"/>
    <s v="2024-03-11 03:28"/>
    <s v="Susan Wood"/>
    <s v="emiller@example.org"/>
    <x v="7"/>
    <x v="1"/>
    <x v="22"/>
    <x v="0"/>
    <s v="Debit Card"/>
    <s v="Pending"/>
    <n v="6"/>
    <n v="537.41"/>
    <n v="0.1"/>
    <x v="0"/>
    <s v="MY"/>
    <n v="0.06"/>
    <n v="45000"/>
    <n v="3224.46"/>
    <n v="322.44600000000003"/>
    <n v="2902.0140000000001"/>
    <n v="480"/>
    <n v="2422.0140000000001"/>
    <x v="7"/>
    <n v="1"/>
    <n v="2024"/>
  </r>
  <r>
    <s v="ORD-202422057"/>
    <s v="2024-10-28 00:14"/>
    <s v="Valerie Sanders"/>
    <s v="jennifererickson@example.net"/>
    <x v="8"/>
    <x v="1"/>
    <x v="1"/>
    <x v="3"/>
    <s v="Credit Card"/>
    <s v="Completed"/>
    <n v="1"/>
    <n v="82.98"/>
    <n v="0.2"/>
    <x v="3"/>
    <s v="JP"/>
    <n v="0.1"/>
    <n v="45000"/>
    <n v="82.98"/>
    <n v="16.596"/>
    <n v="66.384"/>
    <n v="80"/>
    <n v="-13.616"/>
    <x v="9"/>
    <n v="4"/>
    <n v="2024"/>
  </r>
  <r>
    <s v="ORD-202417425"/>
    <s v="2024-03-05 14:11"/>
    <s v="Angel Hawkins"/>
    <s v="cookjimmy@example.com"/>
    <x v="0"/>
    <x v="3"/>
    <x v="14"/>
    <x v="3"/>
    <s v="Cash"/>
    <s v="Returned"/>
    <n v="4"/>
    <n v="534.26"/>
    <n v="0.05"/>
    <x v="0"/>
    <s v="VN"/>
    <n v="0.1"/>
    <n v="50000"/>
    <n v="2137.04"/>
    <n v="106.852"/>
    <n v="2030.1879999999999"/>
    <n v="1800"/>
    <n v="230.18799999999987"/>
    <x v="7"/>
    <n v="1"/>
    <n v="2024"/>
  </r>
  <r>
    <s v="ORD-202472744"/>
    <s v="2024-12-02 03:42"/>
    <s v="Teresa Coffey DDS"/>
    <s v="smithwilliam@example.com"/>
    <x v="7"/>
    <x v="3"/>
    <x v="14"/>
    <x v="2"/>
    <s v="Debit Card"/>
    <s v="Returned"/>
    <n v="4"/>
    <n v="1408.48"/>
    <n v="0.1"/>
    <x v="0"/>
    <s v="MY"/>
    <n v="0.06"/>
    <n v="50000"/>
    <n v="5633.92"/>
    <n v="563.39200000000005"/>
    <n v="5070.5280000000002"/>
    <n v="1800"/>
    <n v="3270.5280000000002"/>
    <x v="10"/>
    <n v="4"/>
    <n v="2024"/>
  </r>
  <r>
    <s v="ORD-202449677"/>
    <s v="2024-07-06 17:18"/>
    <s v="James Wood"/>
    <s v="carpenterjorge@example.net"/>
    <x v="1"/>
    <x v="1"/>
    <x v="22"/>
    <x v="0"/>
    <s v="Credit Card"/>
    <s v="Cancelled"/>
    <n v="9"/>
    <n v="488.51"/>
    <n v="0.15"/>
    <x v="0"/>
    <s v="TH"/>
    <n v="7.0000000000000007E-2"/>
    <n v="45000"/>
    <n v="4396.59"/>
    <n v="659.48850000000004"/>
    <n v="3737.1015000000002"/>
    <n v="720"/>
    <n v="3017.1015000000002"/>
    <x v="3"/>
    <n v="3"/>
    <n v="2024"/>
  </r>
  <r>
    <s v="ORD-202463848"/>
    <s v="2024-12-27 19:31"/>
    <s v="Gerald Mcdonald Jr."/>
    <s v="hthomas@example.com"/>
    <x v="0"/>
    <x v="3"/>
    <x v="7"/>
    <x v="2"/>
    <s v="Cash"/>
    <s v="Pending"/>
    <n v="9"/>
    <n v="1369.39"/>
    <n v="0"/>
    <x v="0"/>
    <s v="VN"/>
    <n v="0.1"/>
    <n v="50000"/>
    <n v="12324.51"/>
    <n v="0"/>
    <n v="12324.51"/>
    <n v="4050"/>
    <n v="8274.51"/>
    <x v="10"/>
    <n v="4"/>
    <n v="2024"/>
  </r>
  <r>
    <s v="ORD-202426088"/>
    <s v="2024-07-09 23:52"/>
    <s v="Carl Savage"/>
    <s v="julie64@example.com"/>
    <x v="2"/>
    <x v="3"/>
    <x v="7"/>
    <x v="0"/>
    <s v="Bank Transfer"/>
    <s v="Completed"/>
    <n v="8"/>
    <n v="1052.04"/>
    <n v="0"/>
    <x v="0"/>
    <s v="SG"/>
    <n v="7.0000000000000007E-2"/>
    <n v="50000"/>
    <n v="8416.32"/>
    <n v="0"/>
    <n v="8416.32"/>
    <n v="3600"/>
    <n v="4816.32"/>
    <x v="3"/>
    <n v="3"/>
    <n v="2024"/>
  </r>
  <r>
    <s v="ORD-202445428"/>
    <s v="2024-05-22 18:24"/>
    <s v="Pam Baker"/>
    <s v="ryan25@example.net"/>
    <x v="0"/>
    <x v="3"/>
    <x v="8"/>
    <x v="1"/>
    <s v="Credit Card"/>
    <s v="Returned"/>
    <n v="10"/>
    <n v="429.45"/>
    <n v="0.1"/>
    <x v="0"/>
    <s v="VN"/>
    <n v="0.1"/>
    <n v="50000"/>
    <n v="4294.5"/>
    <n v="429.45000000000005"/>
    <n v="3865.05"/>
    <n v="4500"/>
    <n v="-634.94999999999982"/>
    <x v="2"/>
    <n v="2"/>
    <n v="2024"/>
  </r>
  <r>
    <s v="ORD-202460418"/>
    <s v="2024-08-15 01:14"/>
    <s v="Pamela Hernandez DVM"/>
    <s v="jbrown@example.org"/>
    <x v="1"/>
    <x v="2"/>
    <x v="21"/>
    <x v="2"/>
    <s v="Credit Card"/>
    <s v="Cancelled"/>
    <n v="9"/>
    <n v="994.99"/>
    <n v="0"/>
    <x v="0"/>
    <s v="TH"/>
    <n v="7.0000000000000007E-2"/>
    <n v="35000"/>
    <n v="8954.91"/>
    <n v="0"/>
    <n v="8954.91"/>
    <n v="1350"/>
    <n v="7604.91"/>
    <x v="5"/>
    <n v="3"/>
    <n v="2024"/>
  </r>
  <r>
    <s v="ORD-202413406"/>
    <s v="2024-11-07 10:59"/>
    <s v="Andrew Green"/>
    <s v="fgraham@example.org"/>
    <x v="0"/>
    <x v="1"/>
    <x v="9"/>
    <x v="1"/>
    <s v="Bank Transfer"/>
    <s v="Completed"/>
    <n v="6"/>
    <n v="1139.52"/>
    <n v="0.2"/>
    <x v="0"/>
    <s v="VN"/>
    <n v="0.1"/>
    <n v="45000"/>
    <n v="6837.12"/>
    <n v="1367.424"/>
    <n v="5469.6959999999999"/>
    <n v="480"/>
    <n v="4989.6959999999999"/>
    <x v="11"/>
    <n v="4"/>
    <n v="2024"/>
  </r>
  <r>
    <s v="ORD-202424314"/>
    <s v="2024-10-10 12:46"/>
    <s v="William Hoffman"/>
    <s v="uvasquez@example.org"/>
    <x v="0"/>
    <x v="1"/>
    <x v="24"/>
    <x v="2"/>
    <s v="Debit Card"/>
    <s v="Returned"/>
    <n v="10"/>
    <n v="644.4"/>
    <n v="0.15"/>
    <x v="0"/>
    <s v="VN"/>
    <n v="0.1"/>
    <n v="45000"/>
    <n v="6444"/>
    <n v="966.59999999999991"/>
    <n v="5477.4"/>
    <n v="800"/>
    <n v="4677.3999999999996"/>
    <x v="9"/>
    <n v="4"/>
    <n v="2024"/>
  </r>
  <r>
    <s v="ORD-202471254"/>
    <s v="2024-05-01 04:58"/>
    <s v="Brandon Oneill"/>
    <s v="marybrady@example.com"/>
    <x v="3"/>
    <x v="4"/>
    <x v="23"/>
    <x v="2"/>
    <s v="E-Wallet"/>
    <s v="Returned"/>
    <n v="4"/>
    <n v="142.02000000000001"/>
    <n v="0.15"/>
    <x v="0"/>
    <s v="ID"/>
    <n v="0.11"/>
    <n v="30000"/>
    <n v="568.08000000000004"/>
    <n v="85.212000000000003"/>
    <n v="482.86800000000005"/>
    <n v="800"/>
    <n v="-317.13199999999995"/>
    <x v="2"/>
    <n v="2"/>
    <n v="2024"/>
  </r>
  <r>
    <s v="ORD-202415060"/>
    <s v="2024-11-11 08:23"/>
    <s v="Mary Lewis"/>
    <s v="foxashley@example.com"/>
    <x v="0"/>
    <x v="4"/>
    <x v="6"/>
    <x v="2"/>
    <s v="E-Wallet"/>
    <s v="Pending"/>
    <n v="5"/>
    <n v="33.32"/>
    <n v="0.15"/>
    <x v="0"/>
    <s v="VN"/>
    <n v="0.1"/>
    <n v="30000"/>
    <n v="166.6"/>
    <n v="24.99"/>
    <n v="141.60999999999999"/>
    <n v="1000"/>
    <n v="-858.39"/>
    <x v="11"/>
    <n v="4"/>
    <n v="2024"/>
  </r>
  <r>
    <s v="ORD-202468170"/>
    <s v="2024-08-24 00:28"/>
    <s v="Danielle Jimenez"/>
    <s v="clayanthony@example.net"/>
    <x v="3"/>
    <x v="2"/>
    <x v="11"/>
    <x v="3"/>
    <s v="Bank Transfer"/>
    <s v="Completed"/>
    <n v="8"/>
    <n v="1449.34"/>
    <n v="0.2"/>
    <x v="0"/>
    <s v="ID"/>
    <n v="0.11"/>
    <n v="35000"/>
    <n v="11594.72"/>
    <n v="2318.944"/>
    <n v="9275.7759999999998"/>
    <n v="1200"/>
    <n v="8075.7759999999998"/>
    <x v="5"/>
    <n v="3"/>
    <n v="2024"/>
  </r>
  <r>
    <s v="ORD-202485965"/>
    <s v="2024-02-10 08:57"/>
    <s v="Mrs. Jacqueline Hickman"/>
    <s v="hooderic@example.org"/>
    <x v="6"/>
    <x v="1"/>
    <x v="22"/>
    <x v="2"/>
    <s v="E-Wallet"/>
    <s v="Cancelled"/>
    <n v="8"/>
    <n v="1430.64"/>
    <n v="0"/>
    <x v="2"/>
    <s v="IN"/>
    <n v="0.18"/>
    <n v="45000"/>
    <n v="11445.12"/>
    <n v="0"/>
    <n v="11445.12"/>
    <n v="640"/>
    <n v="10805.12"/>
    <x v="0"/>
    <n v="1"/>
    <n v="2024"/>
  </r>
  <r>
    <s v="ORD-202474871"/>
    <s v="2024-03-06 07:40"/>
    <s v="Michael Castillo"/>
    <s v="brooke05@example.org"/>
    <x v="2"/>
    <x v="0"/>
    <x v="12"/>
    <x v="0"/>
    <s v="Debit Card"/>
    <s v="Returned"/>
    <n v="4"/>
    <n v="989.13"/>
    <n v="0"/>
    <x v="0"/>
    <s v="SG"/>
    <n v="7.0000000000000007E-2"/>
    <n v="40000"/>
    <n v="3956.52"/>
    <n v="0"/>
    <n v="3956.52"/>
    <n v="480"/>
    <n v="3476.52"/>
    <x v="7"/>
    <n v="1"/>
    <n v="2024"/>
  </r>
  <r>
    <s v="ORD-202486007"/>
    <s v="2024-06-11 01:35"/>
    <s v="Tiffany Nguyen"/>
    <s v="jasonwilliams@example.net"/>
    <x v="1"/>
    <x v="3"/>
    <x v="14"/>
    <x v="2"/>
    <s v="Cash"/>
    <s v="Completed"/>
    <n v="1"/>
    <n v="1463.29"/>
    <n v="0.2"/>
    <x v="0"/>
    <s v="TH"/>
    <n v="7.0000000000000007E-2"/>
    <n v="50000"/>
    <n v="1463.29"/>
    <n v="292.65800000000002"/>
    <n v="1170.6320000000001"/>
    <n v="450"/>
    <n v="720.63200000000006"/>
    <x v="8"/>
    <n v="2"/>
    <n v="2024"/>
  </r>
  <r>
    <s v="ORD-202488719"/>
    <s v="2024-04-30 11:06"/>
    <s v="Robert Manning"/>
    <s v="qdavis@example.org"/>
    <x v="7"/>
    <x v="1"/>
    <x v="24"/>
    <x v="3"/>
    <s v="E-Wallet"/>
    <s v="Cancelled"/>
    <n v="2"/>
    <n v="183.08"/>
    <n v="0"/>
    <x v="0"/>
    <s v="MY"/>
    <n v="0.06"/>
    <n v="45000"/>
    <n v="366.16"/>
    <n v="0"/>
    <n v="366.16"/>
    <n v="160"/>
    <n v="206.16000000000003"/>
    <x v="4"/>
    <n v="2"/>
    <n v="2024"/>
  </r>
  <r>
    <s v="ORD-202499262"/>
    <s v="2024-07-31 02:41"/>
    <s v="Randy Ross"/>
    <s v="phelpsfrank@example.com"/>
    <x v="8"/>
    <x v="4"/>
    <x v="5"/>
    <x v="2"/>
    <s v="Bank Transfer"/>
    <s v="Cancelled"/>
    <n v="10"/>
    <n v="51.67"/>
    <n v="0.05"/>
    <x v="3"/>
    <s v="JP"/>
    <n v="0.1"/>
    <n v="30000"/>
    <n v="516.70000000000005"/>
    <n v="25.835000000000004"/>
    <n v="490.86500000000007"/>
    <n v="2000"/>
    <n v="-1509.135"/>
    <x v="3"/>
    <n v="3"/>
    <n v="2024"/>
  </r>
  <r>
    <s v="ORD-202471693"/>
    <s v="2024-05-30 19:01"/>
    <s v="Paul Valdez"/>
    <s v="evanslaurie@example.net"/>
    <x v="2"/>
    <x v="4"/>
    <x v="16"/>
    <x v="0"/>
    <s v="Credit Card"/>
    <s v="Pending"/>
    <n v="3"/>
    <n v="446.95"/>
    <n v="0.15"/>
    <x v="0"/>
    <s v="SG"/>
    <n v="7.0000000000000007E-2"/>
    <n v="30000"/>
    <n v="1340.85"/>
    <n v="201.12749999999997"/>
    <n v="1139.7224999999999"/>
    <n v="600"/>
    <n v="539.72249999999985"/>
    <x v="2"/>
    <n v="2"/>
    <n v="2024"/>
  </r>
  <r>
    <s v="ORD-202451039"/>
    <s v="2024-09-18 22:49"/>
    <s v="Emily Cohen"/>
    <s v="michaeldavis@example.com"/>
    <x v="5"/>
    <x v="1"/>
    <x v="22"/>
    <x v="0"/>
    <s v="Debit Card"/>
    <s v="Returned"/>
    <n v="7"/>
    <n v="1410.81"/>
    <n v="0.15"/>
    <x v="1"/>
    <s v="AU"/>
    <n v="0.1"/>
    <n v="45000"/>
    <n v="9875.67"/>
    <n v="1481.3505"/>
    <n v="8394.3194999999996"/>
    <n v="560"/>
    <n v="7834.3194999999996"/>
    <x v="6"/>
    <n v="3"/>
    <n v="2024"/>
  </r>
  <r>
    <s v="ORD-202495093"/>
    <s v="2024-02-10 02:59"/>
    <s v="Katherine Mcclure"/>
    <s v="madams@example.com"/>
    <x v="1"/>
    <x v="1"/>
    <x v="1"/>
    <x v="1"/>
    <s v="Cash"/>
    <s v="Completed"/>
    <n v="9"/>
    <n v="1496.75"/>
    <n v="0.2"/>
    <x v="0"/>
    <s v="TH"/>
    <n v="7.0000000000000007E-2"/>
    <n v="45000"/>
    <n v="13470.75"/>
    <n v="2694.15"/>
    <n v="10776.6"/>
    <n v="720"/>
    <n v="10056.6"/>
    <x v="0"/>
    <n v="1"/>
    <n v="2024"/>
  </r>
  <r>
    <s v="ORD-202479174"/>
    <s v="2024-01-27 19:30"/>
    <s v="Jay Richardson"/>
    <s v="ryansimmons@example.org"/>
    <x v="5"/>
    <x v="1"/>
    <x v="24"/>
    <x v="2"/>
    <s v="Debit Card"/>
    <s v="Cancelled"/>
    <n v="4"/>
    <n v="485.65"/>
    <n v="0.15"/>
    <x v="1"/>
    <s v="AU"/>
    <n v="0.1"/>
    <n v="45000"/>
    <n v="1942.6"/>
    <n v="291.39"/>
    <n v="1651.21"/>
    <n v="320"/>
    <n v="1331.21"/>
    <x v="1"/>
    <n v="1"/>
    <n v="2024"/>
  </r>
  <r>
    <s v="ORD-202441860"/>
    <s v="2024-07-04 07:29"/>
    <s v="Valerie Rhodes"/>
    <s v="sarahrose@example.net"/>
    <x v="4"/>
    <x v="3"/>
    <x v="7"/>
    <x v="0"/>
    <s v="E-Wallet"/>
    <s v="Completed"/>
    <n v="7"/>
    <n v="675.84"/>
    <n v="0.05"/>
    <x v="0"/>
    <s v="PH"/>
    <n v="0.12"/>
    <n v="50000"/>
    <n v="4730.88"/>
    <n v="236.54400000000001"/>
    <n v="4494.3360000000002"/>
    <n v="3150"/>
    <n v="1344.3360000000002"/>
    <x v="3"/>
    <n v="3"/>
    <n v="2024"/>
  </r>
  <r>
    <s v="ORD-202457486"/>
    <s v="2024-11-30 15:38"/>
    <s v="Donna Kim"/>
    <s v="ievans@example.net"/>
    <x v="1"/>
    <x v="2"/>
    <x v="17"/>
    <x v="3"/>
    <s v="Bank Transfer"/>
    <s v="Pending"/>
    <n v="3"/>
    <n v="356.2"/>
    <n v="0.15"/>
    <x v="0"/>
    <s v="TH"/>
    <n v="7.0000000000000007E-2"/>
    <n v="35000"/>
    <n v="1068.5999999999999"/>
    <n v="160.29"/>
    <n v="908.31"/>
    <n v="450"/>
    <n v="458.30999999999995"/>
    <x v="11"/>
    <n v="4"/>
    <n v="2024"/>
  </r>
  <r>
    <s v="ORD-202489370"/>
    <s v="2024-05-13 09:21"/>
    <s v="Sarah Mills"/>
    <s v="ashley81@example.org"/>
    <x v="4"/>
    <x v="3"/>
    <x v="8"/>
    <x v="1"/>
    <s v="Debit Card"/>
    <s v="Pending"/>
    <n v="9"/>
    <n v="621.63"/>
    <n v="0"/>
    <x v="0"/>
    <s v="PH"/>
    <n v="0.12"/>
    <n v="50000"/>
    <n v="5594.67"/>
    <n v="0"/>
    <n v="5594.67"/>
    <n v="4050"/>
    <n v="1544.67"/>
    <x v="2"/>
    <n v="2"/>
    <n v="2024"/>
  </r>
  <r>
    <s v="ORD-202469515"/>
    <s v="2024-01-08 05:07"/>
    <s v="Kayla Gutierrez"/>
    <s v="kguerrero@example.com"/>
    <x v="8"/>
    <x v="4"/>
    <x v="6"/>
    <x v="0"/>
    <s v="Debit Card"/>
    <s v="Completed"/>
    <n v="8"/>
    <n v="1071.4000000000001"/>
    <n v="0.2"/>
    <x v="3"/>
    <s v="JP"/>
    <n v="0.1"/>
    <n v="30000"/>
    <n v="8571.2000000000007"/>
    <n v="1714.2400000000002"/>
    <n v="6856.9600000000009"/>
    <n v="1600"/>
    <n v="5256.9600000000009"/>
    <x v="1"/>
    <n v="1"/>
    <n v="2024"/>
  </r>
  <r>
    <s v="ORD-202466547"/>
    <s v="2024-01-13 22:10"/>
    <s v="Kevin Mack"/>
    <s v="wilsondorothy@example.org"/>
    <x v="7"/>
    <x v="0"/>
    <x v="12"/>
    <x v="2"/>
    <s v="Debit Card"/>
    <s v="Returned"/>
    <n v="7"/>
    <n v="1302.32"/>
    <n v="0.1"/>
    <x v="0"/>
    <s v="MY"/>
    <n v="0.06"/>
    <n v="40000"/>
    <n v="9116.24"/>
    <n v="911.62400000000002"/>
    <n v="8204.616"/>
    <n v="840"/>
    <n v="7364.616"/>
    <x v="1"/>
    <n v="1"/>
    <n v="2024"/>
  </r>
  <r>
    <s v="ORD-202482999"/>
    <s v="2024-05-03 22:18"/>
    <s v="Sarah Williams"/>
    <s v="tmcdowell@example.com"/>
    <x v="7"/>
    <x v="4"/>
    <x v="23"/>
    <x v="0"/>
    <s v="Credit Card"/>
    <s v="Cancelled"/>
    <n v="10"/>
    <n v="893.34"/>
    <n v="0"/>
    <x v="0"/>
    <s v="MY"/>
    <n v="0.06"/>
    <n v="30000"/>
    <n v="8933.4"/>
    <n v="0"/>
    <n v="8933.4"/>
    <n v="2000"/>
    <n v="6933.4"/>
    <x v="2"/>
    <n v="2"/>
    <n v="2024"/>
  </r>
  <r>
    <s v="ORD-202468837"/>
    <s v="2024-07-28 20:28"/>
    <s v="Jordan Santiago"/>
    <s v="matthew23@example.org"/>
    <x v="8"/>
    <x v="4"/>
    <x v="19"/>
    <x v="0"/>
    <s v="Debit Card"/>
    <s v="Completed"/>
    <n v="3"/>
    <n v="1054.67"/>
    <n v="0.2"/>
    <x v="3"/>
    <s v="JP"/>
    <n v="0.1"/>
    <n v="30000"/>
    <n v="3164.01"/>
    <n v="632.80200000000013"/>
    <n v="2531.2080000000001"/>
    <n v="600"/>
    <n v="1931.2080000000001"/>
    <x v="3"/>
    <n v="3"/>
    <n v="2024"/>
  </r>
  <r>
    <s v="ORD-202487798"/>
    <s v="2024-10-30 11:43"/>
    <s v="William Green"/>
    <s v="hamiltonandrew@example.com"/>
    <x v="9"/>
    <x v="2"/>
    <x v="2"/>
    <x v="2"/>
    <s v="Credit Card"/>
    <s v="Pending"/>
    <n v="9"/>
    <n v="666.3"/>
    <n v="0.2"/>
    <x v="3"/>
    <s v="KR"/>
    <n v="0.1"/>
    <n v="35000"/>
    <n v="5996.7"/>
    <n v="1199.3399999999999"/>
    <n v="4797.3599999999997"/>
    <n v="1350"/>
    <n v="3447.3599999999997"/>
    <x v="9"/>
    <n v="4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CD5E8-266C-4FFF-97E6-A48AD7290879}" name="PivotTable7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3:B14" firstHeaderRow="1" firstDataRow="1" firstDataCol="1"/>
  <pivotFields count="25">
    <pivotField showAll="0"/>
    <pivotField showAll="0"/>
    <pivotField showAll="0"/>
    <pivotField showAll="0"/>
    <pivotField axis="axisRow" showAll="0">
      <items count="11">
        <item x="5"/>
        <item x="6"/>
        <item x="3"/>
        <item x="8"/>
        <item x="7"/>
        <item x="4"/>
        <item x="2"/>
        <item x="9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Net_Sales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A1848-1B13-497E-83A5-14FEDA847147}" name="PivotTable8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3:B1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1"/>
        <item x="0"/>
        <item x="7"/>
        <item x="4"/>
        <item x="2"/>
        <item x="8"/>
        <item x="3"/>
        <item x="5"/>
        <item x="6"/>
        <item x="9"/>
        <item x="11"/>
        <item x="10"/>
        <item t="default"/>
      </items>
    </pivotField>
    <pivotField showAll="0"/>
    <pivotField showAll="0"/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_Sales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6812F-D42C-4C7A-A9EF-BF0664843341}" name="PivotTable9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F10" firstHeaderRow="1" firstDataRow="2" firstDataCol="1"/>
  <pivotFields count="25"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Sales" fld="19" baseField="0" baseItem="0"/>
  </dataFields>
  <chartFormats count="28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2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10" format="30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10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0"/>
          </reference>
        </references>
      </pivotArea>
    </chartFormat>
    <chartFormat chart="10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7" count="1" selected="0">
            <x v="0"/>
          </reference>
        </references>
      </pivotArea>
    </chartFormat>
    <chartFormat chart="10" format="3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7" count="1" selected="0">
            <x v="0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3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10" format="3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10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1"/>
          </reference>
        </references>
      </pivotArea>
    </chartFormat>
    <chartFormat chart="10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7" count="1" selected="0">
            <x v="1"/>
          </reference>
        </references>
      </pivotArea>
    </chartFormat>
    <chartFormat chart="10" format="39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7" count="1" selected="0">
            <x v="1"/>
          </reference>
        </references>
      </pivotArea>
    </chartFormat>
    <chartFormat chart="10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4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10" format="4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10" format="4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2"/>
          </reference>
        </references>
      </pivotArea>
    </chartFormat>
    <chartFormat chart="10" format="4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7" count="1" selected="0">
            <x v="2"/>
          </reference>
        </references>
      </pivotArea>
    </chartFormat>
    <chartFormat chart="10" format="45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7" count="1" selected="0">
            <x v="2"/>
          </reference>
        </references>
      </pivotArea>
    </chartFormat>
    <chartFormat chart="10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4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10" format="4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  <chartFormat chart="10" format="49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 selected="0">
            <x v="3"/>
          </reference>
        </references>
      </pivotArea>
    </chartFormat>
    <chartFormat chart="10" format="50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7" count="1" selected="0">
            <x v="3"/>
          </reference>
        </references>
      </pivotArea>
    </chartFormat>
    <chartFormat chart="10" format="5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2310C-C70C-4E83-AD14-2A7930C1ADF5}" name="PivotTable10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1">
  <location ref="A3:C9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6">
        <item x="2"/>
        <item x="16"/>
        <item x="6"/>
        <item x="21"/>
        <item x="22"/>
        <item x="18"/>
        <item x="12"/>
        <item x="3"/>
        <item x="4"/>
        <item x="0"/>
        <item x="19"/>
        <item x="8"/>
        <item x="13"/>
        <item x="9"/>
        <item x="5"/>
        <item x="1"/>
        <item x="7"/>
        <item x="10"/>
        <item x="15"/>
        <item x="24"/>
        <item x="14"/>
        <item x="17"/>
        <item x="20"/>
        <item x="23"/>
        <item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16"/>
    </i>
    <i>
      <x v="2"/>
    </i>
    <i>
      <x v="4"/>
    </i>
    <i>
      <x v="7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0" baseField="0" baseItem="0"/>
    <dataField name="Sum of Net_Sales" fld="19" baseField="0" baseItem="0"/>
  </dataFields>
  <chartFormats count="1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3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10" format="5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5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0" format="56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10" format="57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9">
      <pivotArea type="data" outline="0" fieldPosition="0">
        <references count="2">
          <reference field="4294967294" count="1" selected="0">
            <x v="1"/>
          </reference>
          <reference field="6" count="1" selected="0">
            <x v="16"/>
          </reference>
        </references>
      </pivotArea>
    </chartFormat>
    <chartFormat chart="10" format="60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0" format="61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10" format="62">
      <pivotArea type="data" outline="0" fieldPosition="0">
        <references count="2">
          <reference field="4294967294" count="1" selected="0">
            <x v="1"/>
          </reference>
          <reference field="6" count="1" selected="0">
            <x v="18"/>
          </reference>
        </references>
      </pivotArea>
    </chartFormat>
    <chartFormat chart="10" format="63">
      <pivotArea type="data" outline="0" fieldPosition="0">
        <references count="2">
          <reference field="4294967294" count="1" selected="0">
            <x v="1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4F329-08C4-411D-834F-0808243C8AAB}" name="PivotTable11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2">
  <location ref="A3:C8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1" baseField="0" baseItem="0"/>
    <dataField name="Average of Discount_Rate" fld="12" subtotal="average" baseField="13" baseItem="0"/>
  </dataFields>
  <chartFormats count="1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0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05642-CE4E-4EF6-8F51-1D87440F1130}" name="Table1" displayName="Table1" ref="A1:Y1001" totalsRowShown="0" headerRowDxfId="13" headerRowBorderDxfId="14" tableBorderDxfId="15">
  <autoFilter ref="A1:Y1001" xr:uid="{F4805642-CE4E-4EF6-8F51-1D87440F1130}"/>
  <tableColumns count="25">
    <tableColumn id="1" xr3:uid="{47526953-6D59-44D8-8515-7F3341447E1E}" name="Order_ID"/>
    <tableColumn id="2" xr3:uid="{D6552863-99A4-42E2-A2C1-353BC96929AB}" name="Order_Date"/>
    <tableColumn id="3" xr3:uid="{397E4D5C-5C59-4B1E-8A7A-1440F6BAB179}" name="Customer_Name"/>
    <tableColumn id="4" xr3:uid="{125F06EC-1F2F-4549-8356-8FA33002A504}" name="Customer_Email"/>
    <tableColumn id="5" xr3:uid="{F09F1613-C9F6-44C6-AB90-EFEFF4FF5789}" name="Country"/>
    <tableColumn id="6" xr3:uid="{CD453C25-3321-440A-9FDB-E208D821B950}" name="Category"/>
    <tableColumn id="7" xr3:uid="{A4EA71B5-0F6F-4AB2-B356-8BF62898EA9A}" name="Product"/>
    <tableColumn id="8" xr3:uid="{E9696A93-6D5C-4819-AAF7-24A3838347E0}" name="Channel"/>
    <tableColumn id="9" xr3:uid="{D1F84BC4-C9A2-44D5-9ABD-51FB580861E3}" name="Payment_Method"/>
    <tableColumn id="10" xr3:uid="{C7BA9AA6-B1ED-41BA-8D9A-B0D4023D7CC6}" name="Status"/>
    <tableColumn id="11" xr3:uid="{64F2C52A-1879-472C-80C5-B171D287D7DA}" name="Quantity"/>
    <tableColumn id="12" xr3:uid="{9E9048A1-1A93-40FA-AF54-8F603831EC06}" name="Unit_Price"/>
    <tableColumn id="13" xr3:uid="{9E66081E-6E0A-44A0-97A5-917F6AA972AD}" name="Discount_Rate" dataDxfId="7"/>
    <tableColumn id="14" xr3:uid="{0EFE9BA6-083C-435F-97CB-EF840E641379}" name="Region" dataDxfId="8">
      <calculatedColumnFormula>VLOOKUP(Table1[[#This Row],[Country]],REF_Country!$A$1:$D$11,2,FALSE)</calculatedColumnFormula>
    </tableColumn>
    <tableColumn id="15" xr3:uid="{9C337113-EE0F-4758-89A8-CEA8EF60CDBD}" name="Country_Code" dataDxfId="12">
      <calculatedColumnFormula>VLOOKUP(Table1[[#This Row],[Country]],REF_Country!$A$1:$D$11,3,FALSE)</calculatedColumnFormula>
    </tableColumn>
    <tableColumn id="16" xr3:uid="{E51F031C-748C-4197-9B5F-5C3690622EAF}" name="Tax_Rate" dataDxfId="11">
      <calculatedColumnFormula>VLOOKUP(Table1[[#This Row],[Country]],REF_Country!$A$1:$D$11,4,FALSE)</calculatedColumnFormula>
    </tableColumn>
    <tableColumn id="17" xr3:uid="{3EF1C852-8C45-443F-8EBC-D4AD2FE68059}" name="Target_Q1" dataDxfId="10">
      <calculatedColumnFormula>VLOOKUP(Table1[[#This Row],[Category]],REF_Target!$A$1:$E$6,2,FALSE)</calculatedColumnFormula>
    </tableColumn>
    <tableColumn id="18" xr3:uid="{AF580340-8CB8-415B-AC49-40D3840894E3}" name="Gross_Sales" dataDxfId="9">
      <calculatedColumnFormula>Table1[[#This Row],[Quantity]]*Table1[[#This Row],[Unit_Price]]</calculatedColumnFormula>
    </tableColumn>
    <tableColumn id="19" xr3:uid="{6159C58D-73E3-429D-9544-FFBF00915E84}" name="Discount_Amount" dataDxfId="6">
      <calculatedColumnFormula>Table1[[#This Row],[Gross_Sales]]*Table1[[#This Row],[Discount_Rate]]</calculatedColumnFormula>
    </tableColumn>
    <tableColumn id="20" xr3:uid="{41F23320-4A2D-43B2-A19B-BCB9375FA493}" name="Net_Sales" dataDxfId="5">
      <calculatedColumnFormula>Table1[[#This Row],[Gross_Sales]]-Table1[[#This Row],[Discount_Amount]]</calculatedColumnFormula>
    </tableColumn>
    <tableColumn id="21" xr3:uid="{7EB9D8AE-5012-4132-BDF1-E3AC958FEECE}" name="Total_Cost" dataDxfId="4">
      <calculatedColumnFormula>VLOOKUP(Table1[[#This Row],[Category]],REF_Cost!$A$1:$B$6,2,FALSE)*Table1[[#This Row],[Quantity]]</calculatedColumnFormula>
    </tableColumn>
    <tableColumn id="22" xr3:uid="{5C82CEA8-7229-463E-BBF5-A918E01CFFA8}" name="Profit" dataDxfId="3">
      <calculatedColumnFormula>Table1[[#This Row],[Net_Sales]]-Table1[[#This Row],[Total_Cost]]</calculatedColumnFormula>
    </tableColumn>
    <tableColumn id="23" xr3:uid="{9CCE1B95-2733-4D98-A440-B9E912FD8E93}" name="Month" dataDxfId="2">
      <calculatedColumnFormula>TEXT(Table1[[#This Row],[Order_Date]],"mmm")</calculatedColumnFormula>
    </tableColumn>
    <tableColumn id="24" xr3:uid="{AB110BAC-7099-4323-A1AA-15BF4A4CEA22}" name="Quarter" dataDxfId="0">
      <calculatedColumnFormula>ROUNDUP(MONTH(Table1[[#This Row],[Order_Date]])/3,0)</calculatedColumnFormula>
    </tableColumn>
    <tableColumn id="25" xr3:uid="{C2B845BF-5FE1-437E-92F4-A162D89996BB}" name="Year" dataDxfId="1">
      <calculatedColumnFormula>YEAR(Table1[[#This Row],[Order_Date]])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zoomScale="80" zoomScaleNormal="80" workbookViewId="0">
      <selection activeCell="S20" sqref="S20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2</v>
      </c>
      <c r="L2">
        <v>222.21</v>
      </c>
      <c r="M2">
        <v>0.2</v>
      </c>
    </row>
    <row r="3" spans="1:25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34</v>
      </c>
      <c r="K3">
        <v>4</v>
      </c>
      <c r="L3">
        <v>54.41</v>
      </c>
      <c r="M3">
        <v>0.2</v>
      </c>
    </row>
    <row r="4" spans="1:25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32</v>
      </c>
      <c r="I4" t="s">
        <v>51</v>
      </c>
      <c r="J4" t="s">
        <v>34</v>
      </c>
      <c r="K4">
        <v>4</v>
      </c>
      <c r="L4">
        <v>427.64</v>
      </c>
      <c r="M4">
        <v>0.05</v>
      </c>
    </row>
    <row r="5" spans="1:25" x14ac:dyDescent="0.25">
      <c r="A5" t="s">
        <v>52</v>
      </c>
      <c r="B5" t="s">
        <v>53</v>
      </c>
      <c r="C5" t="s">
        <v>54</v>
      </c>
      <c r="D5" t="s">
        <v>55</v>
      </c>
      <c r="E5" t="s">
        <v>29</v>
      </c>
      <c r="F5" t="s">
        <v>56</v>
      </c>
      <c r="G5" t="s">
        <v>57</v>
      </c>
      <c r="H5" t="s">
        <v>58</v>
      </c>
      <c r="I5" t="s">
        <v>33</v>
      </c>
      <c r="J5" t="s">
        <v>59</v>
      </c>
      <c r="K5">
        <v>7</v>
      </c>
      <c r="L5">
        <v>811.3</v>
      </c>
      <c r="M5">
        <v>0</v>
      </c>
    </row>
    <row r="6" spans="1:25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30</v>
      </c>
      <c r="G6" t="s">
        <v>65</v>
      </c>
      <c r="H6" t="s">
        <v>42</v>
      </c>
      <c r="I6" t="s">
        <v>66</v>
      </c>
      <c r="J6" t="s">
        <v>34</v>
      </c>
      <c r="K6">
        <v>4</v>
      </c>
      <c r="L6">
        <v>1478.05</v>
      </c>
      <c r="M6">
        <v>0</v>
      </c>
    </row>
    <row r="7" spans="1:25" x14ac:dyDescent="0.25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30</v>
      </c>
      <c r="G7" t="s">
        <v>65</v>
      </c>
      <c r="H7" t="s">
        <v>72</v>
      </c>
      <c r="I7" t="s">
        <v>33</v>
      </c>
      <c r="J7" t="s">
        <v>73</v>
      </c>
      <c r="K7">
        <v>2</v>
      </c>
      <c r="L7">
        <v>1057.2</v>
      </c>
      <c r="M7">
        <v>0.15</v>
      </c>
    </row>
    <row r="8" spans="1:25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30</v>
      </c>
      <c r="G8" t="s">
        <v>65</v>
      </c>
      <c r="H8" t="s">
        <v>32</v>
      </c>
      <c r="I8" t="s">
        <v>66</v>
      </c>
      <c r="J8" t="s">
        <v>34</v>
      </c>
      <c r="K8">
        <v>1</v>
      </c>
      <c r="L8">
        <v>1266.6400000000001</v>
      </c>
      <c r="M8">
        <v>0</v>
      </c>
    </row>
    <row r="9" spans="1:25" x14ac:dyDescent="0.25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42</v>
      </c>
      <c r="I9" t="s">
        <v>43</v>
      </c>
      <c r="J9" t="s">
        <v>59</v>
      </c>
      <c r="K9">
        <v>7</v>
      </c>
      <c r="L9">
        <v>988.33</v>
      </c>
      <c r="M9">
        <v>0.2</v>
      </c>
    </row>
    <row r="10" spans="1:25" x14ac:dyDescent="0.25">
      <c r="A10" t="s">
        <v>86</v>
      </c>
      <c r="B10" t="s">
        <v>87</v>
      </c>
      <c r="C10" t="s">
        <v>88</v>
      </c>
      <c r="D10" t="s">
        <v>89</v>
      </c>
      <c r="E10" t="s">
        <v>78</v>
      </c>
      <c r="F10" t="s">
        <v>84</v>
      </c>
      <c r="G10" t="s">
        <v>90</v>
      </c>
      <c r="H10" t="s">
        <v>58</v>
      </c>
      <c r="I10" t="s">
        <v>43</v>
      </c>
      <c r="J10" t="s">
        <v>73</v>
      </c>
      <c r="K10">
        <v>10</v>
      </c>
      <c r="L10">
        <v>651.22</v>
      </c>
      <c r="M10">
        <v>0.1</v>
      </c>
    </row>
    <row r="11" spans="1:25" x14ac:dyDescent="0.25">
      <c r="A11" t="s">
        <v>91</v>
      </c>
      <c r="B11" t="s">
        <v>92</v>
      </c>
      <c r="C11" t="s">
        <v>93</v>
      </c>
      <c r="D11" t="s">
        <v>94</v>
      </c>
      <c r="E11" t="s">
        <v>64</v>
      </c>
      <c r="F11" t="s">
        <v>56</v>
      </c>
      <c r="G11" t="s">
        <v>95</v>
      </c>
      <c r="H11" t="s">
        <v>32</v>
      </c>
      <c r="I11" t="s">
        <v>96</v>
      </c>
      <c r="J11" t="s">
        <v>34</v>
      </c>
      <c r="K11">
        <v>7</v>
      </c>
      <c r="L11">
        <v>946.76</v>
      </c>
      <c r="M11">
        <v>0.15</v>
      </c>
    </row>
    <row r="12" spans="1:25" x14ac:dyDescent="0.25">
      <c r="A12" t="s">
        <v>97</v>
      </c>
      <c r="B12" t="s">
        <v>98</v>
      </c>
      <c r="C12" t="s">
        <v>99</v>
      </c>
      <c r="D12" t="s">
        <v>100</v>
      </c>
      <c r="E12" t="s">
        <v>78</v>
      </c>
      <c r="F12" t="s">
        <v>56</v>
      </c>
      <c r="G12" t="s">
        <v>101</v>
      </c>
      <c r="H12" t="s">
        <v>58</v>
      </c>
      <c r="I12" t="s">
        <v>51</v>
      </c>
      <c r="J12" t="s">
        <v>59</v>
      </c>
      <c r="K12">
        <v>9</v>
      </c>
      <c r="L12">
        <v>1027.3399999999999</v>
      </c>
      <c r="M12">
        <v>0.05</v>
      </c>
    </row>
    <row r="13" spans="1:25" x14ac:dyDescent="0.25">
      <c r="A13" t="s">
        <v>102</v>
      </c>
      <c r="B13" t="s">
        <v>103</v>
      </c>
      <c r="C13" t="s">
        <v>104</v>
      </c>
      <c r="D13" t="s">
        <v>105</v>
      </c>
      <c r="E13" t="s">
        <v>29</v>
      </c>
      <c r="F13" t="s">
        <v>40</v>
      </c>
      <c r="G13" t="s">
        <v>106</v>
      </c>
      <c r="H13" t="s">
        <v>58</v>
      </c>
      <c r="I13" t="s">
        <v>33</v>
      </c>
      <c r="J13" t="s">
        <v>73</v>
      </c>
      <c r="K13">
        <v>2</v>
      </c>
      <c r="L13">
        <v>768.91</v>
      </c>
      <c r="M13">
        <v>0.2</v>
      </c>
    </row>
    <row r="14" spans="1:25" x14ac:dyDescent="0.25">
      <c r="A14" t="s">
        <v>107</v>
      </c>
      <c r="B14" t="s">
        <v>108</v>
      </c>
      <c r="C14" t="s">
        <v>109</v>
      </c>
      <c r="D14" t="s">
        <v>110</v>
      </c>
      <c r="E14" t="s">
        <v>78</v>
      </c>
      <c r="F14" t="s">
        <v>56</v>
      </c>
      <c r="G14" t="s">
        <v>111</v>
      </c>
      <c r="H14" t="s">
        <v>58</v>
      </c>
      <c r="I14" t="s">
        <v>66</v>
      </c>
      <c r="J14" t="s">
        <v>73</v>
      </c>
      <c r="K14">
        <v>1</v>
      </c>
      <c r="L14">
        <v>496.37</v>
      </c>
      <c r="M14">
        <v>0</v>
      </c>
    </row>
    <row r="15" spans="1:25" x14ac:dyDescent="0.2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49</v>
      </c>
      <c r="G15" t="s">
        <v>117</v>
      </c>
      <c r="H15" t="s">
        <v>72</v>
      </c>
      <c r="I15" t="s">
        <v>96</v>
      </c>
      <c r="J15" t="s">
        <v>73</v>
      </c>
      <c r="K15">
        <v>9</v>
      </c>
      <c r="L15">
        <v>1467.31</v>
      </c>
      <c r="M15">
        <v>0</v>
      </c>
    </row>
    <row r="16" spans="1:25" x14ac:dyDescent="0.25">
      <c r="A16" t="s">
        <v>118</v>
      </c>
      <c r="B16" t="s">
        <v>119</v>
      </c>
      <c r="C16" t="s">
        <v>120</v>
      </c>
      <c r="D16" t="s">
        <v>121</v>
      </c>
      <c r="E16" t="s">
        <v>39</v>
      </c>
      <c r="F16" t="s">
        <v>40</v>
      </c>
      <c r="G16" t="s">
        <v>106</v>
      </c>
      <c r="H16" t="s">
        <v>58</v>
      </c>
      <c r="I16" t="s">
        <v>96</v>
      </c>
      <c r="J16" t="s">
        <v>34</v>
      </c>
      <c r="K16">
        <v>7</v>
      </c>
      <c r="L16">
        <v>1073.73</v>
      </c>
      <c r="M16">
        <v>0.2</v>
      </c>
    </row>
    <row r="17" spans="1:13" x14ac:dyDescent="0.25">
      <c r="A17" t="s">
        <v>122</v>
      </c>
      <c r="B17" t="s">
        <v>123</v>
      </c>
      <c r="C17" t="s">
        <v>124</v>
      </c>
      <c r="D17" t="s">
        <v>125</v>
      </c>
      <c r="E17" t="s">
        <v>71</v>
      </c>
      <c r="F17" t="s">
        <v>56</v>
      </c>
      <c r="G17" t="s">
        <v>111</v>
      </c>
      <c r="H17" t="s">
        <v>32</v>
      </c>
      <c r="I17" t="s">
        <v>51</v>
      </c>
      <c r="J17" t="s">
        <v>126</v>
      </c>
      <c r="K17">
        <v>10</v>
      </c>
      <c r="L17">
        <v>837.57</v>
      </c>
      <c r="M17">
        <v>0</v>
      </c>
    </row>
    <row r="18" spans="1:13" x14ac:dyDescent="0.25">
      <c r="A18" t="s">
        <v>127</v>
      </c>
      <c r="B18" t="s">
        <v>128</v>
      </c>
      <c r="C18" t="s">
        <v>129</v>
      </c>
      <c r="D18" t="s">
        <v>130</v>
      </c>
      <c r="E18" t="s">
        <v>71</v>
      </c>
      <c r="F18" t="s">
        <v>56</v>
      </c>
      <c r="G18" t="s">
        <v>111</v>
      </c>
      <c r="H18" t="s">
        <v>72</v>
      </c>
      <c r="I18" t="s">
        <v>33</v>
      </c>
      <c r="J18" t="s">
        <v>34</v>
      </c>
      <c r="K18">
        <v>8</v>
      </c>
      <c r="L18">
        <v>368.44</v>
      </c>
      <c r="M18">
        <v>0</v>
      </c>
    </row>
    <row r="19" spans="1:13" x14ac:dyDescent="0.25">
      <c r="A19" t="s">
        <v>131</v>
      </c>
      <c r="B19" t="s">
        <v>132</v>
      </c>
      <c r="C19" t="s">
        <v>133</v>
      </c>
      <c r="D19" t="s">
        <v>134</v>
      </c>
      <c r="E19" t="s">
        <v>116</v>
      </c>
      <c r="F19" t="s">
        <v>56</v>
      </c>
      <c r="G19" t="s">
        <v>57</v>
      </c>
      <c r="H19" t="s">
        <v>32</v>
      </c>
      <c r="I19" t="s">
        <v>51</v>
      </c>
      <c r="J19" t="s">
        <v>126</v>
      </c>
      <c r="K19">
        <v>7</v>
      </c>
      <c r="L19">
        <v>541.13</v>
      </c>
      <c r="M19">
        <v>0.1</v>
      </c>
    </row>
    <row r="20" spans="1:13" x14ac:dyDescent="0.25">
      <c r="A20" t="s">
        <v>135</v>
      </c>
      <c r="B20" t="s">
        <v>136</v>
      </c>
      <c r="C20" t="s">
        <v>137</v>
      </c>
      <c r="D20" t="s">
        <v>138</v>
      </c>
      <c r="E20" t="s">
        <v>39</v>
      </c>
      <c r="F20" t="s">
        <v>30</v>
      </c>
      <c r="G20" t="s">
        <v>139</v>
      </c>
      <c r="H20" t="s">
        <v>58</v>
      </c>
      <c r="I20" t="s">
        <v>96</v>
      </c>
      <c r="J20" t="s">
        <v>73</v>
      </c>
      <c r="K20">
        <v>7</v>
      </c>
      <c r="L20">
        <v>681.19</v>
      </c>
      <c r="M20">
        <v>0</v>
      </c>
    </row>
    <row r="21" spans="1:13" x14ac:dyDescent="0.25">
      <c r="A21" t="s">
        <v>140</v>
      </c>
      <c r="B21" t="s">
        <v>141</v>
      </c>
      <c r="C21" t="s">
        <v>142</v>
      </c>
      <c r="D21" t="s">
        <v>143</v>
      </c>
      <c r="E21" t="s">
        <v>64</v>
      </c>
      <c r="F21" t="s">
        <v>40</v>
      </c>
      <c r="G21" t="s">
        <v>144</v>
      </c>
      <c r="H21" t="s">
        <v>42</v>
      </c>
      <c r="I21" t="s">
        <v>96</v>
      </c>
      <c r="J21" t="s">
        <v>34</v>
      </c>
      <c r="K21">
        <v>4</v>
      </c>
      <c r="L21">
        <v>1453.96</v>
      </c>
      <c r="M21">
        <v>0</v>
      </c>
    </row>
    <row r="22" spans="1:13" x14ac:dyDescent="0.25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56</v>
      </c>
      <c r="G22" t="s">
        <v>57</v>
      </c>
      <c r="H22" t="s">
        <v>42</v>
      </c>
      <c r="I22" t="s">
        <v>33</v>
      </c>
      <c r="J22" t="s">
        <v>34</v>
      </c>
      <c r="K22">
        <v>8</v>
      </c>
      <c r="L22">
        <v>408.83</v>
      </c>
      <c r="M22">
        <v>0.05</v>
      </c>
    </row>
    <row r="23" spans="1:13" x14ac:dyDescent="0.25">
      <c r="A23" t="s">
        <v>150</v>
      </c>
      <c r="B23" t="s">
        <v>151</v>
      </c>
      <c r="C23" t="s">
        <v>152</v>
      </c>
      <c r="D23" t="s">
        <v>153</v>
      </c>
      <c r="E23" t="s">
        <v>64</v>
      </c>
      <c r="F23" t="s">
        <v>40</v>
      </c>
      <c r="G23" t="s">
        <v>41</v>
      </c>
      <c r="H23" t="s">
        <v>32</v>
      </c>
      <c r="I23" t="s">
        <v>33</v>
      </c>
      <c r="J23" t="s">
        <v>34</v>
      </c>
      <c r="K23">
        <v>6</v>
      </c>
      <c r="L23">
        <v>105.52</v>
      </c>
      <c r="M23">
        <v>0</v>
      </c>
    </row>
    <row r="24" spans="1:13" x14ac:dyDescent="0.25">
      <c r="A24" t="s">
        <v>154</v>
      </c>
      <c r="B24" t="s">
        <v>155</v>
      </c>
      <c r="C24" t="s">
        <v>156</v>
      </c>
      <c r="D24" t="s">
        <v>157</v>
      </c>
      <c r="E24" t="s">
        <v>78</v>
      </c>
      <c r="F24" t="s">
        <v>56</v>
      </c>
      <c r="G24" t="s">
        <v>95</v>
      </c>
      <c r="H24" t="s">
        <v>72</v>
      </c>
      <c r="I24" t="s">
        <v>96</v>
      </c>
      <c r="J24" t="s">
        <v>126</v>
      </c>
      <c r="K24">
        <v>2</v>
      </c>
      <c r="L24">
        <v>116.75</v>
      </c>
      <c r="M24">
        <v>0.2</v>
      </c>
    </row>
    <row r="25" spans="1:13" x14ac:dyDescent="0.25">
      <c r="A25" t="s">
        <v>158</v>
      </c>
      <c r="B25" t="s">
        <v>159</v>
      </c>
      <c r="C25" t="s">
        <v>160</v>
      </c>
      <c r="D25" t="s">
        <v>161</v>
      </c>
      <c r="E25" t="s">
        <v>64</v>
      </c>
      <c r="F25" t="s">
        <v>40</v>
      </c>
      <c r="G25" t="s">
        <v>144</v>
      </c>
      <c r="H25" t="s">
        <v>58</v>
      </c>
      <c r="I25" t="s">
        <v>66</v>
      </c>
      <c r="J25" t="s">
        <v>73</v>
      </c>
      <c r="K25">
        <v>10</v>
      </c>
      <c r="L25">
        <v>637.54999999999995</v>
      </c>
      <c r="M25">
        <v>0.15</v>
      </c>
    </row>
    <row r="26" spans="1:13" x14ac:dyDescent="0.25">
      <c r="A26" t="s">
        <v>162</v>
      </c>
      <c r="B26" t="s">
        <v>163</v>
      </c>
      <c r="C26" t="s">
        <v>164</v>
      </c>
      <c r="D26" t="s">
        <v>165</v>
      </c>
      <c r="E26" t="s">
        <v>149</v>
      </c>
      <c r="F26" t="s">
        <v>30</v>
      </c>
      <c r="G26" t="s">
        <v>65</v>
      </c>
      <c r="H26" t="s">
        <v>42</v>
      </c>
      <c r="I26" t="s">
        <v>33</v>
      </c>
      <c r="J26" t="s">
        <v>126</v>
      </c>
      <c r="K26">
        <v>2</v>
      </c>
      <c r="L26">
        <v>693.98</v>
      </c>
      <c r="M26">
        <v>0</v>
      </c>
    </row>
    <row r="27" spans="1:13" x14ac:dyDescent="0.25">
      <c r="A27" t="s">
        <v>166</v>
      </c>
      <c r="B27" t="s">
        <v>167</v>
      </c>
      <c r="C27" t="s">
        <v>168</v>
      </c>
      <c r="D27" t="s">
        <v>169</v>
      </c>
      <c r="E27" t="s">
        <v>29</v>
      </c>
      <c r="F27" t="s">
        <v>30</v>
      </c>
      <c r="G27" t="s">
        <v>65</v>
      </c>
      <c r="H27" t="s">
        <v>58</v>
      </c>
      <c r="I27" t="s">
        <v>43</v>
      </c>
      <c r="J27" t="s">
        <v>34</v>
      </c>
      <c r="K27">
        <v>4</v>
      </c>
      <c r="L27">
        <v>1323.08</v>
      </c>
      <c r="M27">
        <v>0.05</v>
      </c>
    </row>
    <row r="28" spans="1:13" x14ac:dyDescent="0.25">
      <c r="A28" t="s">
        <v>170</v>
      </c>
      <c r="B28" t="s">
        <v>171</v>
      </c>
      <c r="C28" t="s">
        <v>172</v>
      </c>
      <c r="D28" t="s">
        <v>173</v>
      </c>
      <c r="E28" t="s">
        <v>78</v>
      </c>
      <c r="F28" t="s">
        <v>56</v>
      </c>
      <c r="G28" t="s">
        <v>111</v>
      </c>
      <c r="H28" t="s">
        <v>58</v>
      </c>
      <c r="I28" t="s">
        <v>51</v>
      </c>
      <c r="J28" t="s">
        <v>126</v>
      </c>
      <c r="K28">
        <v>2</v>
      </c>
      <c r="L28">
        <v>459.58</v>
      </c>
      <c r="M28">
        <v>0</v>
      </c>
    </row>
    <row r="29" spans="1:13" x14ac:dyDescent="0.25">
      <c r="A29" t="s">
        <v>174</v>
      </c>
      <c r="B29" t="s">
        <v>175</v>
      </c>
      <c r="C29" t="s">
        <v>176</v>
      </c>
      <c r="D29" t="s">
        <v>177</v>
      </c>
      <c r="E29" t="s">
        <v>83</v>
      </c>
      <c r="F29" t="s">
        <v>30</v>
      </c>
      <c r="G29" t="s">
        <v>65</v>
      </c>
      <c r="H29" t="s">
        <v>42</v>
      </c>
      <c r="I29" t="s">
        <v>66</v>
      </c>
      <c r="J29" t="s">
        <v>126</v>
      </c>
      <c r="K29">
        <v>5</v>
      </c>
      <c r="L29">
        <v>317.33999999999997</v>
      </c>
      <c r="M29">
        <v>0.15</v>
      </c>
    </row>
    <row r="30" spans="1:13" x14ac:dyDescent="0.25">
      <c r="A30" t="s">
        <v>178</v>
      </c>
      <c r="B30" t="s">
        <v>179</v>
      </c>
      <c r="C30" t="s">
        <v>180</v>
      </c>
      <c r="D30" t="s">
        <v>181</v>
      </c>
      <c r="E30" t="s">
        <v>29</v>
      </c>
      <c r="F30" t="s">
        <v>56</v>
      </c>
      <c r="G30" t="s">
        <v>101</v>
      </c>
      <c r="H30" t="s">
        <v>58</v>
      </c>
      <c r="I30" t="s">
        <v>43</v>
      </c>
      <c r="J30" t="s">
        <v>34</v>
      </c>
      <c r="K30">
        <v>3</v>
      </c>
      <c r="L30">
        <v>510.33</v>
      </c>
      <c r="M30">
        <v>0.2</v>
      </c>
    </row>
    <row r="31" spans="1:13" x14ac:dyDescent="0.25">
      <c r="A31" t="s">
        <v>182</v>
      </c>
      <c r="B31" t="s">
        <v>183</v>
      </c>
      <c r="C31" t="s">
        <v>184</v>
      </c>
      <c r="D31" t="s">
        <v>185</v>
      </c>
      <c r="E31" t="s">
        <v>64</v>
      </c>
      <c r="F31" t="s">
        <v>56</v>
      </c>
      <c r="G31" t="s">
        <v>101</v>
      </c>
      <c r="H31" t="s">
        <v>32</v>
      </c>
      <c r="I31" t="s">
        <v>66</v>
      </c>
      <c r="J31" t="s">
        <v>73</v>
      </c>
      <c r="K31">
        <v>3</v>
      </c>
      <c r="L31">
        <v>1418.4</v>
      </c>
      <c r="M31">
        <v>0.15</v>
      </c>
    </row>
    <row r="32" spans="1:13" x14ac:dyDescent="0.25">
      <c r="A32" t="s">
        <v>186</v>
      </c>
      <c r="B32" t="s">
        <v>187</v>
      </c>
      <c r="C32" t="s">
        <v>188</v>
      </c>
      <c r="D32" t="s">
        <v>189</v>
      </c>
      <c r="E32" t="s">
        <v>71</v>
      </c>
      <c r="F32" t="s">
        <v>56</v>
      </c>
      <c r="G32" t="s">
        <v>190</v>
      </c>
      <c r="H32" t="s">
        <v>32</v>
      </c>
      <c r="I32" t="s">
        <v>66</v>
      </c>
      <c r="J32" t="s">
        <v>34</v>
      </c>
      <c r="K32">
        <v>4</v>
      </c>
      <c r="L32">
        <v>326.95999999999998</v>
      </c>
      <c r="M32">
        <v>0.2</v>
      </c>
    </row>
    <row r="33" spans="1:13" x14ac:dyDescent="0.25">
      <c r="A33" t="s">
        <v>191</v>
      </c>
      <c r="B33" t="s">
        <v>192</v>
      </c>
      <c r="C33" t="s">
        <v>193</v>
      </c>
      <c r="D33" t="s">
        <v>194</v>
      </c>
      <c r="E33" t="s">
        <v>48</v>
      </c>
      <c r="F33" t="s">
        <v>30</v>
      </c>
      <c r="G33" t="s">
        <v>195</v>
      </c>
      <c r="H33" t="s">
        <v>72</v>
      </c>
      <c r="I33" t="s">
        <v>66</v>
      </c>
      <c r="J33" t="s">
        <v>73</v>
      </c>
      <c r="K33">
        <v>6</v>
      </c>
      <c r="L33">
        <v>51.81</v>
      </c>
      <c r="M33">
        <v>0.1</v>
      </c>
    </row>
    <row r="34" spans="1:13" x14ac:dyDescent="0.25">
      <c r="A34" t="s">
        <v>196</v>
      </c>
      <c r="B34" t="s">
        <v>197</v>
      </c>
      <c r="C34" t="s">
        <v>198</v>
      </c>
      <c r="D34" t="s">
        <v>199</v>
      </c>
      <c r="E34" t="s">
        <v>200</v>
      </c>
      <c r="F34" t="s">
        <v>30</v>
      </c>
      <c r="G34" t="s">
        <v>31</v>
      </c>
      <c r="H34" t="s">
        <v>58</v>
      </c>
      <c r="I34" t="s">
        <v>43</v>
      </c>
      <c r="J34" t="s">
        <v>73</v>
      </c>
      <c r="K34">
        <v>8</v>
      </c>
      <c r="L34">
        <v>1227.6300000000001</v>
      </c>
      <c r="M34">
        <v>0.05</v>
      </c>
    </row>
    <row r="35" spans="1:13" x14ac:dyDescent="0.25">
      <c r="A35" t="s">
        <v>201</v>
      </c>
      <c r="B35" t="s">
        <v>202</v>
      </c>
      <c r="C35" t="s">
        <v>203</v>
      </c>
      <c r="D35" t="s">
        <v>204</v>
      </c>
      <c r="E35" t="s">
        <v>71</v>
      </c>
      <c r="F35" t="s">
        <v>84</v>
      </c>
      <c r="G35" t="s">
        <v>205</v>
      </c>
      <c r="H35" t="s">
        <v>42</v>
      </c>
      <c r="I35" t="s">
        <v>33</v>
      </c>
      <c r="J35" t="s">
        <v>59</v>
      </c>
      <c r="K35">
        <v>5</v>
      </c>
      <c r="L35">
        <v>1450.83</v>
      </c>
      <c r="M35">
        <v>0.05</v>
      </c>
    </row>
    <row r="36" spans="1:13" x14ac:dyDescent="0.25">
      <c r="A36" t="s">
        <v>206</v>
      </c>
      <c r="B36" t="s">
        <v>207</v>
      </c>
      <c r="C36" t="s">
        <v>208</v>
      </c>
      <c r="D36" t="s">
        <v>209</v>
      </c>
      <c r="E36" t="s">
        <v>83</v>
      </c>
      <c r="F36" t="s">
        <v>84</v>
      </c>
      <c r="G36" t="s">
        <v>205</v>
      </c>
      <c r="H36" t="s">
        <v>58</v>
      </c>
      <c r="I36" t="s">
        <v>96</v>
      </c>
      <c r="J36" t="s">
        <v>126</v>
      </c>
      <c r="K36">
        <v>7</v>
      </c>
      <c r="L36">
        <v>175.98</v>
      </c>
      <c r="M36">
        <v>0.05</v>
      </c>
    </row>
    <row r="37" spans="1:13" x14ac:dyDescent="0.25">
      <c r="A37" t="s">
        <v>210</v>
      </c>
      <c r="B37" t="s">
        <v>211</v>
      </c>
      <c r="C37" t="s">
        <v>212</v>
      </c>
      <c r="D37" t="s">
        <v>213</v>
      </c>
      <c r="E37" t="s">
        <v>64</v>
      </c>
      <c r="F37" t="s">
        <v>49</v>
      </c>
      <c r="G37" t="s">
        <v>117</v>
      </c>
      <c r="H37" t="s">
        <v>72</v>
      </c>
      <c r="I37" t="s">
        <v>66</v>
      </c>
      <c r="J37" t="s">
        <v>34</v>
      </c>
      <c r="K37">
        <v>9</v>
      </c>
      <c r="L37">
        <v>787.08</v>
      </c>
      <c r="M37">
        <v>0.2</v>
      </c>
    </row>
    <row r="38" spans="1:13" x14ac:dyDescent="0.25">
      <c r="A38" t="s">
        <v>214</v>
      </c>
      <c r="B38" t="s">
        <v>215</v>
      </c>
      <c r="C38" t="s">
        <v>216</v>
      </c>
      <c r="D38" t="s">
        <v>217</v>
      </c>
      <c r="E38" t="s">
        <v>71</v>
      </c>
      <c r="F38" t="s">
        <v>56</v>
      </c>
      <c r="G38" t="s">
        <v>190</v>
      </c>
      <c r="H38" t="s">
        <v>42</v>
      </c>
      <c r="I38" t="s">
        <v>66</v>
      </c>
      <c r="J38" t="s">
        <v>73</v>
      </c>
      <c r="K38">
        <v>7</v>
      </c>
      <c r="L38">
        <v>768.08</v>
      </c>
      <c r="M38">
        <v>0.05</v>
      </c>
    </row>
    <row r="39" spans="1:13" x14ac:dyDescent="0.25">
      <c r="A39" t="s">
        <v>218</v>
      </c>
      <c r="B39" t="s">
        <v>219</v>
      </c>
      <c r="C39" t="s">
        <v>220</v>
      </c>
      <c r="D39" t="s">
        <v>221</v>
      </c>
      <c r="E39" t="s">
        <v>48</v>
      </c>
      <c r="F39" t="s">
        <v>40</v>
      </c>
      <c r="G39" t="s">
        <v>41</v>
      </c>
      <c r="H39" t="s">
        <v>58</v>
      </c>
      <c r="I39" t="s">
        <v>66</v>
      </c>
      <c r="J39" t="s">
        <v>73</v>
      </c>
      <c r="K39">
        <v>9</v>
      </c>
      <c r="L39">
        <v>461.91</v>
      </c>
      <c r="M39">
        <v>0</v>
      </c>
    </row>
    <row r="40" spans="1:13" x14ac:dyDescent="0.25">
      <c r="A40" t="s">
        <v>222</v>
      </c>
      <c r="B40" t="s">
        <v>223</v>
      </c>
      <c r="C40" t="s">
        <v>224</v>
      </c>
      <c r="D40" t="s">
        <v>225</v>
      </c>
      <c r="E40" t="s">
        <v>71</v>
      </c>
      <c r="F40" t="s">
        <v>49</v>
      </c>
      <c r="G40" t="s">
        <v>226</v>
      </c>
      <c r="H40" t="s">
        <v>42</v>
      </c>
      <c r="I40" t="s">
        <v>43</v>
      </c>
      <c r="J40" t="s">
        <v>126</v>
      </c>
      <c r="K40">
        <v>4</v>
      </c>
      <c r="L40">
        <v>671.61</v>
      </c>
      <c r="M40">
        <v>0.15</v>
      </c>
    </row>
    <row r="41" spans="1:13" x14ac:dyDescent="0.25">
      <c r="A41" t="s">
        <v>227</v>
      </c>
      <c r="B41" t="s">
        <v>228</v>
      </c>
      <c r="C41" t="s">
        <v>229</v>
      </c>
      <c r="D41" t="s">
        <v>230</v>
      </c>
      <c r="E41" t="s">
        <v>83</v>
      </c>
      <c r="F41" t="s">
        <v>84</v>
      </c>
      <c r="G41" t="s">
        <v>205</v>
      </c>
      <c r="H41" t="s">
        <v>58</v>
      </c>
      <c r="I41" t="s">
        <v>43</v>
      </c>
      <c r="J41" t="s">
        <v>73</v>
      </c>
      <c r="K41">
        <v>4</v>
      </c>
      <c r="L41">
        <v>1230.3599999999999</v>
      </c>
      <c r="M41">
        <v>0.2</v>
      </c>
    </row>
    <row r="42" spans="1:13" x14ac:dyDescent="0.25">
      <c r="A42" t="s">
        <v>231</v>
      </c>
      <c r="B42" t="s">
        <v>232</v>
      </c>
      <c r="C42" t="s">
        <v>233</v>
      </c>
      <c r="D42" t="s">
        <v>234</v>
      </c>
      <c r="E42" t="s">
        <v>200</v>
      </c>
      <c r="F42" t="s">
        <v>40</v>
      </c>
      <c r="G42" t="s">
        <v>144</v>
      </c>
      <c r="H42" t="s">
        <v>42</v>
      </c>
      <c r="I42" t="s">
        <v>96</v>
      </c>
      <c r="J42" t="s">
        <v>34</v>
      </c>
      <c r="K42">
        <v>10</v>
      </c>
      <c r="L42">
        <v>691.29</v>
      </c>
      <c r="M42">
        <v>0</v>
      </c>
    </row>
    <row r="43" spans="1:13" x14ac:dyDescent="0.25">
      <c r="A43" t="s">
        <v>235</v>
      </c>
      <c r="B43" t="s">
        <v>236</v>
      </c>
      <c r="C43" t="s">
        <v>237</v>
      </c>
      <c r="D43" t="s">
        <v>238</v>
      </c>
      <c r="E43" t="s">
        <v>64</v>
      </c>
      <c r="F43" t="s">
        <v>56</v>
      </c>
      <c r="G43" t="s">
        <v>57</v>
      </c>
      <c r="H43" t="s">
        <v>32</v>
      </c>
      <c r="I43" t="s">
        <v>33</v>
      </c>
      <c r="J43" t="s">
        <v>73</v>
      </c>
      <c r="K43">
        <v>9</v>
      </c>
      <c r="L43">
        <v>339.98</v>
      </c>
      <c r="M43">
        <v>0.1</v>
      </c>
    </row>
    <row r="44" spans="1:13" x14ac:dyDescent="0.25">
      <c r="A44" t="s">
        <v>239</v>
      </c>
      <c r="B44" t="s">
        <v>240</v>
      </c>
      <c r="C44" t="s">
        <v>241</v>
      </c>
      <c r="D44" t="s">
        <v>242</v>
      </c>
      <c r="E44" t="s">
        <v>200</v>
      </c>
      <c r="F44" t="s">
        <v>40</v>
      </c>
      <c r="G44" t="s">
        <v>41</v>
      </c>
      <c r="H44" t="s">
        <v>42</v>
      </c>
      <c r="I44" t="s">
        <v>33</v>
      </c>
      <c r="J44" t="s">
        <v>34</v>
      </c>
      <c r="K44">
        <v>8</v>
      </c>
      <c r="L44">
        <v>899.25</v>
      </c>
      <c r="M44">
        <v>0.15</v>
      </c>
    </row>
    <row r="45" spans="1:13" x14ac:dyDescent="0.25">
      <c r="A45" t="s">
        <v>243</v>
      </c>
      <c r="B45" t="s">
        <v>244</v>
      </c>
      <c r="C45" t="s">
        <v>245</v>
      </c>
      <c r="D45" t="s">
        <v>246</v>
      </c>
      <c r="E45" t="s">
        <v>39</v>
      </c>
      <c r="F45" t="s">
        <v>84</v>
      </c>
      <c r="G45" t="s">
        <v>90</v>
      </c>
      <c r="H45" t="s">
        <v>42</v>
      </c>
      <c r="I45" t="s">
        <v>51</v>
      </c>
      <c r="J45" t="s">
        <v>59</v>
      </c>
      <c r="K45">
        <v>4</v>
      </c>
      <c r="L45">
        <v>734.63</v>
      </c>
      <c r="M45">
        <v>0.05</v>
      </c>
    </row>
    <row r="46" spans="1:13" x14ac:dyDescent="0.25">
      <c r="A46" t="s">
        <v>247</v>
      </c>
      <c r="B46" t="s">
        <v>248</v>
      </c>
      <c r="C46" t="s">
        <v>249</v>
      </c>
      <c r="D46" t="s">
        <v>250</v>
      </c>
      <c r="E46" t="s">
        <v>78</v>
      </c>
      <c r="F46" t="s">
        <v>56</v>
      </c>
      <c r="G46" t="s">
        <v>95</v>
      </c>
      <c r="H46" t="s">
        <v>72</v>
      </c>
      <c r="I46" t="s">
        <v>43</v>
      </c>
      <c r="J46" t="s">
        <v>126</v>
      </c>
      <c r="K46">
        <v>7</v>
      </c>
      <c r="L46">
        <v>238.98</v>
      </c>
      <c r="M46">
        <v>0.2</v>
      </c>
    </row>
    <row r="47" spans="1:13" x14ac:dyDescent="0.25">
      <c r="A47" t="s">
        <v>251</v>
      </c>
      <c r="B47" t="s">
        <v>252</v>
      </c>
      <c r="C47" t="s">
        <v>253</v>
      </c>
      <c r="D47" t="s">
        <v>254</v>
      </c>
      <c r="E47" t="s">
        <v>200</v>
      </c>
      <c r="F47" t="s">
        <v>49</v>
      </c>
      <c r="G47" t="s">
        <v>117</v>
      </c>
      <c r="H47" t="s">
        <v>32</v>
      </c>
      <c r="I47" t="s">
        <v>33</v>
      </c>
      <c r="J47" t="s">
        <v>34</v>
      </c>
      <c r="K47">
        <v>7</v>
      </c>
      <c r="L47">
        <v>322.14999999999998</v>
      </c>
      <c r="M47">
        <v>0.1</v>
      </c>
    </row>
    <row r="48" spans="1:13" x14ac:dyDescent="0.25">
      <c r="A48" t="s">
        <v>255</v>
      </c>
      <c r="B48" t="s">
        <v>256</v>
      </c>
      <c r="C48" t="s">
        <v>257</v>
      </c>
      <c r="D48" t="s">
        <v>258</v>
      </c>
      <c r="E48" t="s">
        <v>149</v>
      </c>
      <c r="F48" t="s">
        <v>49</v>
      </c>
      <c r="G48" t="s">
        <v>259</v>
      </c>
      <c r="H48" t="s">
        <v>72</v>
      </c>
      <c r="I48" t="s">
        <v>96</v>
      </c>
      <c r="J48" t="s">
        <v>73</v>
      </c>
      <c r="K48">
        <v>9</v>
      </c>
      <c r="L48">
        <v>1125.06</v>
      </c>
      <c r="M48">
        <v>0.15</v>
      </c>
    </row>
    <row r="49" spans="1:13" x14ac:dyDescent="0.25">
      <c r="A49" t="s">
        <v>260</v>
      </c>
      <c r="B49" t="s">
        <v>261</v>
      </c>
      <c r="C49" t="s">
        <v>262</v>
      </c>
      <c r="D49" t="s">
        <v>263</v>
      </c>
      <c r="E49" t="s">
        <v>149</v>
      </c>
      <c r="F49" t="s">
        <v>84</v>
      </c>
      <c r="G49" t="s">
        <v>264</v>
      </c>
      <c r="H49" t="s">
        <v>32</v>
      </c>
      <c r="I49" t="s">
        <v>96</v>
      </c>
      <c r="J49" t="s">
        <v>126</v>
      </c>
      <c r="K49">
        <v>8</v>
      </c>
      <c r="L49">
        <v>1090.4100000000001</v>
      </c>
      <c r="M49">
        <v>0</v>
      </c>
    </row>
    <row r="50" spans="1:13" x14ac:dyDescent="0.25">
      <c r="A50" t="s">
        <v>265</v>
      </c>
      <c r="B50" t="s">
        <v>266</v>
      </c>
      <c r="C50" t="s">
        <v>267</v>
      </c>
      <c r="D50" t="s">
        <v>268</v>
      </c>
      <c r="E50" t="s">
        <v>200</v>
      </c>
      <c r="F50" t="s">
        <v>30</v>
      </c>
      <c r="G50" t="s">
        <v>269</v>
      </c>
      <c r="H50" t="s">
        <v>42</v>
      </c>
      <c r="I50" t="s">
        <v>66</v>
      </c>
      <c r="J50" t="s">
        <v>59</v>
      </c>
      <c r="K50">
        <v>6</v>
      </c>
      <c r="L50">
        <v>401.33</v>
      </c>
      <c r="M50">
        <v>0</v>
      </c>
    </row>
    <row r="51" spans="1:13" x14ac:dyDescent="0.25">
      <c r="A51" t="s">
        <v>270</v>
      </c>
      <c r="B51" t="s">
        <v>271</v>
      </c>
      <c r="C51" t="s">
        <v>272</v>
      </c>
      <c r="D51" t="s">
        <v>273</v>
      </c>
      <c r="E51" t="s">
        <v>116</v>
      </c>
      <c r="F51" t="s">
        <v>49</v>
      </c>
      <c r="G51" t="s">
        <v>117</v>
      </c>
      <c r="H51" t="s">
        <v>72</v>
      </c>
      <c r="I51" t="s">
        <v>51</v>
      </c>
      <c r="J51" t="s">
        <v>126</v>
      </c>
      <c r="K51">
        <v>1</v>
      </c>
      <c r="L51">
        <v>1127.3</v>
      </c>
      <c r="M51">
        <v>0.05</v>
      </c>
    </row>
    <row r="52" spans="1:13" x14ac:dyDescent="0.25">
      <c r="A52" t="s">
        <v>274</v>
      </c>
      <c r="B52" t="s">
        <v>275</v>
      </c>
      <c r="C52" t="s">
        <v>276</v>
      </c>
      <c r="D52" t="s">
        <v>277</v>
      </c>
      <c r="E52" t="s">
        <v>64</v>
      </c>
      <c r="F52" t="s">
        <v>40</v>
      </c>
      <c r="G52" t="s">
        <v>106</v>
      </c>
      <c r="H52" t="s">
        <v>32</v>
      </c>
      <c r="I52" t="s">
        <v>33</v>
      </c>
      <c r="J52" t="s">
        <v>73</v>
      </c>
      <c r="K52">
        <v>8</v>
      </c>
      <c r="L52">
        <v>369.24</v>
      </c>
      <c r="M52">
        <v>0.2</v>
      </c>
    </row>
    <row r="53" spans="1:13" x14ac:dyDescent="0.25">
      <c r="A53" t="s">
        <v>278</v>
      </c>
      <c r="B53" t="s">
        <v>279</v>
      </c>
      <c r="C53" t="s">
        <v>280</v>
      </c>
      <c r="D53" t="s">
        <v>281</v>
      </c>
      <c r="E53" t="s">
        <v>71</v>
      </c>
      <c r="F53" t="s">
        <v>30</v>
      </c>
      <c r="G53" t="s">
        <v>139</v>
      </c>
      <c r="H53" t="s">
        <v>58</v>
      </c>
      <c r="I53" t="s">
        <v>51</v>
      </c>
      <c r="J53" t="s">
        <v>126</v>
      </c>
      <c r="K53">
        <v>2</v>
      </c>
      <c r="L53">
        <v>916.76</v>
      </c>
      <c r="M53">
        <v>0</v>
      </c>
    </row>
    <row r="54" spans="1:13" x14ac:dyDescent="0.25">
      <c r="A54" t="s">
        <v>282</v>
      </c>
      <c r="B54" t="s">
        <v>283</v>
      </c>
      <c r="C54" t="s">
        <v>284</v>
      </c>
      <c r="D54" t="s">
        <v>285</v>
      </c>
      <c r="E54" t="s">
        <v>149</v>
      </c>
      <c r="F54" t="s">
        <v>49</v>
      </c>
      <c r="G54" t="s">
        <v>286</v>
      </c>
      <c r="H54" t="s">
        <v>58</v>
      </c>
      <c r="I54" t="s">
        <v>33</v>
      </c>
      <c r="J54" t="s">
        <v>126</v>
      </c>
      <c r="K54">
        <v>4</v>
      </c>
      <c r="L54">
        <v>127.85</v>
      </c>
      <c r="M54">
        <v>0</v>
      </c>
    </row>
    <row r="55" spans="1:13" x14ac:dyDescent="0.25">
      <c r="A55" t="s">
        <v>287</v>
      </c>
      <c r="B55" t="s">
        <v>288</v>
      </c>
      <c r="C55" t="s">
        <v>289</v>
      </c>
      <c r="D55" t="s">
        <v>290</v>
      </c>
      <c r="E55" t="s">
        <v>149</v>
      </c>
      <c r="F55" t="s">
        <v>84</v>
      </c>
      <c r="G55" t="s">
        <v>205</v>
      </c>
      <c r="H55" t="s">
        <v>42</v>
      </c>
      <c r="I55" t="s">
        <v>96</v>
      </c>
      <c r="J55" t="s">
        <v>126</v>
      </c>
      <c r="K55">
        <v>6</v>
      </c>
      <c r="L55">
        <v>766.35</v>
      </c>
      <c r="M55">
        <v>0</v>
      </c>
    </row>
    <row r="56" spans="1:13" x14ac:dyDescent="0.25">
      <c r="A56" t="s">
        <v>291</v>
      </c>
      <c r="B56" t="s">
        <v>292</v>
      </c>
      <c r="C56" t="s">
        <v>293</v>
      </c>
      <c r="D56" t="s">
        <v>294</v>
      </c>
      <c r="E56" t="s">
        <v>200</v>
      </c>
      <c r="F56" t="s">
        <v>30</v>
      </c>
      <c r="G56" t="s">
        <v>195</v>
      </c>
      <c r="H56" t="s">
        <v>58</v>
      </c>
      <c r="I56" t="s">
        <v>33</v>
      </c>
      <c r="J56" t="s">
        <v>34</v>
      </c>
      <c r="K56">
        <v>9</v>
      </c>
      <c r="L56">
        <v>276.56</v>
      </c>
      <c r="M56">
        <v>0.2</v>
      </c>
    </row>
    <row r="57" spans="1:13" x14ac:dyDescent="0.25">
      <c r="A57" t="s">
        <v>295</v>
      </c>
      <c r="B57" t="s">
        <v>296</v>
      </c>
      <c r="C57" t="s">
        <v>297</v>
      </c>
      <c r="D57" t="s">
        <v>298</v>
      </c>
      <c r="E57" t="s">
        <v>29</v>
      </c>
      <c r="F57" t="s">
        <v>84</v>
      </c>
      <c r="G57" t="s">
        <v>85</v>
      </c>
      <c r="H57" t="s">
        <v>42</v>
      </c>
      <c r="I57" t="s">
        <v>43</v>
      </c>
      <c r="J57" t="s">
        <v>34</v>
      </c>
      <c r="K57">
        <v>2</v>
      </c>
      <c r="L57">
        <v>1248.6400000000001</v>
      </c>
      <c r="M57">
        <v>0.05</v>
      </c>
    </row>
    <row r="58" spans="1:13" x14ac:dyDescent="0.25">
      <c r="A58" t="s">
        <v>299</v>
      </c>
      <c r="B58" t="s">
        <v>300</v>
      </c>
      <c r="C58" t="s">
        <v>301</v>
      </c>
      <c r="D58" t="s">
        <v>302</v>
      </c>
      <c r="E58" t="s">
        <v>71</v>
      </c>
      <c r="F58" t="s">
        <v>56</v>
      </c>
      <c r="G58" t="s">
        <v>57</v>
      </c>
      <c r="H58" t="s">
        <v>72</v>
      </c>
      <c r="I58" t="s">
        <v>66</v>
      </c>
      <c r="J58" t="s">
        <v>59</v>
      </c>
      <c r="K58">
        <v>3</v>
      </c>
      <c r="L58">
        <v>1278.6600000000001</v>
      </c>
      <c r="M58">
        <v>0.1</v>
      </c>
    </row>
    <row r="59" spans="1:13" x14ac:dyDescent="0.25">
      <c r="A59" t="s">
        <v>303</v>
      </c>
      <c r="B59" t="s">
        <v>304</v>
      </c>
      <c r="C59" t="s">
        <v>305</v>
      </c>
      <c r="D59" t="s">
        <v>306</v>
      </c>
      <c r="E59" t="s">
        <v>29</v>
      </c>
      <c r="F59" t="s">
        <v>40</v>
      </c>
      <c r="G59" t="s">
        <v>144</v>
      </c>
      <c r="H59" t="s">
        <v>72</v>
      </c>
      <c r="I59" t="s">
        <v>96</v>
      </c>
      <c r="J59" t="s">
        <v>34</v>
      </c>
      <c r="K59">
        <v>4</v>
      </c>
      <c r="L59">
        <v>782.19</v>
      </c>
      <c r="M59">
        <v>0</v>
      </c>
    </row>
    <row r="60" spans="1:13" x14ac:dyDescent="0.25">
      <c r="A60" t="s">
        <v>307</v>
      </c>
      <c r="B60" t="s">
        <v>308</v>
      </c>
      <c r="C60" t="s">
        <v>309</v>
      </c>
      <c r="D60" t="s">
        <v>310</v>
      </c>
      <c r="E60" t="s">
        <v>200</v>
      </c>
      <c r="F60" t="s">
        <v>49</v>
      </c>
      <c r="G60" t="s">
        <v>117</v>
      </c>
      <c r="H60" t="s">
        <v>72</v>
      </c>
      <c r="I60" t="s">
        <v>66</v>
      </c>
      <c r="J60" t="s">
        <v>59</v>
      </c>
      <c r="K60">
        <v>4</v>
      </c>
      <c r="L60">
        <v>153.18</v>
      </c>
      <c r="M60">
        <v>0.1</v>
      </c>
    </row>
    <row r="61" spans="1:13" x14ac:dyDescent="0.25">
      <c r="A61" t="s">
        <v>311</v>
      </c>
      <c r="B61" t="s">
        <v>312</v>
      </c>
      <c r="C61" t="s">
        <v>313</v>
      </c>
      <c r="D61" t="s">
        <v>314</v>
      </c>
      <c r="E61" t="s">
        <v>149</v>
      </c>
      <c r="F61" t="s">
        <v>40</v>
      </c>
      <c r="G61" t="s">
        <v>315</v>
      </c>
      <c r="H61" t="s">
        <v>58</v>
      </c>
      <c r="I61" t="s">
        <v>66</v>
      </c>
      <c r="J61" t="s">
        <v>73</v>
      </c>
      <c r="K61">
        <v>8</v>
      </c>
      <c r="L61">
        <v>537.44000000000005</v>
      </c>
      <c r="M61">
        <v>0.05</v>
      </c>
    </row>
    <row r="62" spans="1:13" x14ac:dyDescent="0.25">
      <c r="A62" t="s">
        <v>316</v>
      </c>
      <c r="B62" t="s">
        <v>317</v>
      </c>
      <c r="C62" t="s">
        <v>318</v>
      </c>
      <c r="D62" t="s">
        <v>319</v>
      </c>
      <c r="E62" t="s">
        <v>78</v>
      </c>
      <c r="F62" t="s">
        <v>30</v>
      </c>
      <c r="G62" t="s">
        <v>31</v>
      </c>
      <c r="H62" t="s">
        <v>58</v>
      </c>
      <c r="I62" t="s">
        <v>51</v>
      </c>
      <c r="J62" t="s">
        <v>73</v>
      </c>
      <c r="K62">
        <v>8</v>
      </c>
      <c r="L62">
        <v>336.33</v>
      </c>
      <c r="M62">
        <v>0.05</v>
      </c>
    </row>
    <row r="63" spans="1:13" x14ac:dyDescent="0.25">
      <c r="A63" t="s">
        <v>320</v>
      </c>
      <c r="B63" t="s">
        <v>321</v>
      </c>
      <c r="C63" t="s">
        <v>322</v>
      </c>
      <c r="D63" t="s">
        <v>323</v>
      </c>
      <c r="E63" t="s">
        <v>29</v>
      </c>
      <c r="F63" t="s">
        <v>56</v>
      </c>
      <c r="G63" t="s">
        <v>111</v>
      </c>
      <c r="H63" t="s">
        <v>58</v>
      </c>
      <c r="I63" t="s">
        <v>43</v>
      </c>
      <c r="J63" t="s">
        <v>34</v>
      </c>
      <c r="K63">
        <v>1</v>
      </c>
      <c r="L63">
        <v>202.98</v>
      </c>
      <c r="M63">
        <v>0</v>
      </c>
    </row>
    <row r="64" spans="1:13" x14ac:dyDescent="0.25">
      <c r="A64" t="s">
        <v>324</v>
      </c>
      <c r="B64" t="s">
        <v>325</v>
      </c>
      <c r="C64" t="s">
        <v>326</v>
      </c>
      <c r="D64" t="s">
        <v>327</v>
      </c>
      <c r="E64" t="s">
        <v>200</v>
      </c>
      <c r="F64" t="s">
        <v>49</v>
      </c>
      <c r="G64" t="s">
        <v>226</v>
      </c>
      <c r="H64" t="s">
        <v>42</v>
      </c>
      <c r="I64" t="s">
        <v>51</v>
      </c>
      <c r="J64" t="s">
        <v>126</v>
      </c>
      <c r="K64">
        <v>1</v>
      </c>
      <c r="L64">
        <v>520.95000000000005</v>
      </c>
      <c r="M64">
        <v>0.05</v>
      </c>
    </row>
    <row r="65" spans="1:13" x14ac:dyDescent="0.25">
      <c r="A65" t="s">
        <v>328</v>
      </c>
      <c r="B65" t="s">
        <v>329</v>
      </c>
      <c r="C65" t="s">
        <v>330</v>
      </c>
      <c r="D65" t="s">
        <v>331</v>
      </c>
      <c r="E65" t="s">
        <v>64</v>
      </c>
      <c r="F65" t="s">
        <v>30</v>
      </c>
      <c r="G65" t="s">
        <v>31</v>
      </c>
      <c r="H65" t="s">
        <v>72</v>
      </c>
      <c r="I65" t="s">
        <v>51</v>
      </c>
      <c r="J65" t="s">
        <v>34</v>
      </c>
      <c r="K65">
        <v>5</v>
      </c>
      <c r="L65">
        <v>1219.55</v>
      </c>
      <c r="M65">
        <v>0</v>
      </c>
    </row>
    <row r="66" spans="1:13" x14ac:dyDescent="0.25">
      <c r="A66" t="s">
        <v>332</v>
      </c>
      <c r="B66" t="s">
        <v>333</v>
      </c>
      <c r="C66" t="s">
        <v>334</v>
      </c>
      <c r="D66" t="s">
        <v>335</v>
      </c>
      <c r="E66" t="s">
        <v>78</v>
      </c>
      <c r="F66" t="s">
        <v>49</v>
      </c>
      <c r="G66" t="s">
        <v>226</v>
      </c>
      <c r="H66" t="s">
        <v>42</v>
      </c>
      <c r="I66" t="s">
        <v>66</v>
      </c>
      <c r="J66" t="s">
        <v>126</v>
      </c>
      <c r="K66">
        <v>5</v>
      </c>
      <c r="L66">
        <v>1364.13</v>
      </c>
      <c r="M66">
        <v>0.15</v>
      </c>
    </row>
    <row r="67" spans="1:13" x14ac:dyDescent="0.25">
      <c r="A67" t="s">
        <v>336</v>
      </c>
      <c r="B67" t="s">
        <v>337</v>
      </c>
      <c r="C67" t="s">
        <v>338</v>
      </c>
      <c r="D67" t="s">
        <v>339</v>
      </c>
      <c r="E67" t="s">
        <v>39</v>
      </c>
      <c r="F67" t="s">
        <v>84</v>
      </c>
      <c r="G67" t="s">
        <v>205</v>
      </c>
      <c r="H67" t="s">
        <v>32</v>
      </c>
      <c r="I67" t="s">
        <v>43</v>
      </c>
      <c r="J67" t="s">
        <v>126</v>
      </c>
      <c r="K67">
        <v>3</v>
      </c>
      <c r="L67">
        <v>248.23</v>
      </c>
      <c r="M67">
        <v>0.15</v>
      </c>
    </row>
    <row r="68" spans="1:13" x14ac:dyDescent="0.25">
      <c r="A68" t="s">
        <v>340</v>
      </c>
      <c r="B68" t="s">
        <v>341</v>
      </c>
      <c r="C68" t="s">
        <v>342</v>
      </c>
      <c r="D68" t="s">
        <v>343</v>
      </c>
      <c r="E68" t="s">
        <v>200</v>
      </c>
      <c r="F68" t="s">
        <v>84</v>
      </c>
      <c r="G68" t="s">
        <v>205</v>
      </c>
      <c r="H68" t="s">
        <v>42</v>
      </c>
      <c r="I68" t="s">
        <v>51</v>
      </c>
      <c r="J68" t="s">
        <v>73</v>
      </c>
      <c r="K68">
        <v>5</v>
      </c>
      <c r="L68">
        <v>358.74</v>
      </c>
      <c r="M68">
        <v>0.2</v>
      </c>
    </row>
    <row r="69" spans="1:13" x14ac:dyDescent="0.25">
      <c r="A69" t="s">
        <v>344</v>
      </c>
      <c r="B69" t="s">
        <v>345</v>
      </c>
      <c r="C69" t="s">
        <v>346</v>
      </c>
      <c r="D69" t="s">
        <v>347</v>
      </c>
      <c r="E69" t="s">
        <v>39</v>
      </c>
      <c r="F69" t="s">
        <v>49</v>
      </c>
      <c r="G69" t="s">
        <v>117</v>
      </c>
      <c r="H69" t="s">
        <v>72</v>
      </c>
      <c r="I69" t="s">
        <v>51</v>
      </c>
      <c r="J69" t="s">
        <v>126</v>
      </c>
      <c r="K69">
        <v>3</v>
      </c>
      <c r="L69">
        <v>823.68</v>
      </c>
      <c r="M69">
        <v>0.05</v>
      </c>
    </row>
    <row r="70" spans="1:13" x14ac:dyDescent="0.25">
      <c r="A70" t="s">
        <v>348</v>
      </c>
      <c r="B70" t="s">
        <v>349</v>
      </c>
      <c r="C70" t="s">
        <v>350</v>
      </c>
      <c r="D70" t="s">
        <v>351</v>
      </c>
      <c r="E70" t="s">
        <v>83</v>
      </c>
      <c r="F70" t="s">
        <v>84</v>
      </c>
      <c r="G70" t="s">
        <v>264</v>
      </c>
      <c r="H70" t="s">
        <v>42</v>
      </c>
      <c r="I70" t="s">
        <v>66</v>
      </c>
      <c r="J70" t="s">
        <v>34</v>
      </c>
      <c r="K70">
        <v>5</v>
      </c>
      <c r="L70">
        <v>199.67</v>
      </c>
      <c r="M70">
        <v>0.2</v>
      </c>
    </row>
    <row r="71" spans="1:13" x14ac:dyDescent="0.25">
      <c r="A71" t="s">
        <v>352</v>
      </c>
      <c r="B71" t="s">
        <v>353</v>
      </c>
      <c r="C71" t="s">
        <v>354</v>
      </c>
      <c r="D71" t="s">
        <v>355</v>
      </c>
      <c r="E71" t="s">
        <v>149</v>
      </c>
      <c r="F71" t="s">
        <v>84</v>
      </c>
      <c r="G71" t="s">
        <v>90</v>
      </c>
      <c r="H71" t="s">
        <v>32</v>
      </c>
      <c r="I71" t="s">
        <v>66</v>
      </c>
      <c r="J71" t="s">
        <v>126</v>
      </c>
      <c r="K71">
        <v>2</v>
      </c>
      <c r="L71">
        <v>386.8</v>
      </c>
      <c r="M71">
        <v>0</v>
      </c>
    </row>
    <row r="72" spans="1:13" x14ac:dyDescent="0.25">
      <c r="A72" t="s">
        <v>356</v>
      </c>
      <c r="B72" t="s">
        <v>357</v>
      </c>
      <c r="C72" t="s">
        <v>358</v>
      </c>
      <c r="D72" t="s">
        <v>359</v>
      </c>
      <c r="E72" t="s">
        <v>200</v>
      </c>
      <c r="F72" t="s">
        <v>84</v>
      </c>
      <c r="G72" t="s">
        <v>85</v>
      </c>
      <c r="H72" t="s">
        <v>42</v>
      </c>
      <c r="I72" t="s">
        <v>51</v>
      </c>
      <c r="J72" t="s">
        <v>34</v>
      </c>
      <c r="K72">
        <v>7</v>
      </c>
      <c r="L72">
        <v>1495.46</v>
      </c>
      <c r="M72">
        <v>0.2</v>
      </c>
    </row>
    <row r="73" spans="1:13" x14ac:dyDescent="0.25">
      <c r="A73" t="s">
        <v>360</v>
      </c>
      <c r="B73" t="s">
        <v>361</v>
      </c>
      <c r="C73" t="s">
        <v>362</v>
      </c>
      <c r="D73" t="s">
        <v>363</v>
      </c>
      <c r="E73" t="s">
        <v>116</v>
      </c>
      <c r="F73" t="s">
        <v>30</v>
      </c>
      <c r="G73" t="s">
        <v>65</v>
      </c>
      <c r="H73" t="s">
        <v>42</v>
      </c>
      <c r="I73" t="s">
        <v>33</v>
      </c>
      <c r="J73" t="s">
        <v>126</v>
      </c>
      <c r="K73">
        <v>8</v>
      </c>
      <c r="L73">
        <v>626.29</v>
      </c>
      <c r="M73">
        <v>0.05</v>
      </c>
    </row>
    <row r="74" spans="1:13" x14ac:dyDescent="0.25">
      <c r="A74" t="s">
        <v>364</v>
      </c>
      <c r="B74" t="s">
        <v>365</v>
      </c>
      <c r="C74" t="s">
        <v>366</v>
      </c>
      <c r="D74" t="s">
        <v>367</v>
      </c>
      <c r="E74" t="s">
        <v>71</v>
      </c>
      <c r="F74" t="s">
        <v>56</v>
      </c>
      <c r="G74" t="s">
        <v>57</v>
      </c>
      <c r="H74" t="s">
        <v>42</v>
      </c>
      <c r="I74" t="s">
        <v>96</v>
      </c>
      <c r="J74" t="s">
        <v>126</v>
      </c>
      <c r="K74">
        <v>1</v>
      </c>
      <c r="L74">
        <v>1299.3900000000001</v>
      </c>
      <c r="M74">
        <v>0.2</v>
      </c>
    </row>
    <row r="75" spans="1:13" x14ac:dyDescent="0.25">
      <c r="A75" t="s">
        <v>368</v>
      </c>
      <c r="B75" t="s">
        <v>369</v>
      </c>
      <c r="C75" t="s">
        <v>370</v>
      </c>
      <c r="D75" t="s">
        <v>371</v>
      </c>
      <c r="E75" t="s">
        <v>200</v>
      </c>
      <c r="F75" t="s">
        <v>49</v>
      </c>
      <c r="G75" t="s">
        <v>117</v>
      </c>
      <c r="H75" t="s">
        <v>58</v>
      </c>
      <c r="I75" t="s">
        <v>96</v>
      </c>
      <c r="J75" t="s">
        <v>34</v>
      </c>
      <c r="K75">
        <v>9</v>
      </c>
      <c r="L75">
        <v>317.27999999999997</v>
      </c>
      <c r="M75">
        <v>0</v>
      </c>
    </row>
    <row r="76" spans="1:13" x14ac:dyDescent="0.25">
      <c r="A76" t="s">
        <v>372</v>
      </c>
      <c r="B76" t="s">
        <v>373</v>
      </c>
      <c r="C76" t="s">
        <v>374</v>
      </c>
      <c r="D76" t="s">
        <v>375</v>
      </c>
      <c r="E76" t="s">
        <v>39</v>
      </c>
      <c r="F76" t="s">
        <v>30</v>
      </c>
      <c r="G76" t="s">
        <v>65</v>
      </c>
      <c r="H76" t="s">
        <v>32</v>
      </c>
      <c r="I76" t="s">
        <v>43</v>
      </c>
      <c r="J76" t="s">
        <v>126</v>
      </c>
      <c r="K76">
        <v>9</v>
      </c>
      <c r="L76">
        <v>833</v>
      </c>
      <c r="M76">
        <v>0.1</v>
      </c>
    </row>
    <row r="77" spans="1:13" x14ac:dyDescent="0.25">
      <c r="A77" t="s">
        <v>376</v>
      </c>
      <c r="B77" t="s">
        <v>377</v>
      </c>
      <c r="C77" t="s">
        <v>378</v>
      </c>
      <c r="D77" t="s">
        <v>379</v>
      </c>
      <c r="E77" t="s">
        <v>48</v>
      </c>
      <c r="F77" t="s">
        <v>49</v>
      </c>
      <c r="G77" t="s">
        <v>50</v>
      </c>
      <c r="H77" t="s">
        <v>42</v>
      </c>
      <c r="I77" t="s">
        <v>96</v>
      </c>
      <c r="J77" t="s">
        <v>73</v>
      </c>
      <c r="K77">
        <v>5</v>
      </c>
      <c r="L77">
        <v>770.67</v>
      </c>
      <c r="M77">
        <v>0.1</v>
      </c>
    </row>
    <row r="78" spans="1:13" x14ac:dyDescent="0.25">
      <c r="A78" t="s">
        <v>380</v>
      </c>
      <c r="B78" t="s">
        <v>381</v>
      </c>
      <c r="C78" t="s">
        <v>382</v>
      </c>
      <c r="D78" t="s">
        <v>383</v>
      </c>
      <c r="E78" t="s">
        <v>39</v>
      </c>
      <c r="F78" t="s">
        <v>40</v>
      </c>
      <c r="G78" t="s">
        <v>41</v>
      </c>
      <c r="H78" t="s">
        <v>58</v>
      </c>
      <c r="I78" t="s">
        <v>96</v>
      </c>
      <c r="J78" t="s">
        <v>59</v>
      </c>
      <c r="K78">
        <v>3</v>
      </c>
      <c r="L78">
        <v>1123.24</v>
      </c>
      <c r="M78">
        <v>0</v>
      </c>
    </row>
    <row r="79" spans="1:13" x14ac:dyDescent="0.25">
      <c r="A79" t="s">
        <v>384</v>
      </c>
      <c r="B79" t="s">
        <v>385</v>
      </c>
      <c r="C79" t="s">
        <v>386</v>
      </c>
      <c r="D79" t="s">
        <v>387</v>
      </c>
      <c r="E79" t="s">
        <v>29</v>
      </c>
      <c r="F79" t="s">
        <v>40</v>
      </c>
      <c r="G79" t="s">
        <v>41</v>
      </c>
      <c r="H79" t="s">
        <v>42</v>
      </c>
      <c r="I79" t="s">
        <v>33</v>
      </c>
      <c r="J79" t="s">
        <v>34</v>
      </c>
      <c r="K79">
        <v>8</v>
      </c>
      <c r="L79">
        <v>1498.37</v>
      </c>
      <c r="M79">
        <v>0</v>
      </c>
    </row>
    <row r="80" spans="1:13" x14ac:dyDescent="0.25">
      <c r="A80" t="s">
        <v>388</v>
      </c>
      <c r="B80" t="s">
        <v>389</v>
      </c>
      <c r="C80" t="s">
        <v>390</v>
      </c>
      <c r="D80" t="s">
        <v>391</v>
      </c>
      <c r="E80" t="s">
        <v>78</v>
      </c>
      <c r="F80" t="s">
        <v>49</v>
      </c>
      <c r="G80" t="s">
        <v>226</v>
      </c>
      <c r="H80" t="s">
        <v>72</v>
      </c>
      <c r="I80" t="s">
        <v>33</v>
      </c>
      <c r="J80" t="s">
        <v>34</v>
      </c>
      <c r="K80">
        <v>4</v>
      </c>
      <c r="L80">
        <v>1400.29</v>
      </c>
      <c r="M80">
        <v>0.2</v>
      </c>
    </row>
    <row r="81" spans="1:13" x14ac:dyDescent="0.25">
      <c r="A81" t="s">
        <v>392</v>
      </c>
      <c r="B81" t="s">
        <v>393</v>
      </c>
      <c r="C81" t="s">
        <v>394</v>
      </c>
      <c r="D81" t="s">
        <v>395</v>
      </c>
      <c r="E81" t="s">
        <v>200</v>
      </c>
      <c r="F81" t="s">
        <v>49</v>
      </c>
      <c r="G81" t="s">
        <v>226</v>
      </c>
      <c r="H81" t="s">
        <v>32</v>
      </c>
      <c r="I81" t="s">
        <v>43</v>
      </c>
      <c r="J81" t="s">
        <v>59</v>
      </c>
      <c r="K81">
        <v>3</v>
      </c>
      <c r="L81">
        <v>1482.79</v>
      </c>
      <c r="M81">
        <v>0.1</v>
      </c>
    </row>
    <row r="82" spans="1:13" x14ac:dyDescent="0.25">
      <c r="A82" t="s">
        <v>396</v>
      </c>
      <c r="B82" t="s">
        <v>397</v>
      </c>
      <c r="C82" t="s">
        <v>398</v>
      </c>
      <c r="D82" t="s">
        <v>399</v>
      </c>
      <c r="E82" t="s">
        <v>200</v>
      </c>
      <c r="F82" t="s">
        <v>56</v>
      </c>
      <c r="G82" t="s">
        <v>95</v>
      </c>
      <c r="H82" t="s">
        <v>42</v>
      </c>
      <c r="I82" t="s">
        <v>66</v>
      </c>
      <c r="J82" t="s">
        <v>59</v>
      </c>
      <c r="K82">
        <v>3</v>
      </c>
      <c r="L82">
        <v>623.82000000000005</v>
      </c>
      <c r="M82">
        <v>0</v>
      </c>
    </row>
    <row r="83" spans="1:13" x14ac:dyDescent="0.25">
      <c r="A83" t="s">
        <v>400</v>
      </c>
      <c r="B83" t="s">
        <v>401</v>
      </c>
      <c r="C83" t="s">
        <v>402</v>
      </c>
      <c r="D83" t="s">
        <v>403</v>
      </c>
      <c r="E83" t="s">
        <v>116</v>
      </c>
      <c r="F83" t="s">
        <v>84</v>
      </c>
      <c r="G83" t="s">
        <v>90</v>
      </c>
      <c r="H83" t="s">
        <v>42</v>
      </c>
      <c r="I83" t="s">
        <v>33</v>
      </c>
      <c r="J83" t="s">
        <v>126</v>
      </c>
      <c r="K83">
        <v>6</v>
      </c>
      <c r="L83">
        <v>579.30999999999995</v>
      </c>
      <c r="M83">
        <v>0.2</v>
      </c>
    </row>
    <row r="84" spans="1:13" x14ac:dyDescent="0.25">
      <c r="A84" t="s">
        <v>404</v>
      </c>
      <c r="B84" t="s">
        <v>405</v>
      </c>
      <c r="C84" t="s">
        <v>406</v>
      </c>
      <c r="D84" t="s">
        <v>407</v>
      </c>
      <c r="E84" t="s">
        <v>29</v>
      </c>
      <c r="F84" t="s">
        <v>30</v>
      </c>
      <c r="G84" t="s">
        <v>269</v>
      </c>
      <c r="H84" t="s">
        <v>32</v>
      </c>
      <c r="I84" t="s">
        <v>96</v>
      </c>
      <c r="J84" t="s">
        <v>73</v>
      </c>
      <c r="K84">
        <v>2</v>
      </c>
      <c r="L84">
        <v>659.45</v>
      </c>
      <c r="M84">
        <v>0.2</v>
      </c>
    </row>
    <row r="85" spans="1:13" x14ac:dyDescent="0.25">
      <c r="A85" t="s">
        <v>408</v>
      </c>
      <c r="B85" t="s">
        <v>409</v>
      </c>
      <c r="C85" t="s">
        <v>410</v>
      </c>
      <c r="D85" t="s">
        <v>411</v>
      </c>
      <c r="E85" t="s">
        <v>64</v>
      </c>
      <c r="F85" t="s">
        <v>84</v>
      </c>
      <c r="G85" t="s">
        <v>412</v>
      </c>
      <c r="H85" t="s">
        <v>42</v>
      </c>
      <c r="I85" t="s">
        <v>33</v>
      </c>
      <c r="J85" t="s">
        <v>73</v>
      </c>
      <c r="K85">
        <v>3</v>
      </c>
      <c r="L85">
        <v>571.64</v>
      </c>
      <c r="M85">
        <v>0</v>
      </c>
    </row>
    <row r="86" spans="1:13" x14ac:dyDescent="0.25">
      <c r="A86" t="s">
        <v>413</v>
      </c>
      <c r="B86" t="s">
        <v>414</v>
      </c>
      <c r="C86" t="s">
        <v>415</v>
      </c>
      <c r="D86" t="s">
        <v>416</v>
      </c>
      <c r="E86" t="s">
        <v>149</v>
      </c>
      <c r="F86" t="s">
        <v>40</v>
      </c>
      <c r="G86" t="s">
        <v>106</v>
      </c>
      <c r="H86" t="s">
        <v>72</v>
      </c>
      <c r="I86" t="s">
        <v>96</v>
      </c>
      <c r="J86" t="s">
        <v>59</v>
      </c>
      <c r="K86">
        <v>10</v>
      </c>
      <c r="L86">
        <v>754.04</v>
      </c>
      <c r="M86">
        <v>0</v>
      </c>
    </row>
    <row r="87" spans="1:13" x14ac:dyDescent="0.25">
      <c r="A87" t="s">
        <v>417</v>
      </c>
      <c r="B87" t="s">
        <v>418</v>
      </c>
      <c r="C87" t="s">
        <v>419</v>
      </c>
      <c r="D87" t="s">
        <v>420</v>
      </c>
      <c r="E87" t="s">
        <v>200</v>
      </c>
      <c r="F87" t="s">
        <v>84</v>
      </c>
      <c r="G87" t="s">
        <v>90</v>
      </c>
      <c r="H87" t="s">
        <v>58</v>
      </c>
      <c r="I87" t="s">
        <v>96</v>
      </c>
      <c r="J87" t="s">
        <v>59</v>
      </c>
      <c r="K87">
        <v>8</v>
      </c>
      <c r="L87">
        <v>249.59</v>
      </c>
      <c r="M87">
        <v>0.05</v>
      </c>
    </row>
    <row r="88" spans="1:13" x14ac:dyDescent="0.25">
      <c r="A88" t="s">
        <v>421</v>
      </c>
      <c r="B88" t="s">
        <v>422</v>
      </c>
      <c r="C88" t="s">
        <v>423</v>
      </c>
      <c r="D88" t="s">
        <v>424</v>
      </c>
      <c r="E88" t="s">
        <v>200</v>
      </c>
      <c r="F88" t="s">
        <v>56</v>
      </c>
      <c r="G88" t="s">
        <v>95</v>
      </c>
      <c r="H88" t="s">
        <v>58</v>
      </c>
      <c r="I88" t="s">
        <v>66</v>
      </c>
      <c r="J88" t="s">
        <v>126</v>
      </c>
      <c r="K88">
        <v>6</v>
      </c>
      <c r="L88">
        <v>581.33000000000004</v>
      </c>
      <c r="M88">
        <v>0.15</v>
      </c>
    </row>
    <row r="89" spans="1:13" x14ac:dyDescent="0.25">
      <c r="A89" t="s">
        <v>425</v>
      </c>
      <c r="B89" t="s">
        <v>426</v>
      </c>
      <c r="C89" t="s">
        <v>427</v>
      </c>
      <c r="D89" t="s">
        <v>428</v>
      </c>
      <c r="E89" t="s">
        <v>83</v>
      </c>
      <c r="F89" t="s">
        <v>56</v>
      </c>
      <c r="G89" t="s">
        <v>111</v>
      </c>
      <c r="H89" t="s">
        <v>58</v>
      </c>
      <c r="I89" t="s">
        <v>43</v>
      </c>
      <c r="J89" t="s">
        <v>73</v>
      </c>
      <c r="K89">
        <v>5</v>
      </c>
      <c r="L89">
        <v>1121.58</v>
      </c>
      <c r="M89">
        <v>0</v>
      </c>
    </row>
    <row r="90" spans="1:13" x14ac:dyDescent="0.25">
      <c r="A90" t="s">
        <v>429</v>
      </c>
      <c r="B90" t="s">
        <v>430</v>
      </c>
      <c r="C90" t="s">
        <v>431</v>
      </c>
      <c r="D90" t="s">
        <v>432</v>
      </c>
      <c r="E90" t="s">
        <v>48</v>
      </c>
      <c r="F90" t="s">
        <v>56</v>
      </c>
      <c r="G90" t="s">
        <v>101</v>
      </c>
      <c r="H90" t="s">
        <v>58</v>
      </c>
      <c r="I90" t="s">
        <v>43</v>
      </c>
      <c r="J90" t="s">
        <v>126</v>
      </c>
      <c r="K90">
        <v>8</v>
      </c>
      <c r="L90">
        <v>473.77</v>
      </c>
      <c r="M90">
        <v>0</v>
      </c>
    </row>
    <row r="91" spans="1:13" x14ac:dyDescent="0.25">
      <c r="A91" t="s">
        <v>433</v>
      </c>
      <c r="B91" t="s">
        <v>434</v>
      </c>
      <c r="C91" t="s">
        <v>435</v>
      </c>
      <c r="D91" t="s">
        <v>436</v>
      </c>
      <c r="E91" t="s">
        <v>48</v>
      </c>
      <c r="F91" t="s">
        <v>30</v>
      </c>
      <c r="G91" t="s">
        <v>31</v>
      </c>
      <c r="H91" t="s">
        <v>58</v>
      </c>
      <c r="I91" t="s">
        <v>43</v>
      </c>
      <c r="J91" t="s">
        <v>59</v>
      </c>
      <c r="K91">
        <v>6</v>
      </c>
      <c r="L91">
        <v>1182.97</v>
      </c>
      <c r="M91">
        <v>0.15</v>
      </c>
    </row>
    <row r="92" spans="1:13" x14ac:dyDescent="0.25">
      <c r="A92" t="s">
        <v>437</v>
      </c>
      <c r="B92" t="s">
        <v>438</v>
      </c>
      <c r="C92" t="s">
        <v>439</v>
      </c>
      <c r="D92" t="s">
        <v>440</v>
      </c>
      <c r="E92" t="s">
        <v>71</v>
      </c>
      <c r="F92" t="s">
        <v>56</v>
      </c>
      <c r="G92" t="s">
        <v>57</v>
      </c>
      <c r="H92" t="s">
        <v>42</v>
      </c>
      <c r="I92" t="s">
        <v>33</v>
      </c>
      <c r="J92" t="s">
        <v>59</v>
      </c>
      <c r="K92">
        <v>3</v>
      </c>
      <c r="L92">
        <v>1444.9</v>
      </c>
      <c r="M92">
        <v>0</v>
      </c>
    </row>
    <row r="93" spans="1:13" x14ac:dyDescent="0.25">
      <c r="A93" t="s">
        <v>441</v>
      </c>
      <c r="B93" t="s">
        <v>442</v>
      </c>
      <c r="C93" t="s">
        <v>443</v>
      </c>
      <c r="D93" t="s">
        <v>444</v>
      </c>
      <c r="E93" t="s">
        <v>78</v>
      </c>
      <c r="F93" t="s">
        <v>56</v>
      </c>
      <c r="G93" t="s">
        <v>57</v>
      </c>
      <c r="H93" t="s">
        <v>42</v>
      </c>
      <c r="I93" t="s">
        <v>66</v>
      </c>
      <c r="J93" t="s">
        <v>126</v>
      </c>
      <c r="K93">
        <v>5</v>
      </c>
      <c r="L93">
        <v>562.35</v>
      </c>
      <c r="M93">
        <v>0.15</v>
      </c>
    </row>
    <row r="94" spans="1:13" x14ac:dyDescent="0.25">
      <c r="A94" t="s">
        <v>445</v>
      </c>
      <c r="B94" t="s">
        <v>446</v>
      </c>
      <c r="C94" t="s">
        <v>447</v>
      </c>
      <c r="D94" t="s">
        <v>448</v>
      </c>
      <c r="E94" t="s">
        <v>83</v>
      </c>
      <c r="F94" t="s">
        <v>40</v>
      </c>
      <c r="G94" t="s">
        <v>315</v>
      </c>
      <c r="H94" t="s">
        <v>32</v>
      </c>
      <c r="I94" t="s">
        <v>96</v>
      </c>
      <c r="J94" t="s">
        <v>59</v>
      </c>
      <c r="K94">
        <v>4</v>
      </c>
      <c r="L94">
        <v>1374.16</v>
      </c>
      <c r="M94">
        <v>0.2</v>
      </c>
    </row>
    <row r="95" spans="1:13" x14ac:dyDescent="0.25">
      <c r="A95" t="s">
        <v>449</v>
      </c>
      <c r="B95" t="s">
        <v>450</v>
      </c>
      <c r="C95" t="s">
        <v>451</v>
      </c>
      <c r="D95" t="s">
        <v>452</v>
      </c>
      <c r="E95" t="s">
        <v>64</v>
      </c>
      <c r="F95" t="s">
        <v>56</v>
      </c>
      <c r="G95" t="s">
        <v>190</v>
      </c>
      <c r="H95" t="s">
        <v>72</v>
      </c>
      <c r="I95" t="s">
        <v>33</v>
      </c>
      <c r="J95" t="s">
        <v>73</v>
      </c>
      <c r="K95">
        <v>2</v>
      </c>
      <c r="L95">
        <v>1493.95</v>
      </c>
      <c r="M95">
        <v>0</v>
      </c>
    </row>
    <row r="96" spans="1:13" x14ac:dyDescent="0.25">
      <c r="A96" t="s">
        <v>453</v>
      </c>
      <c r="B96" t="s">
        <v>454</v>
      </c>
      <c r="C96" t="s">
        <v>455</v>
      </c>
      <c r="D96" t="s">
        <v>456</v>
      </c>
      <c r="E96" t="s">
        <v>78</v>
      </c>
      <c r="F96" t="s">
        <v>49</v>
      </c>
      <c r="G96" t="s">
        <v>259</v>
      </c>
      <c r="H96" t="s">
        <v>32</v>
      </c>
      <c r="I96" t="s">
        <v>96</v>
      </c>
      <c r="J96" t="s">
        <v>34</v>
      </c>
      <c r="K96">
        <v>3</v>
      </c>
      <c r="L96">
        <v>1117.27</v>
      </c>
      <c r="M96">
        <v>0.1</v>
      </c>
    </row>
    <row r="97" spans="1:13" x14ac:dyDescent="0.25">
      <c r="A97" t="s">
        <v>457</v>
      </c>
      <c r="B97" t="s">
        <v>458</v>
      </c>
      <c r="C97" t="s">
        <v>459</v>
      </c>
      <c r="D97" t="s">
        <v>460</v>
      </c>
      <c r="E97" t="s">
        <v>39</v>
      </c>
      <c r="F97" t="s">
        <v>49</v>
      </c>
      <c r="G97" t="s">
        <v>226</v>
      </c>
      <c r="H97" t="s">
        <v>58</v>
      </c>
      <c r="I97" t="s">
        <v>33</v>
      </c>
      <c r="J97" t="s">
        <v>59</v>
      </c>
      <c r="K97">
        <v>6</v>
      </c>
      <c r="L97">
        <v>1426.57</v>
      </c>
      <c r="M97">
        <v>0</v>
      </c>
    </row>
    <row r="98" spans="1:13" x14ac:dyDescent="0.25">
      <c r="A98" t="s">
        <v>461</v>
      </c>
      <c r="B98" t="s">
        <v>462</v>
      </c>
      <c r="C98" t="s">
        <v>463</v>
      </c>
      <c r="D98" t="s">
        <v>464</v>
      </c>
      <c r="E98" t="s">
        <v>116</v>
      </c>
      <c r="F98" t="s">
        <v>49</v>
      </c>
      <c r="G98" t="s">
        <v>117</v>
      </c>
      <c r="H98" t="s">
        <v>32</v>
      </c>
      <c r="I98" t="s">
        <v>66</v>
      </c>
      <c r="J98" t="s">
        <v>73</v>
      </c>
      <c r="K98">
        <v>10</v>
      </c>
      <c r="L98">
        <v>999.21</v>
      </c>
      <c r="M98">
        <v>0</v>
      </c>
    </row>
    <row r="99" spans="1:13" x14ac:dyDescent="0.25">
      <c r="A99" t="s">
        <v>465</v>
      </c>
      <c r="B99" t="s">
        <v>466</v>
      </c>
      <c r="C99" t="s">
        <v>467</v>
      </c>
      <c r="D99" t="s">
        <v>468</v>
      </c>
      <c r="E99" t="s">
        <v>78</v>
      </c>
      <c r="F99" t="s">
        <v>30</v>
      </c>
      <c r="G99" t="s">
        <v>139</v>
      </c>
      <c r="H99" t="s">
        <v>72</v>
      </c>
      <c r="I99" t="s">
        <v>33</v>
      </c>
      <c r="J99" t="s">
        <v>126</v>
      </c>
      <c r="K99">
        <v>4</v>
      </c>
      <c r="L99">
        <v>335.69</v>
      </c>
      <c r="M99">
        <v>0.05</v>
      </c>
    </row>
    <row r="100" spans="1:13" x14ac:dyDescent="0.25">
      <c r="A100" t="s">
        <v>469</v>
      </c>
      <c r="B100" t="s">
        <v>470</v>
      </c>
      <c r="C100" t="s">
        <v>471</v>
      </c>
      <c r="D100" t="s">
        <v>472</v>
      </c>
      <c r="E100" t="s">
        <v>29</v>
      </c>
      <c r="F100" t="s">
        <v>30</v>
      </c>
      <c r="G100" t="s">
        <v>269</v>
      </c>
      <c r="H100" t="s">
        <v>32</v>
      </c>
      <c r="I100" t="s">
        <v>66</v>
      </c>
      <c r="J100" t="s">
        <v>73</v>
      </c>
      <c r="K100">
        <v>1</v>
      </c>
      <c r="L100">
        <v>996.67</v>
      </c>
      <c r="M100">
        <v>0</v>
      </c>
    </row>
    <row r="101" spans="1:13" x14ac:dyDescent="0.25">
      <c r="A101" t="s">
        <v>473</v>
      </c>
      <c r="B101" t="s">
        <v>474</v>
      </c>
      <c r="C101" t="s">
        <v>475</v>
      </c>
      <c r="D101" t="s">
        <v>476</v>
      </c>
      <c r="E101" t="s">
        <v>29</v>
      </c>
      <c r="F101" t="s">
        <v>56</v>
      </c>
      <c r="G101" t="s">
        <v>95</v>
      </c>
      <c r="H101" t="s">
        <v>32</v>
      </c>
      <c r="I101" t="s">
        <v>96</v>
      </c>
      <c r="J101" t="s">
        <v>34</v>
      </c>
      <c r="K101">
        <v>9</v>
      </c>
      <c r="L101">
        <v>1116.45</v>
      </c>
      <c r="M101">
        <v>0</v>
      </c>
    </row>
    <row r="102" spans="1:13" x14ac:dyDescent="0.25">
      <c r="A102" t="s">
        <v>477</v>
      </c>
      <c r="B102" t="s">
        <v>478</v>
      </c>
      <c r="C102" t="s">
        <v>479</v>
      </c>
      <c r="D102" t="s">
        <v>480</v>
      </c>
      <c r="E102" t="s">
        <v>200</v>
      </c>
      <c r="F102" t="s">
        <v>40</v>
      </c>
      <c r="G102" t="s">
        <v>106</v>
      </c>
      <c r="H102" t="s">
        <v>58</v>
      </c>
      <c r="I102" t="s">
        <v>96</v>
      </c>
      <c r="J102" t="s">
        <v>126</v>
      </c>
      <c r="K102">
        <v>1</v>
      </c>
      <c r="L102">
        <v>1418.94</v>
      </c>
      <c r="M102">
        <v>0.2</v>
      </c>
    </row>
    <row r="103" spans="1:13" x14ac:dyDescent="0.25">
      <c r="A103" t="s">
        <v>481</v>
      </c>
      <c r="B103" t="s">
        <v>482</v>
      </c>
      <c r="C103" t="s">
        <v>483</v>
      </c>
      <c r="D103" t="s">
        <v>484</v>
      </c>
      <c r="E103" t="s">
        <v>116</v>
      </c>
      <c r="F103" t="s">
        <v>49</v>
      </c>
      <c r="G103" t="s">
        <v>226</v>
      </c>
      <c r="H103" t="s">
        <v>72</v>
      </c>
      <c r="I103" t="s">
        <v>51</v>
      </c>
      <c r="J103" t="s">
        <v>73</v>
      </c>
      <c r="K103">
        <v>2</v>
      </c>
      <c r="L103">
        <v>124.13</v>
      </c>
      <c r="M103">
        <v>0.05</v>
      </c>
    </row>
    <row r="104" spans="1:13" x14ac:dyDescent="0.25">
      <c r="A104" t="s">
        <v>485</v>
      </c>
      <c r="B104" t="s">
        <v>486</v>
      </c>
      <c r="C104" t="s">
        <v>487</v>
      </c>
      <c r="D104" t="s">
        <v>488</v>
      </c>
      <c r="E104" t="s">
        <v>78</v>
      </c>
      <c r="F104" t="s">
        <v>84</v>
      </c>
      <c r="G104" t="s">
        <v>264</v>
      </c>
      <c r="H104" t="s">
        <v>42</v>
      </c>
      <c r="I104" t="s">
        <v>33</v>
      </c>
      <c r="J104" t="s">
        <v>34</v>
      </c>
      <c r="K104">
        <v>9</v>
      </c>
      <c r="L104">
        <v>1492.02</v>
      </c>
      <c r="M104">
        <v>0.05</v>
      </c>
    </row>
    <row r="105" spans="1:13" x14ac:dyDescent="0.25">
      <c r="A105" t="s">
        <v>489</v>
      </c>
      <c r="B105" t="s">
        <v>490</v>
      </c>
      <c r="C105" t="s">
        <v>491</v>
      </c>
      <c r="D105" t="s">
        <v>492</v>
      </c>
      <c r="E105" t="s">
        <v>78</v>
      </c>
      <c r="F105" t="s">
        <v>30</v>
      </c>
      <c r="G105" t="s">
        <v>195</v>
      </c>
      <c r="H105" t="s">
        <v>58</v>
      </c>
      <c r="I105" t="s">
        <v>96</v>
      </c>
      <c r="J105" t="s">
        <v>34</v>
      </c>
      <c r="K105">
        <v>4</v>
      </c>
      <c r="L105">
        <v>685.56</v>
      </c>
      <c r="M105">
        <v>0.1</v>
      </c>
    </row>
    <row r="106" spans="1:13" x14ac:dyDescent="0.25">
      <c r="A106" t="s">
        <v>493</v>
      </c>
      <c r="B106" t="s">
        <v>494</v>
      </c>
      <c r="C106" t="s">
        <v>495</v>
      </c>
      <c r="D106" t="s">
        <v>496</v>
      </c>
      <c r="E106" t="s">
        <v>71</v>
      </c>
      <c r="F106" t="s">
        <v>84</v>
      </c>
      <c r="G106" t="s">
        <v>412</v>
      </c>
      <c r="H106" t="s">
        <v>32</v>
      </c>
      <c r="I106" t="s">
        <v>51</v>
      </c>
      <c r="J106" t="s">
        <v>126</v>
      </c>
      <c r="K106">
        <v>8</v>
      </c>
      <c r="L106">
        <v>1431.08</v>
      </c>
      <c r="M106">
        <v>0</v>
      </c>
    </row>
    <row r="107" spans="1:13" x14ac:dyDescent="0.25">
      <c r="A107" t="s">
        <v>497</v>
      </c>
      <c r="B107" t="s">
        <v>498</v>
      </c>
      <c r="C107" t="s">
        <v>499</v>
      </c>
      <c r="D107" t="s">
        <v>500</v>
      </c>
      <c r="E107" t="s">
        <v>71</v>
      </c>
      <c r="F107" t="s">
        <v>30</v>
      </c>
      <c r="G107" t="s">
        <v>139</v>
      </c>
      <c r="H107" t="s">
        <v>58</v>
      </c>
      <c r="I107" t="s">
        <v>51</v>
      </c>
      <c r="J107" t="s">
        <v>34</v>
      </c>
      <c r="K107">
        <v>9</v>
      </c>
      <c r="L107">
        <v>104.07</v>
      </c>
      <c r="M107">
        <v>0.15</v>
      </c>
    </row>
    <row r="108" spans="1:13" x14ac:dyDescent="0.25">
      <c r="A108" t="s">
        <v>501</v>
      </c>
      <c r="B108" t="s">
        <v>502</v>
      </c>
      <c r="C108" t="s">
        <v>503</v>
      </c>
      <c r="D108" t="s">
        <v>504</v>
      </c>
      <c r="E108" t="s">
        <v>64</v>
      </c>
      <c r="F108" t="s">
        <v>84</v>
      </c>
      <c r="G108" t="s">
        <v>90</v>
      </c>
      <c r="H108" t="s">
        <v>72</v>
      </c>
      <c r="I108" t="s">
        <v>43</v>
      </c>
      <c r="J108" t="s">
        <v>34</v>
      </c>
      <c r="K108">
        <v>2</v>
      </c>
      <c r="L108">
        <v>478.99</v>
      </c>
      <c r="M108">
        <v>0.15</v>
      </c>
    </row>
    <row r="109" spans="1:13" x14ac:dyDescent="0.25">
      <c r="A109" t="s">
        <v>505</v>
      </c>
      <c r="B109" t="s">
        <v>506</v>
      </c>
      <c r="C109" t="s">
        <v>507</v>
      </c>
      <c r="D109" t="s">
        <v>508</v>
      </c>
      <c r="E109" t="s">
        <v>78</v>
      </c>
      <c r="F109" t="s">
        <v>84</v>
      </c>
      <c r="G109" t="s">
        <v>205</v>
      </c>
      <c r="H109" t="s">
        <v>42</v>
      </c>
      <c r="I109" t="s">
        <v>33</v>
      </c>
      <c r="J109" t="s">
        <v>126</v>
      </c>
      <c r="K109">
        <v>10</v>
      </c>
      <c r="L109">
        <v>1147.47</v>
      </c>
      <c r="M109">
        <v>0</v>
      </c>
    </row>
    <row r="110" spans="1:13" x14ac:dyDescent="0.25">
      <c r="A110" t="s">
        <v>509</v>
      </c>
      <c r="B110" t="s">
        <v>510</v>
      </c>
      <c r="C110" t="s">
        <v>511</v>
      </c>
      <c r="D110" t="s">
        <v>512</v>
      </c>
      <c r="E110" t="s">
        <v>64</v>
      </c>
      <c r="F110" t="s">
        <v>30</v>
      </c>
      <c r="G110" t="s">
        <v>65</v>
      </c>
      <c r="H110" t="s">
        <v>58</v>
      </c>
      <c r="I110" t="s">
        <v>51</v>
      </c>
      <c r="J110" t="s">
        <v>73</v>
      </c>
      <c r="K110">
        <v>5</v>
      </c>
      <c r="L110">
        <v>1058.51</v>
      </c>
      <c r="M110">
        <v>0.05</v>
      </c>
    </row>
    <row r="111" spans="1:13" x14ac:dyDescent="0.25">
      <c r="A111" t="s">
        <v>513</v>
      </c>
      <c r="B111" t="s">
        <v>514</v>
      </c>
      <c r="C111" t="s">
        <v>515</v>
      </c>
      <c r="D111" t="s">
        <v>516</v>
      </c>
      <c r="E111" t="s">
        <v>116</v>
      </c>
      <c r="F111" t="s">
        <v>30</v>
      </c>
      <c r="G111" t="s">
        <v>269</v>
      </c>
      <c r="H111" t="s">
        <v>42</v>
      </c>
      <c r="I111" t="s">
        <v>96</v>
      </c>
      <c r="J111" t="s">
        <v>34</v>
      </c>
      <c r="K111">
        <v>9</v>
      </c>
      <c r="L111">
        <v>151.26</v>
      </c>
      <c r="M111">
        <v>0</v>
      </c>
    </row>
    <row r="112" spans="1:13" x14ac:dyDescent="0.25">
      <c r="A112" t="s">
        <v>517</v>
      </c>
      <c r="B112" t="s">
        <v>518</v>
      </c>
      <c r="C112" t="s">
        <v>519</v>
      </c>
      <c r="D112" t="s">
        <v>520</v>
      </c>
      <c r="E112" t="s">
        <v>71</v>
      </c>
      <c r="F112" t="s">
        <v>40</v>
      </c>
      <c r="G112" t="s">
        <v>41</v>
      </c>
      <c r="H112" t="s">
        <v>72</v>
      </c>
      <c r="I112" t="s">
        <v>33</v>
      </c>
      <c r="J112" t="s">
        <v>126</v>
      </c>
      <c r="K112">
        <v>1</v>
      </c>
      <c r="L112">
        <v>141.16</v>
      </c>
      <c r="M112">
        <v>0</v>
      </c>
    </row>
    <row r="113" spans="1:13" x14ac:dyDescent="0.25">
      <c r="A113" t="s">
        <v>521</v>
      </c>
      <c r="B113" t="s">
        <v>522</v>
      </c>
      <c r="C113" t="s">
        <v>523</v>
      </c>
      <c r="D113" t="s">
        <v>524</v>
      </c>
      <c r="E113" t="s">
        <v>149</v>
      </c>
      <c r="F113" t="s">
        <v>49</v>
      </c>
      <c r="G113" t="s">
        <v>259</v>
      </c>
      <c r="H113" t="s">
        <v>32</v>
      </c>
      <c r="I113" t="s">
        <v>66</v>
      </c>
      <c r="J113" t="s">
        <v>34</v>
      </c>
      <c r="K113">
        <v>5</v>
      </c>
      <c r="L113">
        <v>671.44</v>
      </c>
      <c r="M113">
        <v>0</v>
      </c>
    </row>
    <row r="114" spans="1:13" x14ac:dyDescent="0.25">
      <c r="A114" t="s">
        <v>525</v>
      </c>
      <c r="B114" t="s">
        <v>526</v>
      </c>
      <c r="C114" t="s">
        <v>527</v>
      </c>
      <c r="D114" t="s">
        <v>528</v>
      </c>
      <c r="E114" t="s">
        <v>83</v>
      </c>
      <c r="F114" t="s">
        <v>49</v>
      </c>
      <c r="G114" t="s">
        <v>259</v>
      </c>
      <c r="H114" t="s">
        <v>42</v>
      </c>
      <c r="I114" t="s">
        <v>33</v>
      </c>
      <c r="J114" t="s">
        <v>126</v>
      </c>
      <c r="K114">
        <v>1</v>
      </c>
      <c r="L114">
        <v>1005.69</v>
      </c>
      <c r="M114">
        <v>0</v>
      </c>
    </row>
    <row r="115" spans="1:13" x14ac:dyDescent="0.25">
      <c r="A115" t="s">
        <v>529</v>
      </c>
      <c r="B115" t="s">
        <v>530</v>
      </c>
      <c r="C115" t="s">
        <v>531</v>
      </c>
      <c r="D115" t="s">
        <v>532</v>
      </c>
      <c r="E115" t="s">
        <v>48</v>
      </c>
      <c r="F115" t="s">
        <v>84</v>
      </c>
      <c r="G115" t="s">
        <v>412</v>
      </c>
      <c r="H115" t="s">
        <v>42</v>
      </c>
      <c r="I115" t="s">
        <v>43</v>
      </c>
      <c r="J115" t="s">
        <v>73</v>
      </c>
      <c r="K115">
        <v>1</v>
      </c>
      <c r="L115">
        <v>502.26</v>
      </c>
      <c r="M115">
        <v>0.1</v>
      </c>
    </row>
    <row r="116" spans="1:13" x14ac:dyDescent="0.25">
      <c r="A116" t="s">
        <v>533</v>
      </c>
      <c r="B116" t="s">
        <v>534</v>
      </c>
      <c r="C116" t="s">
        <v>535</v>
      </c>
      <c r="D116" t="s">
        <v>536</v>
      </c>
      <c r="E116" t="s">
        <v>78</v>
      </c>
      <c r="F116" t="s">
        <v>40</v>
      </c>
      <c r="G116" t="s">
        <v>315</v>
      </c>
      <c r="H116" t="s">
        <v>32</v>
      </c>
      <c r="I116" t="s">
        <v>96</v>
      </c>
      <c r="J116" t="s">
        <v>126</v>
      </c>
      <c r="K116">
        <v>1</v>
      </c>
      <c r="L116">
        <v>122.03</v>
      </c>
      <c r="M116">
        <v>0.1</v>
      </c>
    </row>
    <row r="117" spans="1:13" x14ac:dyDescent="0.25">
      <c r="A117" t="s">
        <v>537</v>
      </c>
      <c r="B117" t="s">
        <v>538</v>
      </c>
      <c r="C117" t="s">
        <v>539</v>
      </c>
      <c r="D117" t="s">
        <v>540</v>
      </c>
      <c r="E117" t="s">
        <v>149</v>
      </c>
      <c r="F117" t="s">
        <v>49</v>
      </c>
      <c r="G117" t="s">
        <v>50</v>
      </c>
      <c r="H117" t="s">
        <v>72</v>
      </c>
      <c r="I117" t="s">
        <v>33</v>
      </c>
      <c r="J117" t="s">
        <v>34</v>
      </c>
      <c r="K117">
        <v>1</v>
      </c>
      <c r="L117">
        <v>186.03</v>
      </c>
      <c r="M117">
        <v>0.05</v>
      </c>
    </row>
    <row r="118" spans="1:13" x14ac:dyDescent="0.25">
      <c r="A118" t="s">
        <v>541</v>
      </c>
      <c r="B118" t="s">
        <v>542</v>
      </c>
      <c r="C118" t="s">
        <v>543</v>
      </c>
      <c r="D118" t="s">
        <v>544</v>
      </c>
      <c r="E118" t="s">
        <v>116</v>
      </c>
      <c r="F118" t="s">
        <v>30</v>
      </c>
      <c r="G118" t="s">
        <v>195</v>
      </c>
      <c r="H118" t="s">
        <v>42</v>
      </c>
      <c r="I118" t="s">
        <v>66</v>
      </c>
      <c r="J118" t="s">
        <v>59</v>
      </c>
      <c r="K118">
        <v>9</v>
      </c>
      <c r="L118">
        <v>889.47</v>
      </c>
      <c r="M118">
        <v>0</v>
      </c>
    </row>
    <row r="119" spans="1:13" x14ac:dyDescent="0.25">
      <c r="A119" t="s">
        <v>545</v>
      </c>
      <c r="B119" t="s">
        <v>546</v>
      </c>
      <c r="C119" t="s">
        <v>547</v>
      </c>
      <c r="D119" t="s">
        <v>548</v>
      </c>
      <c r="E119" t="s">
        <v>78</v>
      </c>
      <c r="F119" t="s">
        <v>56</v>
      </c>
      <c r="G119" t="s">
        <v>111</v>
      </c>
      <c r="H119" t="s">
        <v>72</v>
      </c>
      <c r="I119" t="s">
        <v>43</v>
      </c>
      <c r="J119" t="s">
        <v>126</v>
      </c>
      <c r="K119">
        <v>6</v>
      </c>
      <c r="L119">
        <v>772.28</v>
      </c>
      <c r="M119">
        <v>0.05</v>
      </c>
    </row>
    <row r="120" spans="1:13" x14ac:dyDescent="0.25">
      <c r="A120" t="s">
        <v>549</v>
      </c>
      <c r="B120" t="s">
        <v>550</v>
      </c>
      <c r="C120" t="s">
        <v>551</v>
      </c>
      <c r="D120" t="s">
        <v>552</v>
      </c>
      <c r="E120" t="s">
        <v>83</v>
      </c>
      <c r="F120" t="s">
        <v>30</v>
      </c>
      <c r="G120" t="s">
        <v>269</v>
      </c>
      <c r="H120" t="s">
        <v>42</v>
      </c>
      <c r="I120" t="s">
        <v>33</v>
      </c>
      <c r="J120" t="s">
        <v>59</v>
      </c>
      <c r="K120">
        <v>8</v>
      </c>
      <c r="L120">
        <v>278.06</v>
      </c>
      <c r="M120">
        <v>0.1</v>
      </c>
    </row>
    <row r="121" spans="1:13" x14ac:dyDescent="0.25">
      <c r="A121" t="s">
        <v>553</v>
      </c>
      <c r="B121" t="s">
        <v>554</v>
      </c>
      <c r="C121" t="s">
        <v>555</v>
      </c>
      <c r="D121" t="s">
        <v>556</v>
      </c>
      <c r="E121" t="s">
        <v>116</v>
      </c>
      <c r="F121" t="s">
        <v>49</v>
      </c>
      <c r="G121" t="s">
        <v>226</v>
      </c>
      <c r="H121" t="s">
        <v>32</v>
      </c>
      <c r="I121" t="s">
        <v>66</v>
      </c>
      <c r="J121" t="s">
        <v>126</v>
      </c>
      <c r="K121">
        <v>5</v>
      </c>
      <c r="L121">
        <v>952.61</v>
      </c>
      <c r="M121">
        <v>0.15</v>
      </c>
    </row>
    <row r="122" spans="1:13" x14ac:dyDescent="0.25">
      <c r="A122" t="s">
        <v>557</v>
      </c>
      <c r="B122" t="s">
        <v>558</v>
      </c>
      <c r="C122" t="s">
        <v>559</v>
      </c>
      <c r="D122" t="s">
        <v>560</v>
      </c>
      <c r="E122" t="s">
        <v>64</v>
      </c>
      <c r="F122" t="s">
        <v>84</v>
      </c>
      <c r="G122" t="s">
        <v>412</v>
      </c>
      <c r="H122" t="s">
        <v>42</v>
      </c>
      <c r="I122" t="s">
        <v>96</v>
      </c>
      <c r="J122" t="s">
        <v>126</v>
      </c>
      <c r="K122">
        <v>2</v>
      </c>
      <c r="L122">
        <v>128.94999999999999</v>
      </c>
      <c r="M122">
        <v>0.15</v>
      </c>
    </row>
    <row r="123" spans="1:13" x14ac:dyDescent="0.25">
      <c r="A123" t="s">
        <v>561</v>
      </c>
      <c r="B123" t="s">
        <v>562</v>
      </c>
      <c r="C123" t="s">
        <v>563</v>
      </c>
      <c r="D123" t="s">
        <v>564</v>
      </c>
      <c r="E123" t="s">
        <v>71</v>
      </c>
      <c r="F123" t="s">
        <v>40</v>
      </c>
      <c r="G123" t="s">
        <v>565</v>
      </c>
      <c r="H123" t="s">
        <v>32</v>
      </c>
      <c r="I123" t="s">
        <v>66</v>
      </c>
      <c r="J123" t="s">
        <v>126</v>
      </c>
      <c r="K123">
        <v>1</v>
      </c>
      <c r="L123">
        <v>759.53</v>
      </c>
      <c r="M123">
        <v>0.1</v>
      </c>
    </row>
    <row r="124" spans="1:13" x14ac:dyDescent="0.25">
      <c r="A124" t="s">
        <v>566</v>
      </c>
      <c r="B124" t="s">
        <v>567</v>
      </c>
      <c r="C124" t="s">
        <v>568</v>
      </c>
      <c r="D124" t="s">
        <v>569</v>
      </c>
      <c r="E124" t="s">
        <v>39</v>
      </c>
      <c r="F124" t="s">
        <v>49</v>
      </c>
      <c r="G124" t="s">
        <v>226</v>
      </c>
      <c r="H124" t="s">
        <v>58</v>
      </c>
      <c r="I124" t="s">
        <v>66</v>
      </c>
      <c r="J124" t="s">
        <v>59</v>
      </c>
      <c r="K124">
        <v>10</v>
      </c>
      <c r="L124">
        <v>793.24</v>
      </c>
      <c r="M124">
        <v>0</v>
      </c>
    </row>
    <row r="125" spans="1:13" x14ac:dyDescent="0.25">
      <c r="A125" t="s">
        <v>570</v>
      </c>
      <c r="B125" t="s">
        <v>571</v>
      </c>
      <c r="C125" t="s">
        <v>572</v>
      </c>
      <c r="D125" t="s">
        <v>573</v>
      </c>
      <c r="E125" t="s">
        <v>83</v>
      </c>
      <c r="F125" t="s">
        <v>56</v>
      </c>
      <c r="G125" t="s">
        <v>190</v>
      </c>
      <c r="H125" t="s">
        <v>42</v>
      </c>
      <c r="I125" t="s">
        <v>66</v>
      </c>
      <c r="J125" t="s">
        <v>59</v>
      </c>
      <c r="K125">
        <v>2</v>
      </c>
      <c r="L125">
        <v>112.88</v>
      </c>
      <c r="M125">
        <v>0.15</v>
      </c>
    </row>
    <row r="126" spans="1:13" x14ac:dyDescent="0.25">
      <c r="A126" t="s">
        <v>574</v>
      </c>
      <c r="B126" t="s">
        <v>575</v>
      </c>
      <c r="C126" t="s">
        <v>576</v>
      </c>
      <c r="D126" t="s">
        <v>577</v>
      </c>
      <c r="E126" t="s">
        <v>116</v>
      </c>
      <c r="F126" t="s">
        <v>40</v>
      </c>
      <c r="G126" t="s">
        <v>106</v>
      </c>
      <c r="H126" t="s">
        <v>42</v>
      </c>
      <c r="I126" t="s">
        <v>43</v>
      </c>
      <c r="J126" t="s">
        <v>126</v>
      </c>
      <c r="K126">
        <v>5</v>
      </c>
      <c r="L126">
        <v>1376.37</v>
      </c>
      <c r="M126">
        <v>0.2</v>
      </c>
    </row>
    <row r="127" spans="1:13" x14ac:dyDescent="0.25">
      <c r="A127" t="s">
        <v>578</v>
      </c>
      <c r="B127" t="s">
        <v>579</v>
      </c>
      <c r="C127" t="s">
        <v>580</v>
      </c>
      <c r="D127" t="s">
        <v>581</v>
      </c>
      <c r="E127" t="s">
        <v>71</v>
      </c>
      <c r="F127" t="s">
        <v>30</v>
      </c>
      <c r="G127" t="s">
        <v>139</v>
      </c>
      <c r="H127" t="s">
        <v>58</v>
      </c>
      <c r="I127" t="s">
        <v>51</v>
      </c>
      <c r="J127" t="s">
        <v>59</v>
      </c>
      <c r="K127">
        <v>7</v>
      </c>
      <c r="L127">
        <v>153.78</v>
      </c>
      <c r="M127">
        <v>0.15</v>
      </c>
    </row>
    <row r="128" spans="1:13" x14ac:dyDescent="0.25">
      <c r="A128" t="s">
        <v>582</v>
      </c>
      <c r="B128" t="s">
        <v>583</v>
      </c>
      <c r="C128" t="s">
        <v>584</v>
      </c>
      <c r="D128" t="s">
        <v>585</v>
      </c>
      <c r="E128" t="s">
        <v>200</v>
      </c>
      <c r="F128" t="s">
        <v>30</v>
      </c>
      <c r="G128" t="s">
        <v>31</v>
      </c>
      <c r="H128" t="s">
        <v>58</v>
      </c>
      <c r="I128" t="s">
        <v>51</v>
      </c>
      <c r="J128" t="s">
        <v>126</v>
      </c>
      <c r="K128">
        <v>3</v>
      </c>
      <c r="L128">
        <v>1499.97</v>
      </c>
      <c r="M128">
        <v>0</v>
      </c>
    </row>
    <row r="129" spans="1:13" x14ac:dyDescent="0.25">
      <c r="A129" t="s">
        <v>586</v>
      </c>
      <c r="B129" t="s">
        <v>587</v>
      </c>
      <c r="C129" t="s">
        <v>588</v>
      </c>
      <c r="D129" t="s">
        <v>589</v>
      </c>
      <c r="E129" t="s">
        <v>83</v>
      </c>
      <c r="F129" t="s">
        <v>49</v>
      </c>
      <c r="G129" t="s">
        <v>286</v>
      </c>
      <c r="H129" t="s">
        <v>42</v>
      </c>
      <c r="I129" t="s">
        <v>51</v>
      </c>
      <c r="J129" t="s">
        <v>34</v>
      </c>
      <c r="K129">
        <v>10</v>
      </c>
      <c r="L129">
        <v>255.94</v>
      </c>
      <c r="M129">
        <v>0</v>
      </c>
    </row>
    <row r="130" spans="1:13" x14ac:dyDescent="0.25">
      <c r="A130" t="s">
        <v>590</v>
      </c>
      <c r="B130" t="s">
        <v>591</v>
      </c>
      <c r="C130" t="s">
        <v>592</v>
      </c>
      <c r="D130" t="s">
        <v>593</v>
      </c>
      <c r="E130" t="s">
        <v>200</v>
      </c>
      <c r="F130" t="s">
        <v>40</v>
      </c>
      <c r="G130" t="s">
        <v>315</v>
      </c>
      <c r="H130" t="s">
        <v>72</v>
      </c>
      <c r="I130" t="s">
        <v>66</v>
      </c>
      <c r="J130" t="s">
        <v>34</v>
      </c>
      <c r="K130">
        <v>8</v>
      </c>
      <c r="L130">
        <v>1132.3</v>
      </c>
      <c r="M130">
        <v>0</v>
      </c>
    </row>
    <row r="131" spans="1:13" x14ac:dyDescent="0.25">
      <c r="A131" t="s">
        <v>594</v>
      </c>
      <c r="B131" t="s">
        <v>595</v>
      </c>
      <c r="C131" t="s">
        <v>596</v>
      </c>
      <c r="D131" t="s">
        <v>597</v>
      </c>
      <c r="E131" t="s">
        <v>200</v>
      </c>
      <c r="F131" t="s">
        <v>49</v>
      </c>
      <c r="G131" t="s">
        <v>50</v>
      </c>
      <c r="H131" t="s">
        <v>42</v>
      </c>
      <c r="I131" t="s">
        <v>43</v>
      </c>
      <c r="J131" t="s">
        <v>73</v>
      </c>
      <c r="K131">
        <v>9</v>
      </c>
      <c r="L131">
        <v>1170.51</v>
      </c>
      <c r="M131">
        <v>0.15</v>
      </c>
    </row>
    <row r="132" spans="1:13" x14ac:dyDescent="0.25">
      <c r="A132" t="s">
        <v>598</v>
      </c>
      <c r="B132" t="s">
        <v>599</v>
      </c>
      <c r="C132" t="s">
        <v>600</v>
      </c>
      <c r="D132" t="s">
        <v>601</v>
      </c>
      <c r="E132" t="s">
        <v>200</v>
      </c>
      <c r="F132" t="s">
        <v>84</v>
      </c>
      <c r="G132" t="s">
        <v>90</v>
      </c>
      <c r="H132" t="s">
        <v>58</v>
      </c>
      <c r="I132" t="s">
        <v>51</v>
      </c>
      <c r="J132" t="s">
        <v>73</v>
      </c>
      <c r="K132">
        <v>9</v>
      </c>
      <c r="L132">
        <v>1402.43</v>
      </c>
      <c r="M132">
        <v>0</v>
      </c>
    </row>
    <row r="133" spans="1:13" x14ac:dyDescent="0.25">
      <c r="A133" t="s">
        <v>602</v>
      </c>
      <c r="B133" t="s">
        <v>603</v>
      </c>
      <c r="C133" t="s">
        <v>604</v>
      </c>
      <c r="D133" t="s">
        <v>605</v>
      </c>
      <c r="E133" t="s">
        <v>149</v>
      </c>
      <c r="F133" t="s">
        <v>56</v>
      </c>
      <c r="G133" t="s">
        <v>95</v>
      </c>
      <c r="H133" t="s">
        <v>42</v>
      </c>
      <c r="I133" t="s">
        <v>51</v>
      </c>
      <c r="J133" t="s">
        <v>34</v>
      </c>
      <c r="K133">
        <v>6</v>
      </c>
      <c r="L133">
        <v>1227.8</v>
      </c>
      <c r="M133">
        <v>0</v>
      </c>
    </row>
    <row r="134" spans="1:13" x14ac:dyDescent="0.25">
      <c r="A134" t="s">
        <v>606</v>
      </c>
      <c r="B134" t="s">
        <v>607</v>
      </c>
      <c r="C134" t="s">
        <v>608</v>
      </c>
      <c r="D134" t="s">
        <v>609</v>
      </c>
      <c r="E134" t="s">
        <v>116</v>
      </c>
      <c r="F134" t="s">
        <v>84</v>
      </c>
      <c r="G134" t="s">
        <v>85</v>
      </c>
      <c r="H134" t="s">
        <v>58</v>
      </c>
      <c r="I134" t="s">
        <v>43</v>
      </c>
      <c r="J134" t="s">
        <v>73</v>
      </c>
      <c r="K134">
        <v>2</v>
      </c>
      <c r="L134">
        <v>56.86</v>
      </c>
      <c r="M134">
        <v>0.2</v>
      </c>
    </row>
    <row r="135" spans="1:13" x14ac:dyDescent="0.25">
      <c r="A135" t="s">
        <v>610</v>
      </c>
      <c r="B135" t="s">
        <v>611</v>
      </c>
      <c r="C135" t="s">
        <v>612</v>
      </c>
      <c r="D135" t="s">
        <v>613</v>
      </c>
      <c r="E135" t="s">
        <v>48</v>
      </c>
      <c r="F135" t="s">
        <v>49</v>
      </c>
      <c r="G135" t="s">
        <v>226</v>
      </c>
      <c r="H135" t="s">
        <v>58</v>
      </c>
      <c r="I135" t="s">
        <v>43</v>
      </c>
      <c r="J135" t="s">
        <v>73</v>
      </c>
      <c r="K135">
        <v>2</v>
      </c>
      <c r="L135">
        <v>928.79</v>
      </c>
      <c r="M135">
        <v>0</v>
      </c>
    </row>
    <row r="136" spans="1:13" x14ac:dyDescent="0.25">
      <c r="A136" t="s">
        <v>614</v>
      </c>
      <c r="B136" t="s">
        <v>615</v>
      </c>
      <c r="C136" t="s">
        <v>616</v>
      </c>
      <c r="D136" t="s">
        <v>617</v>
      </c>
      <c r="E136" t="s">
        <v>116</v>
      </c>
      <c r="F136" t="s">
        <v>84</v>
      </c>
      <c r="G136" t="s">
        <v>85</v>
      </c>
      <c r="H136" t="s">
        <v>42</v>
      </c>
      <c r="I136" t="s">
        <v>33</v>
      </c>
      <c r="J136" t="s">
        <v>34</v>
      </c>
      <c r="K136">
        <v>1</v>
      </c>
      <c r="L136">
        <v>462.21</v>
      </c>
      <c r="M136">
        <v>0</v>
      </c>
    </row>
    <row r="137" spans="1:13" x14ac:dyDescent="0.25">
      <c r="A137" t="s">
        <v>618</v>
      </c>
      <c r="B137" t="s">
        <v>619</v>
      </c>
      <c r="C137" t="s">
        <v>620</v>
      </c>
      <c r="D137" t="s">
        <v>621</v>
      </c>
      <c r="E137" t="s">
        <v>78</v>
      </c>
      <c r="F137" t="s">
        <v>56</v>
      </c>
      <c r="G137" t="s">
        <v>111</v>
      </c>
      <c r="H137" t="s">
        <v>42</v>
      </c>
      <c r="I137" t="s">
        <v>51</v>
      </c>
      <c r="J137" t="s">
        <v>59</v>
      </c>
      <c r="K137">
        <v>3</v>
      </c>
      <c r="L137">
        <v>868.95</v>
      </c>
      <c r="M137">
        <v>0.05</v>
      </c>
    </row>
    <row r="138" spans="1:13" x14ac:dyDescent="0.25">
      <c r="A138" t="s">
        <v>622</v>
      </c>
      <c r="B138" t="s">
        <v>623</v>
      </c>
      <c r="C138" t="s">
        <v>624</v>
      </c>
      <c r="D138" t="s">
        <v>625</v>
      </c>
      <c r="E138" t="s">
        <v>116</v>
      </c>
      <c r="F138" t="s">
        <v>40</v>
      </c>
      <c r="G138" t="s">
        <v>315</v>
      </c>
      <c r="H138" t="s">
        <v>32</v>
      </c>
      <c r="I138" t="s">
        <v>96</v>
      </c>
      <c r="J138" t="s">
        <v>34</v>
      </c>
      <c r="K138">
        <v>9</v>
      </c>
      <c r="L138">
        <v>115.5</v>
      </c>
      <c r="M138">
        <v>0.15</v>
      </c>
    </row>
    <row r="139" spans="1:13" x14ac:dyDescent="0.25">
      <c r="A139" t="s">
        <v>626</v>
      </c>
      <c r="B139" t="s">
        <v>627</v>
      </c>
      <c r="C139" t="s">
        <v>628</v>
      </c>
      <c r="D139" t="s">
        <v>629</v>
      </c>
      <c r="E139" t="s">
        <v>29</v>
      </c>
      <c r="F139" t="s">
        <v>56</v>
      </c>
      <c r="G139" t="s">
        <v>190</v>
      </c>
      <c r="H139" t="s">
        <v>32</v>
      </c>
      <c r="I139" t="s">
        <v>33</v>
      </c>
      <c r="J139" t="s">
        <v>59</v>
      </c>
      <c r="K139">
        <v>6</v>
      </c>
      <c r="L139">
        <v>1185.95</v>
      </c>
      <c r="M139">
        <v>0</v>
      </c>
    </row>
    <row r="140" spans="1:13" x14ac:dyDescent="0.25">
      <c r="A140" t="s">
        <v>630</v>
      </c>
      <c r="B140" t="s">
        <v>631</v>
      </c>
      <c r="C140" t="s">
        <v>632</v>
      </c>
      <c r="D140" t="s">
        <v>633</v>
      </c>
      <c r="E140" t="s">
        <v>71</v>
      </c>
      <c r="F140" t="s">
        <v>30</v>
      </c>
      <c r="G140" t="s">
        <v>195</v>
      </c>
      <c r="H140" t="s">
        <v>72</v>
      </c>
      <c r="I140" t="s">
        <v>43</v>
      </c>
      <c r="J140" t="s">
        <v>126</v>
      </c>
      <c r="K140">
        <v>8</v>
      </c>
      <c r="L140">
        <v>1471.52</v>
      </c>
      <c r="M140">
        <v>0.2</v>
      </c>
    </row>
    <row r="141" spans="1:13" x14ac:dyDescent="0.25">
      <c r="A141" t="s">
        <v>634</v>
      </c>
      <c r="B141" t="s">
        <v>635</v>
      </c>
      <c r="C141" t="s">
        <v>636</v>
      </c>
      <c r="D141" t="s">
        <v>637</v>
      </c>
      <c r="E141" t="s">
        <v>64</v>
      </c>
      <c r="F141" t="s">
        <v>30</v>
      </c>
      <c r="G141" t="s">
        <v>269</v>
      </c>
      <c r="H141" t="s">
        <v>42</v>
      </c>
      <c r="I141" t="s">
        <v>33</v>
      </c>
      <c r="J141" t="s">
        <v>34</v>
      </c>
      <c r="K141">
        <v>5</v>
      </c>
      <c r="L141">
        <v>483.66</v>
      </c>
      <c r="M141">
        <v>0.15</v>
      </c>
    </row>
    <row r="142" spans="1:13" x14ac:dyDescent="0.25">
      <c r="A142" t="s">
        <v>638</v>
      </c>
      <c r="B142" t="s">
        <v>639</v>
      </c>
      <c r="C142" t="s">
        <v>640</v>
      </c>
      <c r="D142" t="s">
        <v>641</v>
      </c>
      <c r="E142" t="s">
        <v>29</v>
      </c>
      <c r="F142" t="s">
        <v>84</v>
      </c>
      <c r="G142" t="s">
        <v>205</v>
      </c>
      <c r="H142" t="s">
        <v>32</v>
      </c>
      <c r="I142" t="s">
        <v>66</v>
      </c>
      <c r="J142" t="s">
        <v>34</v>
      </c>
      <c r="K142">
        <v>6</v>
      </c>
      <c r="L142">
        <v>1300.71</v>
      </c>
      <c r="M142">
        <v>0.05</v>
      </c>
    </row>
    <row r="143" spans="1:13" x14ac:dyDescent="0.25">
      <c r="A143" t="s">
        <v>642</v>
      </c>
      <c r="B143" t="s">
        <v>643</v>
      </c>
      <c r="C143" t="s">
        <v>644</v>
      </c>
      <c r="D143" t="s">
        <v>645</v>
      </c>
      <c r="E143" t="s">
        <v>48</v>
      </c>
      <c r="F143" t="s">
        <v>49</v>
      </c>
      <c r="G143" t="s">
        <v>226</v>
      </c>
      <c r="H143" t="s">
        <v>32</v>
      </c>
      <c r="I143" t="s">
        <v>96</v>
      </c>
      <c r="J143" t="s">
        <v>126</v>
      </c>
      <c r="K143">
        <v>9</v>
      </c>
      <c r="L143">
        <v>560.51</v>
      </c>
      <c r="M143">
        <v>0.05</v>
      </c>
    </row>
    <row r="144" spans="1:13" x14ac:dyDescent="0.25">
      <c r="A144" t="s">
        <v>646</v>
      </c>
      <c r="B144" t="s">
        <v>647</v>
      </c>
      <c r="C144" t="s">
        <v>648</v>
      </c>
      <c r="D144" t="s">
        <v>649</v>
      </c>
      <c r="E144" t="s">
        <v>29</v>
      </c>
      <c r="F144" t="s">
        <v>84</v>
      </c>
      <c r="G144" t="s">
        <v>205</v>
      </c>
      <c r="H144" t="s">
        <v>42</v>
      </c>
      <c r="I144" t="s">
        <v>33</v>
      </c>
      <c r="J144" t="s">
        <v>34</v>
      </c>
      <c r="K144">
        <v>5</v>
      </c>
      <c r="L144">
        <v>133.9</v>
      </c>
      <c r="M144">
        <v>0.05</v>
      </c>
    </row>
    <row r="145" spans="1:13" x14ac:dyDescent="0.25">
      <c r="A145" t="s">
        <v>650</v>
      </c>
      <c r="B145" t="s">
        <v>651</v>
      </c>
      <c r="C145" t="s">
        <v>652</v>
      </c>
      <c r="D145" t="s">
        <v>653</v>
      </c>
      <c r="E145" t="s">
        <v>200</v>
      </c>
      <c r="F145" t="s">
        <v>56</v>
      </c>
      <c r="G145" t="s">
        <v>190</v>
      </c>
      <c r="H145" t="s">
        <v>32</v>
      </c>
      <c r="I145" t="s">
        <v>51</v>
      </c>
      <c r="J145" t="s">
        <v>34</v>
      </c>
      <c r="K145">
        <v>7</v>
      </c>
      <c r="L145">
        <v>928.05</v>
      </c>
      <c r="M145">
        <v>0.05</v>
      </c>
    </row>
    <row r="146" spans="1:13" x14ac:dyDescent="0.25">
      <c r="A146" t="s">
        <v>654</v>
      </c>
      <c r="B146" t="s">
        <v>655</v>
      </c>
      <c r="C146" t="s">
        <v>656</v>
      </c>
      <c r="D146" t="s">
        <v>657</v>
      </c>
      <c r="E146" t="s">
        <v>48</v>
      </c>
      <c r="F146" t="s">
        <v>56</v>
      </c>
      <c r="G146" t="s">
        <v>95</v>
      </c>
      <c r="H146" t="s">
        <v>72</v>
      </c>
      <c r="I146" t="s">
        <v>51</v>
      </c>
      <c r="J146" t="s">
        <v>73</v>
      </c>
      <c r="K146">
        <v>8</v>
      </c>
      <c r="L146">
        <v>1275.27</v>
      </c>
      <c r="M146">
        <v>0</v>
      </c>
    </row>
    <row r="147" spans="1:13" x14ac:dyDescent="0.25">
      <c r="A147" t="s">
        <v>658</v>
      </c>
      <c r="B147" t="s">
        <v>659</v>
      </c>
      <c r="C147" t="s">
        <v>660</v>
      </c>
      <c r="D147" t="s">
        <v>661</v>
      </c>
      <c r="E147" t="s">
        <v>83</v>
      </c>
      <c r="F147" t="s">
        <v>56</v>
      </c>
      <c r="G147" t="s">
        <v>111</v>
      </c>
      <c r="H147" t="s">
        <v>58</v>
      </c>
      <c r="I147" t="s">
        <v>96</v>
      </c>
      <c r="J147" t="s">
        <v>126</v>
      </c>
      <c r="K147">
        <v>8</v>
      </c>
      <c r="L147">
        <v>242.86</v>
      </c>
      <c r="M147">
        <v>0.05</v>
      </c>
    </row>
    <row r="148" spans="1:13" x14ac:dyDescent="0.25">
      <c r="A148" t="s">
        <v>662</v>
      </c>
      <c r="B148" t="s">
        <v>663</v>
      </c>
      <c r="C148" t="s">
        <v>664</v>
      </c>
      <c r="D148" t="s">
        <v>665</v>
      </c>
      <c r="E148" t="s">
        <v>149</v>
      </c>
      <c r="F148" t="s">
        <v>84</v>
      </c>
      <c r="G148" t="s">
        <v>412</v>
      </c>
      <c r="H148" t="s">
        <v>72</v>
      </c>
      <c r="I148" t="s">
        <v>96</v>
      </c>
      <c r="J148" t="s">
        <v>34</v>
      </c>
      <c r="K148">
        <v>2</v>
      </c>
      <c r="L148">
        <v>385.67</v>
      </c>
      <c r="M148">
        <v>0</v>
      </c>
    </row>
    <row r="149" spans="1:13" x14ac:dyDescent="0.25">
      <c r="A149" t="s">
        <v>666</v>
      </c>
      <c r="B149" t="s">
        <v>667</v>
      </c>
      <c r="C149" t="s">
        <v>668</v>
      </c>
      <c r="D149" t="s">
        <v>669</v>
      </c>
      <c r="E149" t="s">
        <v>29</v>
      </c>
      <c r="F149" t="s">
        <v>49</v>
      </c>
      <c r="G149" t="s">
        <v>286</v>
      </c>
      <c r="H149" t="s">
        <v>42</v>
      </c>
      <c r="I149" t="s">
        <v>43</v>
      </c>
      <c r="J149" t="s">
        <v>126</v>
      </c>
      <c r="K149">
        <v>5</v>
      </c>
      <c r="L149">
        <v>1494.6</v>
      </c>
      <c r="M149">
        <v>0.2</v>
      </c>
    </row>
    <row r="150" spans="1:13" x14ac:dyDescent="0.25">
      <c r="A150" t="s">
        <v>670</v>
      </c>
      <c r="B150" t="s">
        <v>671</v>
      </c>
      <c r="C150" t="s">
        <v>672</v>
      </c>
      <c r="D150" t="s">
        <v>673</v>
      </c>
      <c r="E150" t="s">
        <v>200</v>
      </c>
      <c r="F150" t="s">
        <v>56</v>
      </c>
      <c r="G150" t="s">
        <v>190</v>
      </c>
      <c r="H150" t="s">
        <v>58</v>
      </c>
      <c r="I150" t="s">
        <v>66</v>
      </c>
      <c r="J150" t="s">
        <v>73</v>
      </c>
      <c r="K150">
        <v>2</v>
      </c>
      <c r="L150">
        <v>1006.74</v>
      </c>
      <c r="M150">
        <v>0.15</v>
      </c>
    </row>
    <row r="151" spans="1:13" x14ac:dyDescent="0.25">
      <c r="A151" t="s">
        <v>674</v>
      </c>
      <c r="B151" t="s">
        <v>675</v>
      </c>
      <c r="C151" t="s">
        <v>676</v>
      </c>
      <c r="D151" t="s">
        <v>677</v>
      </c>
      <c r="E151" t="s">
        <v>39</v>
      </c>
      <c r="F151" t="s">
        <v>56</v>
      </c>
      <c r="G151" t="s">
        <v>95</v>
      </c>
      <c r="H151" t="s">
        <v>32</v>
      </c>
      <c r="I151" t="s">
        <v>66</v>
      </c>
      <c r="J151" t="s">
        <v>59</v>
      </c>
      <c r="K151">
        <v>4</v>
      </c>
      <c r="L151">
        <v>1191.22</v>
      </c>
      <c r="M151">
        <v>0.1</v>
      </c>
    </row>
    <row r="152" spans="1:13" x14ac:dyDescent="0.25">
      <c r="A152" t="s">
        <v>678</v>
      </c>
      <c r="B152" t="s">
        <v>679</v>
      </c>
      <c r="C152" t="s">
        <v>680</v>
      </c>
      <c r="D152" t="s">
        <v>681</v>
      </c>
      <c r="E152" t="s">
        <v>116</v>
      </c>
      <c r="F152" t="s">
        <v>56</v>
      </c>
      <c r="G152" t="s">
        <v>190</v>
      </c>
      <c r="H152" t="s">
        <v>42</v>
      </c>
      <c r="I152" t="s">
        <v>96</v>
      </c>
      <c r="J152" t="s">
        <v>126</v>
      </c>
      <c r="K152">
        <v>8</v>
      </c>
      <c r="L152">
        <v>606.27</v>
      </c>
      <c r="M152">
        <v>0.15</v>
      </c>
    </row>
    <row r="153" spans="1:13" x14ac:dyDescent="0.25">
      <c r="A153" t="s">
        <v>682</v>
      </c>
      <c r="B153" t="s">
        <v>683</v>
      </c>
      <c r="C153" t="s">
        <v>684</v>
      </c>
      <c r="D153" t="s">
        <v>685</v>
      </c>
      <c r="E153" t="s">
        <v>200</v>
      </c>
      <c r="F153" t="s">
        <v>49</v>
      </c>
      <c r="G153" t="s">
        <v>259</v>
      </c>
      <c r="H153" t="s">
        <v>72</v>
      </c>
      <c r="I153" t="s">
        <v>43</v>
      </c>
      <c r="J153" t="s">
        <v>34</v>
      </c>
      <c r="K153">
        <v>9</v>
      </c>
      <c r="L153">
        <v>526.6</v>
      </c>
      <c r="M153">
        <v>0.2</v>
      </c>
    </row>
    <row r="154" spans="1:13" x14ac:dyDescent="0.25">
      <c r="A154" t="s">
        <v>686</v>
      </c>
      <c r="B154" t="s">
        <v>687</v>
      </c>
      <c r="C154" t="s">
        <v>688</v>
      </c>
      <c r="D154" t="s">
        <v>689</v>
      </c>
      <c r="E154" t="s">
        <v>48</v>
      </c>
      <c r="F154" t="s">
        <v>84</v>
      </c>
      <c r="G154" t="s">
        <v>85</v>
      </c>
      <c r="H154" t="s">
        <v>58</v>
      </c>
      <c r="I154" t="s">
        <v>51</v>
      </c>
      <c r="J154" t="s">
        <v>59</v>
      </c>
      <c r="K154">
        <v>4</v>
      </c>
      <c r="L154">
        <v>255.52</v>
      </c>
      <c r="M154">
        <v>0.05</v>
      </c>
    </row>
    <row r="155" spans="1:13" x14ac:dyDescent="0.25">
      <c r="A155" t="s">
        <v>690</v>
      </c>
      <c r="B155" t="s">
        <v>691</v>
      </c>
      <c r="C155" t="s">
        <v>692</v>
      </c>
      <c r="D155" t="s">
        <v>693</v>
      </c>
      <c r="E155" t="s">
        <v>48</v>
      </c>
      <c r="F155" t="s">
        <v>84</v>
      </c>
      <c r="G155" t="s">
        <v>90</v>
      </c>
      <c r="H155" t="s">
        <v>72</v>
      </c>
      <c r="I155" t="s">
        <v>33</v>
      </c>
      <c r="J155" t="s">
        <v>73</v>
      </c>
      <c r="K155">
        <v>9</v>
      </c>
      <c r="L155">
        <v>807.21</v>
      </c>
      <c r="M155">
        <v>0.2</v>
      </c>
    </row>
    <row r="156" spans="1:13" x14ac:dyDescent="0.25">
      <c r="A156" t="s">
        <v>694</v>
      </c>
      <c r="B156" t="s">
        <v>695</v>
      </c>
      <c r="C156" t="s">
        <v>696</v>
      </c>
      <c r="D156" t="s">
        <v>697</v>
      </c>
      <c r="E156" t="s">
        <v>83</v>
      </c>
      <c r="F156" t="s">
        <v>84</v>
      </c>
      <c r="G156" t="s">
        <v>90</v>
      </c>
      <c r="H156" t="s">
        <v>32</v>
      </c>
      <c r="I156" t="s">
        <v>33</v>
      </c>
      <c r="J156" t="s">
        <v>59</v>
      </c>
      <c r="K156">
        <v>1</v>
      </c>
      <c r="L156">
        <v>76.17</v>
      </c>
      <c r="M156">
        <v>0</v>
      </c>
    </row>
    <row r="157" spans="1:13" x14ac:dyDescent="0.25">
      <c r="A157" t="s">
        <v>698</v>
      </c>
      <c r="B157" t="s">
        <v>699</v>
      </c>
      <c r="C157" t="s">
        <v>700</v>
      </c>
      <c r="D157" t="s">
        <v>701</v>
      </c>
      <c r="E157" t="s">
        <v>83</v>
      </c>
      <c r="F157" t="s">
        <v>56</v>
      </c>
      <c r="G157" t="s">
        <v>57</v>
      </c>
      <c r="H157" t="s">
        <v>58</v>
      </c>
      <c r="I157" t="s">
        <v>96</v>
      </c>
      <c r="J157" t="s">
        <v>73</v>
      </c>
      <c r="K157">
        <v>9</v>
      </c>
      <c r="L157">
        <v>1335.16</v>
      </c>
      <c r="M157">
        <v>0.05</v>
      </c>
    </row>
    <row r="158" spans="1:13" x14ac:dyDescent="0.25">
      <c r="A158" t="s">
        <v>702</v>
      </c>
      <c r="B158" t="s">
        <v>703</v>
      </c>
      <c r="C158" t="s">
        <v>704</v>
      </c>
      <c r="D158" t="s">
        <v>705</v>
      </c>
      <c r="E158" t="s">
        <v>116</v>
      </c>
      <c r="F158" t="s">
        <v>56</v>
      </c>
      <c r="G158" t="s">
        <v>95</v>
      </c>
      <c r="H158" t="s">
        <v>72</v>
      </c>
      <c r="I158" t="s">
        <v>66</v>
      </c>
      <c r="J158" t="s">
        <v>73</v>
      </c>
      <c r="K158">
        <v>8</v>
      </c>
      <c r="L158">
        <v>667.81</v>
      </c>
      <c r="M158">
        <v>0.1</v>
      </c>
    </row>
    <row r="159" spans="1:13" x14ac:dyDescent="0.25">
      <c r="A159" t="s">
        <v>706</v>
      </c>
      <c r="B159" t="s">
        <v>707</v>
      </c>
      <c r="C159" t="s">
        <v>708</v>
      </c>
      <c r="D159" t="s">
        <v>709</v>
      </c>
      <c r="E159" t="s">
        <v>71</v>
      </c>
      <c r="F159" t="s">
        <v>49</v>
      </c>
      <c r="G159" t="s">
        <v>286</v>
      </c>
      <c r="H159" t="s">
        <v>32</v>
      </c>
      <c r="I159" t="s">
        <v>66</v>
      </c>
      <c r="J159" t="s">
        <v>73</v>
      </c>
      <c r="K159">
        <v>9</v>
      </c>
      <c r="L159">
        <v>1144.5899999999999</v>
      </c>
      <c r="M159">
        <v>0.15</v>
      </c>
    </row>
    <row r="160" spans="1:13" x14ac:dyDescent="0.25">
      <c r="A160" t="s">
        <v>710</v>
      </c>
      <c r="B160" t="s">
        <v>711</v>
      </c>
      <c r="C160" t="s">
        <v>712</v>
      </c>
      <c r="D160" t="s">
        <v>713</v>
      </c>
      <c r="E160" t="s">
        <v>39</v>
      </c>
      <c r="F160" t="s">
        <v>30</v>
      </c>
      <c r="G160" t="s">
        <v>269</v>
      </c>
      <c r="H160" t="s">
        <v>42</v>
      </c>
      <c r="I160" t="s">
        <v>43</v>
      </c>
      <c r="J160" t="s">
        <v>73</v>
      </c>
      <c r="K160">
        <v>7</v>
      </c>
      <c r="L160">
        <v>90.15</v>
      </c>
      <c r="M160">
        <v>0.15</v>
      </c>
    </row>
    <row r="161" spans="1:13" x14ac:dyDescent="0.25">
      <c r="A161" t="s">
        <v>714</v>
      </c>
      <c r="B161" t="s">
        <v>715</v>
      </c>
      <c r="C161" t="s">
        <v>716</v>
      </c>
      <c r="D161" t="s">
        <v>717</v>
      </c>
      <c r="E161" t="s">
        <v>39</v>
      </c>
      <c r="F161" t="s">
        <v>30</v>
      </c>
      <c r="G161" t="s">
        <v>195</v>
      </c>
      <c r="H161" t="s">
        <v>58</v>
      </c>
      <c r="I161" t="s">
        <v>96</v>
      </c>
      <c r="J161" t="s">
        <v>126</v>
      </c>
      <c r="K161">
        <v>8</v>
      </c>
      <c r="L161">
        <v>1494.01</v>
      </c>
      <c r="M161">
        <v>0.1</v>
      </c>
    </row>
    <row r="162" spans="1:13" x14ac:dyDescent="0.25">
      <c r="A162" t="s">
        <v>718</v>
      </c>
      <c r="B162" t="s">
        <v>719</v>
      </c>
      <c r="C162" t="s">
        <v>720</v>
      </c>
      <c r="D162" t="s">
        <v>721</v>
      </c>
      <c r="E162" t="s">
        <v>39</v>
      </c>
      <c r="F162" t="s">
        <v>30</v>
      </c>
      <c r="G162" t="s">
        <v>139</v>
      </c>
      <c r="H162" t="s">
        <v>42</v>
      </c>
      <c r="I162" t="s">
        <v>33</v>
      </c>
      <c r="J162" t="s">
        <v>34</v>
      </c>
      <c r="K162">
        <v>1</v>
      </c>
      <c r="L162">
        <v>539.04999999999995</v>
      </c>
      <c r="M162">
        <v>0.05</v>
      </c>
    </row>
    <row r="163" spans="1:13" x14ac:dyDescent="0.25">
      <c r="A163" t="s">
        <v>722</v>
      </c>
      <c r="B163" t="s">
        <v>723</v>
      </c>
      <c r="C163" t="s">
        <v>724</v>
      </c>
      <c r="D163" t="s">
        <v>725</v>
      </c>
      <c r="E163" t="s">
        <v>116</v>
      </c>
      <c r="F163" t="s">
        <v>49</v>
      </c>
      <c r="G163" t="s">
        <v>286</v>
      </c>
      <c r="H163" t="s">
        <v>58</v>
      </c>
      <c r="I163" t="s">
        <v>51</v>
      </c>
      <c r="J163" t="s">
        <v>34</v>
      </c>
      <c r="K163">
        <v>6</v>
      </c>
      <c r="L163">
        <v>1325.45</v>
      </c>
      <c r="M163">
        <v>0.1</v>
      </c>
    </row>
    <row r="164" spans="1:13" x14ac:dyDescent="0.25">
      <c r="A164" t="s">
        <v>726</v>
      </c>
      <c r="B164" t="s">
        <v>727</v>
      </c>
      <c r="C164" t="s">
        <v>728</v>
      </c>
      <c r="D164" t="s">
        <v>729</v>
      </c>
      <c r="E164" t="s">
        <v>71</v>
      </c>
      <c r="F164" t="s">
        <v>40</v>
      </c>
      <c r="G164" t="s">
        <v>315</v>
      </c>
      <c r="H164" t="s">
        <v>58</v>
      </c>
      <c r="I164" t="s">
        <v>33</v>
      </c>
      <c r="J164" t="s">
        <v>126</v>
      </c>
      <c r="K164">
        <v>9</v>
      </c>
      <c r="L164">
        <v>124.19</v>
      </c>
      <c r="M164">
        <v>0.1</v>
      </c>
    </row>
    <row r="165" spans="1:13" x14ac:dyDescent="0.25">
      <c r="A165" t="s">
        <v>730</v>
      </c>
      <c r="B165" t="s">
        <v>731</v>
      </c>
      <c r="C165" t="s">
        <v>732</v>
      </c>
      <c r="D165" t="s">
        <v>733</v>
      </c>
      <c r="E165" t="s">
        <v>71</v>
      </c>
      <c r="F165" t="s">
        <v>40</v>
      </c>
      <c r="G165" t="s">
        <v>315</v>
      </c>
      <c r="H165" t="s">
        <v>42</v>
      </c>
      <c r="I165" t="s">
        <v>33</v>
      </c>
      <c r="J165" t="s">
        <v>126</v>
      </c>
      <c r="K165">
        <v>4</v>
      </c>
      <c r="L165">
        <v>1136.1199999999999</v>
      </c>
      <c r="M165">
        <v>0.15</v>
      </c>
    </row>
    <row r="166" spans="1:13" x14ac:dyDescent="0.25">
      <c r="A166" t="s">
        <v>734</v>
      </c>
      <c r="B166" t="s">
        <v>735</v>
      </c>
      <c r="C166" t="s">
        <v>736</v>
      </c>
      <c r="D166" t="s">
        <v>737</v>
      </c>
      <c r="E166" t="s">
        <v>71</v>
      </c>
      <c r="F166" t="s">
        <v>49</v>
      </c>
      <c r="G166" t="s">
        <v>259</v>
      </c>
      <c r="H166" t="s">
        <v>72</v>
      </c>
      <c r="I166" t="s">
        <v>66</v>
      </c>
      <c r="J166" t="s">
        <v>59</v>
      </c>
      <c r="K166">
        <v>10</v>
      </c>
      <c r="L166">
        <v>693.63</v>
      </c>
      <c r="M166">
        <v>0.15</v>
      </c>
    </row>
    <row r="167" spans="1:13" x14ac:dyDescent="0.25">
      <c r="A167" t="s">
        <v>738</v>
      </c>
      <c r="B167" t="s">
        <v>739</v>
      </c>
      <c r="C167" t="s">
        <v>740</v>
      </c>
      <c r="D167" t="s">
        <v>741</v>
      </c>
      <c r="E167" t="s">
        <v>29</v>
      </c>
      <c r="F167" t="s">
        <v>40</v>
      </c>
      <c r="G167" t="s">
        <v>315</v>
      </c>
      <c r="H167" t="s">
        <v>42</v>
      </c>
      <c r="I167" t="s">
        <v>33</v>
      </c>
      <c r="J167" t="s">
        <v>59</v>
      </c>
      <c r="K167">
        <v>9</v>
      </c>
      <c r="L167">
        <v>768.36</v>
      </c>
      <c r="M167">
        <v>0.15</v>
      </c>
    </row>
    <row r="168" spans="1:13" x14ac:dyDescent="0.25">
      <c r="A168" t="s">
        <v>742</v>
      </c>
      <c r="B168" t="s">
        <v>743</v>
      </c>
      <c r="C168" t="s">
        <v>744</v>
      </c>
      <c r="D168" t="s">
        <v>745</v>
      </c>
      <c r="E168" t="s">
        <v>116</v>
      </c>
      <c r="F168" t="s">
        <v>49</v>
      </c>
      <c r="G168" t="s">
        <v>259</v>
      </c>
      <c r="H168" t="s">
        <v>42</v>
      </c>
      <c r="I168" t="s">
        <v>66</v>
      </c>
      <c r="J168" t="s">
        <v>73</v>
      </c>
      <c r="K168">
        <v>1</v>
      </c>
      <c r="L168">
        <v>471.9</v>
      </c>
      <c r="M168">
        <v>0.15</v>
      </c>
    </row>
    <row r="169" spans="1:13" x14ac:dyDescent="0.25">
      <c r="A169" t="s">
        <v>746</v>
      </c>
      <c r="B169" t="s">
        <v>747</v>
      </c>
      <c r="C169" t="s">
        <v>748</v>
      </c>
      <c r="D169" t="s">
        <v>749</v>
      </c>
      <c r="E169" t="s">
        <v>78</v>
      </c>
      <c r="F169" t="s">
        <v>40</v>
      </c>
      <c r="G169" t="s">
        <v>565</v>
      </c>
      <c r="H169" t="s">
        <v>32</v>
      </c>
      <c r="I169" t="s">
        <v>43</v>
      </c>
      <c r="J169" t="s">
        <v>126</v>
      </c>
      <c r="K169">
        <v>4</v>
      </c>
      <c r="L169">
        <v>234.45</v>
      </c>
      <c r="M169">
        <v>0</v>
      </c>
    </row>
    <row r="170" spans="1:13" x14ac:dyDescent="0.25">
      <c r="A170" t="s">
        <v>750</v>
      </c>
      <c r="B170" t="s">
        <v>751</v>
      </c>
      <c r="C170" t="s">
        <v>752</v>
      </c>
      <c r="D170" t="s">
        <v>753</v>
      </c>
      <c r="E170" t="s">
        <v>149</v>
      </c>
      <c r="F170" t="s">
        <v>30</v>
      </c>
      <c r="G170" t="s">
        <v>195</v>
      </c>
      <c r="H170" t="s">
        <v>32</v>
      </c>
      <c r="I170" t="s">
        <v>43</v>
      </c>
      <c r="J170" t="s">
        <v>73</v>
      </c>
      <c r="K170">
        <v>10</v>
      </c>
      <c r="L170">
        <v>760.2</v>
      </c>
      <c r="M170">
        <v>0.1</v>
      </c>
    </row>
    <row r="171" spans="1:13" x14ac:dyDescent="0.25">
      <c r="A171" t="s">
        <v>754</v>
      </c>
      <c r="B171" t="s">
        <v>755</v>
      </c>
      <c r="C171" t="s">
        <v>756</v>
      </c>
      <c r="D171" t="s">
        <v>757</v>
      </c>
      <c r="E171" t="s">
        <v>78</v>
      </c>
      <c r="F171" t="s">
        <v>49</v>
      </c>
      <c r="G171" t="s">
        <v>50</v>
      </c>
      <c r="H171" t="s">
        <v>58</v>
      </c>
      <c r="I171" t="s">
        <v>33</v>
      </c>
      <c r="J171" t="s">
        <v>59</v>
      </c>
      <c r="K171">
        <v>8</v>
      </c>
      <c r="L171">
        <v>1435.68</v>
      </c>
      <c r="M171">
        <v>0.15</v>
      </c>
    </row>
    <row r="172" spans="1:13" x14ac:dyDescent="0.25">
      <c r="A172" t="s">
        <v>758</v>
      </c>
      <c r="B172" t="s">
        <v>759</v>
      </c>
      <c r="C172" t="s">
        <v>760</v>
      </c>
      <c r="D172" t="s">
        <v>761</v>
      </c>
      <c r="E172" t="s">
        <v>29</v>
      </c>
      <c r="F172" t="s">
        <v>40</v>
      </c>
      <c r="G172" t="s">
        <v>565</v>
      </c>
      <c r="H172" t="s">
        <v>58</v>
      </c>
      <c r="I172" t="s">
        <v>43</v>
      </c>
      <c r="J172" t="s">
        <v>59</v>
      </c>
      <c r="K172">
        <v>4</v>
      </c>
      <c r="L172">
        <v>300.51</v>
      </c>
      <c r="M172">
        <v>0.05</v>
      </c>
    </row>
    <row r="173" spans="1:13" x14ac:dyDescent="0.25">
      <c r="A173" t="s">
        <v>762</v>
      </c>
      <c r="B173" t="s">
        <v>763</v>
      </c>
      <c r="C173" t="s">
        <v>764</v>
      </c>
      <c r="D173" t="s">
        <v>765</v>
      </c>
      <c r="E173" t="s">
        <v>200</v>
      </c>
      <c r="F173" t="s">
        <v>84</v>
      </c>
      <c r="G173" t="s">
        <v>264</v>
      </c>
      <c r="H173" t="s">
        <v>32</v>
      </c>
      <c r="I173" t="s">
        <v>33</v>
      </c>
      <c r="J173" t="s">
        <v>34</v>
      </c>
      <c r="K173">
        <v>5</v>
      </c>
      <c r="L173">
        <v>532.97</v>
      </c>
      <c r="M173">
        <v>0.05</v>
      </c>
    </row>
    <row r="174" spans="1:13" x14ac:dyDescent="0.25">
      <c r="A174" t="s">
        <v>766</v>
      </c>
      <c r="B174" t="s">
        <v>767</v>
      </c>
      <c r="C174" t="s">
        <v>768</v>
      </c>
      <c r="D174" t="s">
        <v>769</v>
      </c>
      <c r="E174" t="s">
        <v>64</v>
      </c>
      <c r="F174" t="s">
        <v>84</v>
      </c>
      <c r="G174" t="s">
        <v>205</v>
      </c>
      <c r="H174" t="s">
        <v>58</v>
      </c>
      <c r="I174" t="s">
        <v>96</v>
      </c>
      <c r="J174" t="s">
        <v>73</v>
      </c>
      <c r="K174">
        <v>8</v>
      </c>
      <c r="L174">
        <v>529.35</v>
      </c>
      <c r="M174">
        <v>0.2</v>
      </c>
    </row>
    <row r="175" spans="1:13" x14ac:dyDescent="0.25">
      <c r="A175" t="s">
        <v>770</v>
      </c>
      <c r="B175" t="s">
        <v>771</v>
      </c>
      <c r="C175" t="s">
        <v>772</v>
      </c>
      <c r="D175" t="s">
        <v>773</v>
      </c>
      <c r="E175" t="s">
        <v>78</v>
      </c>
      <c r="F175" t="s">
        <v>84</v>
      </c>
      <c r="G175" t="s">
        <v>85</v>
      </c>
      <c r="H175" t="s">
        <v>72</v>
      </c>
      <c r="I175" t="s">
        <v>51</v>
      </c>
      <c r="J175" t="s">
        <v>73</v>
      </c>
      <c r="K175">
        <v>10</v>
      </c>
      <c r="L175">
        <v>177.2</v>
      </c>
      <c r="M175">
        <v>0</v>
      </c>
    </row>
    <row r="176" spans="1:13" x14ac:dyDescent="0.25">
      <c r="A176" t="s">
        <v>774</v>
      </c>
      <c r="B176" t="s">
        <v>775</v>
      </c>
      <c r="C176" t="s">
        <v>776</v>
      </c>
      <c r="D176" t="s">
        <v>777</v>
      </c>
      <c r="E176" t="s">
        <v>149</v>
      </c>
      <c r="F176" t="s">
        <v>84</v>
      </c>
      <c r="G176" t="s">
        <v>264</v>
      </c>
      <c r="H176" t="s">
        <v>72</v>
      </c>
      <c r="I176" t="s">
        <v>96</v>
      </c>
      <c r="J176" t="s">
        <v>34</v>
      </c>
      <c r="K176">
        <v>3</v>
      </c>
      <c r="L176">
        <v>164.31</v>
      </c>
      <c r="M176">
        <v>0</v>
      </c>
    </row>
    <row r="177" spans="1:13" x14ac:dyDescent="0.25">
      <c r="A177" t="s">
        <v>778</v>
      </c>
      <c r="B177" t="s">
        <v>779</v>
      </c>
      <c r="C177" t="s">
        <v>780</v>
      </c>
      <c r="D177" t="s">
        <v>781</v>
      </c>
      <c r="E177" t="s">
        <v>29</v>
      </c>
      <c r="F177" t="s">
        <v>84</v>
      </c>
      <c r="G177" t="s">
        <v>412</v>
      </c>
      <c r="H177" t="s">
        <v>72</v>
      </c>
      <c r="I177" t="s">
        <v>33</v>
      </c>
      <c r="J177" t="s">
        <v>126</v>
      </c>
      <c r="K177">
        <v>2</v>
      </c>
      <c r="L177">
        <v>974.16</v>
      </c>
      <c r="M177">
        <v>0.2</v>
      </c>
    </row>
    <row r="178" spans="1:13" x14ac:dyDescent="0.25">
      <c r="A178" t="s">
        <v>782</v>
      </c>
      <c r="B178" t="s">
        <v>783</v>
      </c>
      <c r="C178" t="s">
        <v>784</v>
      </c>
      <c r="D178" t="s">
        <v>785</v>
      </c>
      <c r="E178" t="s">
        <v>64</v>
      </c>
      <c r="F178" t="s">
        <v>49</v>
      </c>
      <c r="G178" t="s">
        <v>226</v>
      </c>
      <c r="H178" t="s">
        <v>32</v>
      </c>
      <c r="I178" t="s">
        <v>66</v>
      </c>
      <c r="J178" t="s">
        <v>126</v>
      </c>
      <c r="K178">
        <v>5</v>
      </c>
      <c r="L178">
        <v>291.67</v>
      </c>
      <c r="M178">
        <v>0</v>
      </c>
    </row>
    <row r="179" spans="1:13" x14ac:dyDescent="0.25">
      <c r="A179" t="s">
        <v>786</v>
      </c>
      <c r="B179" t="s">
        <v>787</v>
      </c>
      <c r="C179" t="s">
        <v>788</v>
      </c>
      <c r="D179" t="s">
        <v>789</v>
      </c>
      <c r="E179" t="s">
        <v>78</v>
      </c>
      <c r="F179" t="s">
        <v>40</v>
      </c>
      <c r="G179" t="s">
        <v>565</v>
      </c>
      <c r="H179" t="s">
        <v>42</v>
      </c>
      <c r="I179" t="s">
        <v>66</v>
      </c>
      <c r="J179" t="s">
        <v>73</v>
      </c>
      <c r="K179">
        <v>3</v>
      </c>
      <c r="L179">
        <v>1335.55</v>
      </c>
      <c r="M179">
        <v>0.15</v>
      </c>
    </row>
    <row r="180" spans="1:13" x14ac:dyDescent="0.25">
      <c r="A180" t="s">
        <v>790</v>
      </c>
      <c r="B180" t="s">
        <v>791</v>
      </c>
      <c r="C180" t="s">
        <v>792</v>
      </c>
      <c r="D180" t="s">
        <v>793</v>
      </c>
      <c r="E180" t="s">
        <v>200</v>
      </c>
      <c r="F180" t="s">
        <v>84</v>
      </c>
      <c r="G180" t="s">
        <v>85</v>
      </c>
      <c r="H180" t="s">
        <v>72</v>
      </c>
      <c r="I180" t="s">
        <v>43</v>
      </c>
      <c r="J180" t="s">
        <v>34</v>
      </c>
      <c r="K180">
        <v>6</v>
      </c>
      <c r="L180">
        <v>35.92</v>
      </c>
      <c r="M180">
        <v>0.05</v>
      </c>
    </row>
    <row r="181" spans="1:13" x14ac:dyDescent="0.25">
      <c r="A181" t="s">
        <v>794</v>
      </c>
      <c r="B181" t="s">
        <v>795</v>
      </c>
      <c r="C181" t="s">
        <v>796</v>
      </c>
      <c r="D181" t="s">
        <v>797</v>
      </c>
      <c r="E181" t="s">
        <v>149</v>
      </c>
      <c r="F181" t="s">
        <v>56</v>
      </c>
      <c r="G181" t="s">
        <v>95</v>
      </c>
      <c r="H181" t="s">
        <v>72</v>
      </c>
      <c r="I181" t="s">
        <v>51</v>
      </c>
      <c r="J181" t="s">
        <v>59</v>
      </c>
      <c r="K181">
        <v>8</v>
      </c>
      <c r="L181">
        <v>1472.8</v>
      </c>
      <c r="M181">
        <v>0.05</v>
      </c>
    </row>
    <row r="182" spans="1:13" x14ac:dyDescent="0.25">
      <c r="A182" t="s">
        <v>798</v>
      </c>
      <c r="B182" t="s">
        <v>799</v>
      </c>
      <c r="C182" t="s">
        <v>800</v>
      </c>
      <c r="D182" t="s">
        <v>801</v>
      </c>
      <c r="E182" t="s">
        <v>29</v>
      </c>
      <c r="F182" t="s">
        <v>84</v>
      </c>
      <c r="G182" t="s">
        <v>412</v>
      </c>
      <c r="H182" t="s">
        <v>58</v>
      </c>
      <c r="I182" t="s">
        <v>66</v>
      </c>
      <c r="J182" t="s">
        <v>73</v>
      </c>
      <c r="K182">
        <v>10</v>
      </c>
      <c r="L182">
        <v>879.95</v>
      </c>
      <c r="M182">
        <v>0</v>
      </c>
    </row>
    <row r="183" spans="1:13" x14ac:dyDescent="0.25">
      <c r="A183" t="s">
        <v>802</v>
      </c>
      <c r="B183" t="s">
        <v>803</v>
      </c>
      <c r="C183" t="s">
        <v>804</v>
      </c>
      <c r="D183" t="s">
        <v>805</v>
      </c>
      <c r="E183" t="s">
        <v>29</v>
      </c>
      <c r="F183" t="s">
        <v>30</v>
      </c>
      <c r="G183" t="s">
        <v>195</v>
      </c>
      <c r="H183" t="s">
        <v>32</v>
      </c>
      <c r="I183" t="s">
        <v>66</v>
      </c>
      <c r="J183" t="s">
        <v>59</v>
      </c>
      <c r="K183">
        <v>5</v>
      </c>
      <c r="L183">
        <v>1033.82</v>
      </c>
      <c r="M183">
        <v>0.2</v>
      </c>
    </row>
    <row r="184" spans="1:13" x14ac:dyDescent="0.25">
      <c r="A184" t="s">
        <v>806</v>
      </c>
      <c r="B184" t="s">
        <v>807</v>
      </c>
      <c r="C184" t="s">
        <v>808</v>
      </c>
      <c r="D184" t="s">
        <v>809</v>
      </c>
      <c r="E184" t="s">
        <v>200</v>
      </c>
      <c r="F184" t="s">
        <v>30</v>
      </c>
      <c r="G184" t="s">
        <v>195</v>
      </c>
      <c r="H184" t="s">
        <v>42</v>
      </c>
      <c r="I184" t="s">
        <v>33</v>
      </c>
      <c r="J184" t="s">
        <v>34</v>
      </c>
      <c r="K184">
        <v>10</v>
      </c>
      <c r="L184">
        <v>1125.3900000000001</v>
      </c>
      <c r="M184">
        <v>0.05</v>
      </c>
    </row>
    <row r="185" spans="1:13" x14ac:dyDescent="0.25">
      <c r="A185" t="s">
        <v>810</v>
      </c>
      <c r="B185" t="s">
        <v>811</v>
      </c>
      <c r="C185" t="s">
        <v>812</v>
      </c>
      <c r="D185" t="s">
        <v>813</v>
      </c>
      <c r="E185" t="s">
        <v>39</v>
      </c>
      <c r="F185" t="s">
        <v>40</v>
      </c>
      <c r="G185" t="s">
        <v>144</v>
      </c>
      <c r="H185" t="s">
        <v>58</v>
      </c>
      <c r="I185" t="s">
        <v>51</v>
      </c>
      <c r="J185" t="s">
        <v>126</v>
      </c>
      <c r="K185">
        <v>9</v>
      </c>
      <c r="L185">
        <v>795.38</v>
      </c>
      <c r="M185">
        <v>0.2</v>
      </c>
    </row>
    <row r="186" spans="1:13" x14ac:dyDescent="0.25">
      <c r="A186" t="s">
        <v>814</v>
      </c>
      <c r="B186" t="s">
        <v>815</v>
      </c>
      <c r="C186" t="s">
        <v>816</v>
      </c>
      <c r="D186" t="s">
        <v>817</v>
      </c>
      <c r="E186" t="s">
        <v>83</v>
      </c>
      <c r="F186" t="s">
        <v>40</v>
      </c>
      <c r="G186" t="s">
        <v>106</v>
      </c>
      <c r="H186" t="s">
        <v>32</v>
      </c>
      <c r="I186" t="s">
        <v>43</v>
      </c>
      <c r="J186" t="s">
        <v>34</v>
      </c>
      <c r="K186">
        <v>9</v>
      </c>
      <c r="L186">
        <v>259.33999999999997</v>
      </c>
      <c r="M186">
        <v>0.1</v>
      </c>
    </row>
    <row r="187" spans="1:13" x14ac:dyDescent="0.25">
      <c r="A187" t="s">
        <v>818</v>
      </c>
      <c r="B187" t="s">
        <v>819</v>
      </c>
      <c r="C187" t="s">
        <v>820</v>
      </c>
      <c r="D187" t="s">
        <v>821</v>
      </c>
      <c r="E187" t="s">
        <v>64</v>
      </c>
      <c r="F187" t="s">
        <v>49</v>
      </c>
      <c r="G187" t="s">
        <v>286</v>
      </c>
      <c r="H187" t="s">
        <v>32</v>
      </c>
      <c r="I187" t="s">
        <v>33</v>
      </c>
      <c r="J187" t="s">
        <v>34</v>
      </c>
      <c r="K187">
        <v>8</v>
      </c>
      <c r="L187">
        <v>777.17</v>
      </c>
      <c r="M187">
        <v>0.15</v>
      </c>
    </row>
    <row r="188" spans="1:13" x14ac:dyDescent="0.25">
      <c r="A188" t="s">
        <v>822</v>
      </c>
      <c r="B188" t="s">
        <v>823</v>
      </c>
      <c r="C188" t="s">
        <v>824</v>
      </c>
      <c r="D188" t="s">
        <v>825</v>
      </c>
      <c r="E188" t="s">
        <v>149</v>
      </c>
      <c r="F188" t="s">
        <v>84</v>
      </c>
      <c r="G188" t="s">
        <v>205</v>
      </c>
      <c r="H188" t="s">
        <v>32</v>
      </c>
      <c r="I188" t="s">
        <v>96</v>
      </c>
      <c r="J188" t="s">
        <v>59</v>
      </c>
      <c r="K188">
        <v>10</v>
      </c>
      <c r="L188">
        <v>1122.52</v>
      </c>
      <c r="M188">
        <v>0</v>
      </c>
    </row>
    <row r="189" spans="1:13" x14ac:dyDescent="0.25">
      <c r="A189" t="s">
        <v>826</v>
      </c>
      <c r="B189" t="s">
        <v>827</v>
      </c>
      <c r="C189" t="s">
        <v>828</v>
      </c>
      <c r="D189" t="s">
        <v>829</v>
      </c>
      <c r="E189" t="s">
        <v>116</v>
      </c>
      <c r="F189" t="s">
        <v>49</v>
      </c>
      <c r="G189" t="s">
        <v>117</v>
      </c>
      <c r="H189" t="s">
        <v>42</v>
      </c>
      <c r="I189" t="s">
        <v>66</v>
      </c>
      <c r="J189" t="s">
        <v>34</v>
      </c>
      <c r="K189">
        <v>3</v>
      </c>
      <c r="L189">
        <v>441.33</v>
      </c>
      <c r="M189">
        <v>0</v>
      </c>
    </row>
    <row r="190" spans="1:13" x14ac:dyDescent="0.25">
      <c r="A190" t="s">
        <v>830</v>
      </c>
      <c r="B190" t="s">
        <v>831</v>
      </c>
      <c r="C190" t="s">
        <v>832</v>
      </c>
      <c r="D190" t="s">
        <v>833</v>
      </c>
      <c r="E190" t="s">
        <v>78</v>
      </c>
      <c r="F190" t="s">
        <v>30</v>
      </c>
      <c r="G190" t="s">
        <v>65</v>
      </c>
      <c r="H190" t="s">
        <v>72</v>
      </c>
      <c r="I190" t="s">
        <v>43</v>
      </c>
      <c r="J190" t="s">
        <v>126</v>
      </c>
      <c r="K190">
        <v>9</v>
      </c>
      <c r="L190">
        <v>191.17</v>
      </c>
      <c r="M190">
        <v>0.1</v>
      </c>
    </row>
    <row r="191" spans="1:13" x14ac:dyDescent="0.25">
      <c r="A191" t="s">
        <v>834</v>
      </c>
      <c r="B191" t="s">
        <v>835</v>
      </c>
      <c r="C191" t="s">
        <v>836</v>
      </c>
      <c r="D191" t="s">
        <v>837</v>
      </c>
      <c r="E191" t="s">
        <v>78</v>
      </c>
      <c r="F191" t="s">
        <v>49</v>
      </c>
      <c r="G191" t="s">
        <v>259</v>
      </c>
      <c r="H191" t="s">
        <v>42</v>
      </c>
      <c r="I191" t="s">
        <v>66</v>
      </c>
      <c r="J191" t="s">
        <v>73</v>
      </c>
      <c r="K191">
        <v>4</v>
      </c>
      <c r="L191">
        <v>578.23</v>
      </c>
      <c r="M191">
        <v>0</v>
      </c>
    </row>
    <row r="192" spans="1:13" x14ac:dyDescent="0.25">
      <c r="A192" t="s">
        <v>838</v>
      </c>
      <c r="B192" t="s">
        <v>839</v>
      </c>
      <c r="C192" t="s">
        <v>840</v>
      </c>
      <c r="D192" t="s">
        <v>841</v>
      </c>
      <c r="E192" t="s">
        <v>116</v>
      </c>
      <c r="F192" t="s">
        <v>56</v>
      </c>
      <c r="G192" t="s">
        <v>57</v>
      </c>
      <c r="H192" t="s">
        <v>72</v>
      </c>
      <c r="I192" t="s">
        <v>51</v>
      </c>
      <c r="J192" t="s">
        <v>126</v>
      </c>
      <c r="K192">
        <v>1</v>
      </c>
      <c r="L192">
        <v>928.16</v>
      </c>
      <c r="M192">
        <v>0</v>
      </c>
    </row>
    <row r="193" spans="1:13" x14ac:dyDescent="0.25">
      <c r="A193" t="s">
        <v>842</v>
      </c>
      <c r="B193" t="s">
        <v>843</v>
      </c>
      <c r="C193" t="s">
        <v>844</v>
      </c>
      <c r="D193" t="s">
        <v>845</v>
      </c>
      <c r="E193" t="s">
        <v>64</v>
      </c>
      <c r="F193" t="s">
        <v>30</v>
      </c>
      <c r="G193" t="s">
        <v>269</v>
      </c>
      <c r="H193" t="s">
        <v>72</v>
      </c>
      <c r="I193" t="s">
        <v>51</v>
      </c>
      <c r="J193" t="s">
        <v>73</v>
      </c>
      <c r="K193">
        <v>4</v>
      </c>
      <c r="L193">
        <v>612.36</v>
      </c>
      <c r="M193">
        <v>0.15</v>
      </c>
    </row>
    <row r="194" spans="1:13" x14ac:dyDescent="0.25">
      <c r="A194" t="s">
        <v>846</v>
      </c>
      <c r="B194" t="s">
        <v>847</v>
      </c>
      <c r="C194" t="s">
        <v>848</v>
      </c>
      <c r="D194" t="s">
        <v>849</v>
      </c>
      <c r="E194" t="s">
        <v>83</v>
      </c>
      <c r="F194" t="s">
        <v>84</v>
      </c>
      <c r="G194" t="s">
        <v>90</v>
      </c>
      <c r="H194" t="s">
        <v>58</v>
      </c>
      <c r="I194" t="s">
        <v>43</v>
      </c>
      <c r="J194" t="s">
        <v>73</v>
      </c>
      <c r="K194">
        <v>6</v>
      </c>
      <c r="L194">
        <v>902.91</v>
      </c>
      <c r="M194">
        <v>0</v>
      </c>
    </row>
    <row r="195" spans="1:13" x14ac:dyDescent="0.25">
      <c r="A195" t="s">
        <v>850</v>
      </c>
      <c r="B195" t="s">
        <v>851</v>
      </c>
      <c r="C195" t="s">
        <v>852</v>
      </c>
      <c r="D195" t="s">
        <v>853</v>
      </c>
      <c r="E195" t="s">
        <v>78</v>
      </c>
      <c r="F195" t="s">
        <v>40</v>
      </c>
      <c r="G195" t="s">
        <v>106</v>
      </c>
      <c r="H195" t="s">
        <v>42</v>
      </c>
      <c r="I195" t="s">
        <v>51</v>
      </c>
      <c r="J195" t="s">
        <v>59</v>
      </c>
      <c r="K195">
        <v>7</v>
      </c>
      <c r="L195">
        <v>944.6</v>
      </c>
      <c r="M195">
        <v>0.15</v>
      </c>
    </row>
    <row r="196" spans="1:13" x14ac:dyDescent="0.25">
      <c r="A196" t="s">
        <v>854</v>
      </c>
      <c r="B196" t="s">
        <v>855</v>
      </c>
      <c r="C196" t="s">
        <v>856</v>
      </c>
      <c r="D196" t="s">
        <v>857</v>
      </c>
      <c r="E196" t="s">
        <v>78</v>
      </c>
      <c r="F196" t="s">
        <v>84</v>
      </c>
      <c r="G196" t="s">
        <v>264</v>
      </c>
      <c r="H196" t="s">
        <v>72</v>
      </c>
      <c r="I196" t="s">
        <v>33</v>
      </c>
      <c r="J196" t="s">
        <v>34</v>
      </c>
      <c r="K196">
        <v>5</v>
      </c>
      <c r="L196">
        <v>621.26</v>
      </c>
      <c r="M196">
        <v>0.1</v>
      </c>
    </row>
    <row r="197" spans="1:13" x14ac:dyDescent="0.25">
      <c r="A197" t="s">
        <v>858</v>
      </c>
      <c r="B197" t="s">
        <v>859</v>
      </c>
      <c r="C197" t="s">
        <v>860</v>
      </c>
      <c r="D197" t="s">
        <v>861</v>
      </c>
      <c r="E197" t="s">
        <v>48</v>
      </c>
      <c r="F197" t="s">
        <v>49</v>
      </c>
      <c r="G197" t="s">
        <v>117</v>
      </c>
      <c r="H197" t="s">
        <v>72</v>
      </c>
      <c r="I197" t="s">
        <v>96</v>
      </c>
      <c r="J197" t="s">
        <v>73</v>
      </c>
      <c r="K197">
        <v>7</v>
      </c>
      <c r="L197">
        <v>850.14</v>
      </c>
      <c r="M197">
        <v>0.15</v>
      </c>
    </row>
    <row r="198" spans="1:13" x14ac:dyDescent="0.25">
      <c r="A198" t="s">
        <v>862</v>
      </c>
      <c r="B198" t="s">
        <v>863</v>
      </c>
      <c r="C198" t="s">
        <v>864</v>
      </c>
      <c r="D198" t="s">
        <v>865</v>
      </c>
      <c r="E198" t="s">
        <v>116</v>
      </c>
      <c r="F198" t="s">
        <v>49</v>
      </c>
      <c r="G198" t="s">
        <v>50</v>
      </c>
      <c r="H198" t="s">
        <v>58</v>
      </c>
      <c r="I198" t="s">
        <v>96</v>
      </c>
      <c r="J198" t="s">
        <v>126</v>
      </c>
      <c r="K198">
        <v>4</v>
      </c>
      <c r="L198">
        <v>152.31</v>
      </c>
      <c r="M198">
        <v>0</v>
      </c>
    </row>
    <row r="199" spans="1:13" x14ac:dyDescent="0.25">
      <c r="A199" t="s">
        <v>866</v>
      </c>
      <c r="B199" t="s">
        <v>867</v>
      </c>
      <c r="C199" t="s">
        <v>868</v>
      </c>
      <c r="D199" t="s">
        <v>869</v>
      </c>
      <c r="E199" t="s">
        <v>78</v>
      </c>
      <c r="F199" t="s">
        <v>30</v>
      </c>
      <c r="G199" t="s">
        <v>195</v>
      </c>
      <c r="H199" t="s">
        <v>32</v>
      </c>
      <c r="I199" t="s">
        <v>43</v>
      </c>
      <c r="J199" t="s">
        <v>73</v>
      </c>
      <c r="K199">
        <v>6</v>
      </c>
      <c r="L199">
        <v>325.2</v>
      </c>
      <c r="M199">
        <v>0.05</v>
      </c>
    </row>
    <row r="200" spans="1:13" x14ac:dyDescent="0.25">
      <c r="A200" t="s">
        <v>870</v>
      </c>
      <c r="B200" t="s">
        <v>871</v>
      </c>
      <c r="C200" t="s">
        <v>872</v>
      </c>
      <c r="D200" t="s">
        <v>873</v>
      </c>
      <c r="E200" t="s">
        <v>83</v>
      </c>
      <c r="F200" t="s">
        <v>30</v>
      </c>
      <c r="G200" t="s">
        <v>195</v>
      </c>
      <c r="H200" t="s">
        <v>58</v>
      </c>
      <c r="I200" t="s">
        <v>96</v>
      </c>
      <c r="J200" t="s">
        <v>34</v>
      </c>
      <c r="K200">
        <v>9</v>
      </c>
      <c r="L200">
        <v>1373.96</v>
      </c>
      <c r="M200">
        <v>0.05</v>
      </c>
    </row>
    <row r="201" spans="1:13" x14ac:dyDescent="0.25">
      <c r="A201" t="s">
        <v>874</v>
      </c>
      <c r="B201" t="s">
        <v>875</v>
      </c>
      <c r="C201" t="s">
        <v>876</v>
      </c>
      <c r="D201" t="s">
        <v>877</v>
      </c>
      <c r="E201" t="s">
        <v>29</v>
      </c>
      <c r="F201" t="s">
        <v>84</v>
      </c>
      <c r="G201" t="s">
        <v>90</v>
      </c>
      <c r="H201" t="s">
        <v>42</v>
      </c>
      <c r="I201" t="s">
        <v>66</v>
      </c>
      <c r="J201" t="s">
        <v>73</v>
      </c>
      <c r="K201">
        <v>8</v>
      </c>
      <c r="L201">
        <v>1325.98</v>
      </c>
      <c r="M201">
        <v>0</v>
      </c>
    </row>
    <row r="202" spans="1:13" x14ac:dyDescent="0.25">
      <c r="A202" t="s">
        <v>878</v>
      </c>
      <c r="B202" t="s">
        <v>879</v>
      </c>
      <c r="C202" t="s">
        <v>880</v>
      </c>
      <c r="D202" t="s">
        <v>881</v>
      </c>
      <c r="E202" t="s">
        <v>83</v>
      </c>
      <c r="F202" t="s">
        <v>30</v>
      </c>
      <c r="G202" t="s">
        <v>31</v>
      </c>
      <c r="H202" t="s">
        <v>42</v>
      </c>
      <c r="I202" t="s">
        <v>66</v>
      </c>
      <c r="J202" t="s">
        <v>73</v>
      </c>
      <c r="K202">
        <v>9</v>
      </c>
      <c r="L202">
        <v>39.090000000000003</v>
      </c>
      <c r="M202">
        <v>0.15</v>
      </c>
    </row>
    <row r="203" spans="1:13" x14ac:dyDescent="0.25">
      <c r="A203" t="s">
        <v>882</v>
      </c>
      <c r="B203" t="s">
        <v>883</v>
      </c>
      <c r="C203" t="s">
        <v>884</v>
      </c>
      <c r="D203" t="s">
        <v>885</v>
      </c>
      <c r="E203" t="s">
        <v>83</v>
      </c>
      <c r="F203" t="s">
        <v>30</v>
      </c>
      <c r="G203" t="s">
        <v>195</v>
      </c>
      <c r="H203" t="s">
        <v>42</v>
      </c>
      <c r="I203" t="s">
        <v>96</v>
      </c>
      <c r="J203" t="s">
        <v>34</v>
      </c>
      <c r="K203">
        <v>6</v>
      </c>
      <c r="L203">
        <v>832.7</v>
      </c>
      <c r="M203">
        <v>0.05</v>
      </c>
    </row>
    <row r="204" spans="1:13" x14ac:dyDescent="0.25">
      <c r="A204" t="s">
        <v>886</v>
      </c>
      <c r="B204" t="s">
        <v>887</v>
      </c>
      <c r="C204" t="s">
        <v>888</v>
      </c>
      <c r="D204" t="s">
        <v>889</v>
      </c>
      <c r="E204" t="s">
        <v>78</v>
      </c>
      <c r="F204" t="s">
        <v>49</v>
      </c>
      <c r="G204" t="s">
        <v>286</v>
      </c>
      <c r="H204" t="s">
        <v>32</v>
      </c>
      <c r="I204" t="s">
        <v>33</v>
      </c>
      <c r="J204" t="s">
        <v>126</v>
      </c>
      <c r="K204">
        <v>9</v>
      </c>
      <c r="L204">
        <v>1376.6</v>
      </c>
      <c r="M204">
        <v>0.2</v>
      </c>
    </row>
    <row r="205" spans="1:13" x14ac:dyDescent="0.25">
      <c r="A205" t="s">
        <v>890</v>
      </c>
      <c r="B205" t="s">
        <v>891</v>
      </c>
      <c r="C205" t="s">
        <v>892</v>
      </c>
      <c r="D205" t="s">
        <v>893</v>
      </c>
      <c r="E205" t="s">
        <v>64</v>
      </c>
      <c r="F205" t="s">
        <v>49</v>
      </c>
      <c r="G205" t="s">
        <v>286</v>
      </c>
      <c r="H205" t="s">
        <v>72</v>
      </c>
      <c r="I205" t="s">
        <v>51</v>
      </c>
      <c r="J205" t="s">
        <v>73</v>
      </c>
      <c r="K205">
        <v>4</v>
      </c>
      <c r="L205">
        <v>1266.18</v>
      </c>
      <c r="M205">
        <v>0</v>
      </c>
    </row>
    <row r="206" spans="1:13" x14ac:dyDescent="0.25">
      <c r="A206" t="s">
        <v>894</v>
      </c>
      <c r="B206" t="s">
        <v>895</v>
      </c>
      <c r="C206" t="s">
        <v>896</v>
      </c>
      <c r="D206" t="s">
        <v>897</v>
      </c>
      <c r="E206" t="s">
        <v>83</v>
      </c>
      <c r="F206" t="s">
        <v>40</v>
      </c>
      <c r="G206" t="s">
        <v>565</v>
      </c>
      <c r="H206" t="s">
        <v>42</v>
      </c>
      <c r="I206" t="s">
        <v>51</v>
      </c>
      <c r="J206" t="s">
        <v>126</v>
      </c>
      <c r="K206">
        <v>1</v>
      </c>
      <c r="L206">
        <v>994.04</v>
      </c>
      <c r="M206">
        <v>0</v>
      </c>
    </row>
    <row r="207" spans="1:13" x14ac:dyDescent="0.25">
      <c r="A207" t="s">
        <v>898</v>
      </c>
      <c r="B207" t="s">
        <v>899</v>
      </c>
      <c r="C207" t="s">
        <v>900</v>
      </c>
      <c r="D207" t="s">
        <v>901</v>
      </c>
      <c r="E207" t="s">
        <v>64</v>
      </c>
      <c r="F207" t="s">
        <v>40</v>
      </c>
      <c r="G207" t="s">
        <v>565</v>
      </c>
      <c r="H207" t="s">
        <v>32</v>
      </c>
      <c r="I207" t="s">
        <v>33</v>
      </c>
      <c r="J207" t="s">
        <v>73</v>
      </c>
      <c r="K207">
        <v>3</v>
      </c>
      <c r="L207">
        <v>1212.1600000000001</v>
      </c>
      <c r="M207">
        <v>0</v>
      </c>
    </row>
    <row r="208" spans="1:13" x14ac:dyDescent="0.25">
      <c r="A208" t="s">
        <v>902</v>
      </c>
      <c r="B208" t="s">
        <v>903</v>
      </c>
      <c r="C208" t="s">
        <v>904</v>
      </c>
      <c r="D208" t="s">
        <v>905</v>
      </c>
      <c r="E208" t="s">
        <v>71</v>
      </c>
      <c r="F208" t="s">
        <v>84</v>
      </c>
      <c r="G208" t="s">
        <v>264</v>
      </c>
      <c r="H208" t="s">
        <v>72</v>
      </c>
      <c r="I208" t="s">
        <v>43</v>
      </c>
      <c r="J208" t="s">
        <v>59</v>
      </c>
      <c r="K208">
        <v>7</v>
      </c>
      <c r="L208">
        <v>132.34</v>
      </c>
      <c r="M208">
        <v>0.1</v>
      </c>
    </row>
    <row r="209" spans="1:13" x14ac:dyDescent="0.25">
      <c r="A209" t="s">
        <v>906</v>
      </c>
      <c r="B209" t="s">
        <v>907</v>
      </c>
      <c r="C209" t="s">
        <v>908</v>
      </c>
      <c r="D209" t="s">
        <v>909</v>
      </c>
      <c r="E209" t="s">
        <v>64</v>
      </c>
      <c r="F209" t="s">
        <v>56</v>
      </c>
      <c r="G209" t="s">
        <v>57</v>
      </c>
      <c r="H209" t="s">
        <v>32</v>
      </c>
      <c r="I209" t="s">
        <v>51</v>
      </c>
      <c r="J209" t="s">
        <v>73</v>
      </c>
      <c r="K209">
        <v>9</v>
      </c>
      <c r="L209">
        <v>578.21</v>
      </c>
      <c r="M209">
        <v>0.1</v>
      </c>
    </row>
    <row r="210" spans="1:13" x14ac:dyDescent="0.25">
      <c r="A210" t="s">
        <v>910</v>
      </c>
      <c r="B210" t="s">
        <v>911</v>
      </c>
      <c r="C210" t="s">
        <v>912</v>
      </c>
      <c r="D210" t="s">
        <v>913</v>
      </c>
      <c r="E210" t="s">
        <v>71</v>
      </c>
      <c r="F210" t="s">
        <v>40</v>
      </c>
      <c r="G210" t="s">
        <v>144</v>
      </c>
      <c r="H210" t="s">
        <v>72</v>
      </c>
      <c r="I210" t="s">
        <v>33</v>
      </c>
      <c r="J210" t="s">
        <v>34</v>
      </c>
      <c r="K210">
        <v>1</v>
      </c>
      <c r="L210">
        <v>1343.76</v>
      </c>
      <c r="M210">
        <v>0</v>
      </c>
    </row>
    <row r="211" spans="1:13" x14ac:dyDescent="0.25">
      <c r="A211" t="s">
        <v>914</v>
      </c>
      <c r="B211" t="s">
        <v>915</v>
      </c>
      <c r="C211" t="s">
        <v>916</v>
      </c>
      <c r="D211" t="s">
        <v>917</v>
      </c>
      <c r="E211" t="s">
        <v>29</v>
      </c>
      <c r="F211" t="s">
        <v>40</v>
      </c>
      <c r="G211" t="s">
        <v>41</v>
      </c>
      <c r="H211" t="s">
        <v>32</v>
      </c>
      <c r="I211" t="s">
        <v>43</v>
      </c>
      <c r="J211" t="s">
        <v>73</v>
      </c>
      <c r="K211">
        <v>3</v>
      </c>
      <c r="L211">
        <v>992.29</v>
      </c>
      <c r="M211">
        <v>0.05</v>
      </c>
    </row>
    <row r="212" spans="1:13" x14ac:dyDescent="0.25">
      <c r="A212" t="s">
        <v>918</v>
      </c>
      <c r="B212" t="s">
        <v>919</v>
      </c>
      <c r="C212" t="s">
        <v>920</v>
      </c>
      <c r="D212" t="s">
        <v>921</v>
      </c>
      <c r="E212" t="s">
        <v>83</v>
      </c>
      <c r="F212" t="s">
        <v>30</v>
      </c>
      <c r="G212" t="s">
        <v>139</v>
      </c>
      <c r="H212" t="s">
        <v>58</v>
      </c>
      <c r="I212" t="s">
        <v>96</v>
      </c>
      <c r="J212" t="s">
        <v>73</v>
      </c>
      <c r="K212">
        <v>7</v>
      </c>
      <c r="L212">
        <v>1254.46</v>
      </c>
      <c r="M212">
        <v>0.2</v>
      </c>
    </row>
    <row r="213" spans="1:13" x14ac:dyDescent="0.25">
      <c r="A213" t="s">
        <v>922</v>
      </c>
      <c r="B213" t="s">
        <v>923</v>
      </c>
      <c r="C213" t="s">
        <v>924</v>
      </c>
      <c r="D213" t="s">
        <v>925</v>
      </c>
      <c r="E213" t="s">
        <v>64</v>
      </c>
      <c r="F213" t="s">
        <v>56</v>
      </c>
      <c r="G213" t="s">
        <v>57</v>
      </c>
      <c r="H213" t="s">
        <v>42</v>
      </c>
      <c r="I213" t="s">
        <v>66</v>
      </c>
      <c r="J213" t="s">
        <v>126</v>
      </c>
      <c r="K213">
        <v>2</v>
      </c>
      <c r="L213">
        <v>359.73</v>
      </c>
      <c r="M213">
        <v>0.05</v>
      </c>
    </row>
    <row r="214" spans="1:13" x14ac:dyDescent="0.25">
      <c r="A214" t="s">
        <v>926</v>
      </c>
      <c r="B214" t="s">
        <v>927</v>
      </c>
      <c r="C214" t="s">
        <v>928</v>
      </c>
      <c r="D214" t="s">
        <v>929</v>
      </c>
      <c r="E214" t="s">
        <v>39</v>
      </c>
      <c r="F214" t="s">
        <v>84</v>
      </c>
      <c r="G214" t="s">
        <v>90</v>
      </c>
      <c r="H214" t="s">
        <v>42</v>
      </c>
      <c r="I214" t="s">
        <v>51</v>
      </c>
      <c r="J214" t="s">
        <v>59</v>
      </c>
      <c r="K214">
        <v>7</v>
      </c>
      <c r="L214">
        <v>1412.6</v>
      </c>
      <c r="M214">
        <v>0</v>
      </c>
    </row>
    <row r="215" spans="1:13" x14ac:dyDescent="0.25">
      <c r="A215" t="s">
        <v>930</v>
      </c>
      <c r="B215" t="s">
        <v>931</v>
      </c>
      <c r="C215" t="s">
        <v>932</v>
      </c>
      <c r="D215" t="s">
        <v>933</v>
      </c>
      <c r="E215" t="s">
        <v>48</v>
      </c>
      <c r="F215" t="s">
        <v>49</v>
      </c>
      <c r="G215" t="s">
        <v>286</v>
      </c>
      <c r="H215" t="s">
        <v>32</v>
      </c>
      <c r="I215" t="s">
        <v>51</v>
      </c>
      <c r="J215" t="s">
        <v>126</v>
      </c>
      <c r="K215">
        <v>6</v>
      </c>
      <c r="L215">
        <v>1113.3900000000001</v>
      </c>
      <c r="M215">
        <v>0.05</v>
      </c>
    </row>
    <row r="216" spans="1:13" x14ac:dyDescent="0.25">
      <c r="A216" t="s">
        <v>934</v>
      </c>
      <c r="B216" t="s">
        <v>935</v>
      </c>
      <c r="C216" t="s">
        <v>936</v>
      </c>
      <c r="D216" t="s">
        <v>937</v>
      </c>
      <c r="E216" t="s">
        <v>29</v>
      </c>
      <c r="F216" t="s">
        <v>56</v>
      </c>
      <c r="G216" t="s">
        <v>95</v>
      </c>
      <c r="H216" t="s">
        <v>42</v>
      </c>
      <c r="I216" t="s">
        <v>51</v>
      </c>
      <c r="J216" t="s">
        <v>126</v>
      </c>
      <c r="K216">
        <v>7</v>
      </c>
      <c r="L216">
        <v>144.63999999999999</v>
      </c>
      <c r="M216">
        <v>0.1</v>
      </c>
    </row>
    <row r="217" spans="1:13" x14ac:dyDescent="0.25">
      <c r="A217" t="s">
        <v>938</v>
      </c>
      <c r="B217" t="s">
        <v>939</v>
      </c>
      <c r="C217" t="s">
        <v>940</v>
      </c>
      <c r="D217" t="s">
        <v>941</v>
      </c>
      <c r="E217" t="s">
        <v>83</v>
      </c>
      <c r="F217" t="s">
        <v>40</v>
      </c>
      <c r="G217" t="s">
        <v>315</v>
      </c>
      <c r="H217" t="s">
        <v>42</v>
      </c>
      <c r="I217" t="s">
        <v>96</v>
      </c>
      <c r="J217" t="s">
        <v>126</v>
      </c>
      <c r="K217">
        <v>1</v>
      </c>
      <c r="L217">
        <v>1297.6199999999999</v>
      </c>
      <c r="M217">
        <v>0.05</v>
      </c>
    </row>
    <row r="218" spans="1:13" x14ac:dyDescent="0.25">
      <c r="A218" t="s">
        <v>942</v>
      </c>
      <c r="B218" t="s">
        <v>943</v>
      </c>
      <c r="C218" t="s">
        <v>944</v>
      </c>
      <c r="D218" t="s">
        <v>945</v>
      </c>
      <c r="E218" t="s">
        <v>48</v>
      </c>
      <c r="F218" t="s">
        <v>49</v>
      </c>
      <c r="G218" t="s">
        <v>286</v>
      </c>
      <c r="H218" t="s">
        <v>42</v>
      </c>
      <c r="I218" t="s">
        <v>43</v>
      </c>
      <c r="J218" t="s">
        <v>126</v>
      </c>
      <c r="K218">
        <v>5</v>
      </c>
      <c r="L218">
        <v>221.18</v>
      </c>
      <c r="M218">
        <v>0.05</v>
      </c>
    </row>
    <row r="219" spans="1:13" x14ac:dyDescent="0.25">
      <c r="A219" t="s">
        <v>946</v>
      </c>
      <c r="B219" t="s">
        <v>947</v>
      </c>
      <c r="C219" t="s">
        <v>948</v>
      </c>
      <c r="D219" t="s">
        <v>949</v>
      </c>
      <c r="E219" t="s">
        <v>29</v>
      </c>
      <c r="F219" t="s">
        <v>49</v>
      </c>
      <c r="G219" t="s">
        <v>117</v>
      </c>
      <c r="H219" t="s">
        <v>42</v>
      </c>
      <c r="I219" t="s">
        <v>33</v>
      </c>
      <c r="J219" t="s">
        <v>73</v>
      </c>
      <c r="K219">
        <v>4</v>
      </c>
      <c r="L219">
        <v>551.27</v>
      </c>
      <c r="M219">
        <v>0.2</v>
      </c>
    </row>
    <row r="220" spans="1:13" x14ac:dyDescent="0.25">
      <c r="A220" t="s">
        <v>950</v>
      </c>
      <c r="B220" t="s">
        <v>951</v>
      </c>
      <c r="C220" t="s">
        <v>952</v>
      </c>
      <c r="D220" t="s">
        <v>953</v>
      </c>
      <c r="E220" t="s">
        <v>64</v>
      </c>
      <c r="F220" t="s">
        <v>49</v>
      </c>
      <c r="G220" t="s">
        <v>50</v>
      </c>
      <c r="H220" t="s">
        <v>42</v>
      </c>
      <c r="I220" t="s">
        <v>66</v>
      </c>
      <c r="J220" t="s">
        <v>34</v>
      </c>
      <c r="K220">
        <v>7</v>
      </c>
      <c r="L220">
        <v>1264.8</v>
      </c>
      <c r="M220">
        <v>0.05</v>
      </c>
    </row>
    <row r="221" spans="1:13" x14ac:dyDescent="0.25">
      <c r="A221" t="s">
        <v>954</v>
      </c>
      <c r="B221" t="s">
        <v>955</v>
      </c>
      <c r="C221" t="s">
        <v>956</v>
      </c>
      <c r="D221" t="s">
        <v>957</v>
      </c>
      <c r="E221" t="s">
        <v>71</v>
      </c>
      <c r="F221" t="s">
        <v>40</v>
      </c>
      <c r="G221" t="s">
        <v>106</v>
      </c>
      <c r="H221" t="s">
        <v>58</v>
      </c>
      <c r="I221" t="s">
        <v>66</v>
      </c>
      <c r="J221" t="s">
        <v>34</v>
      </c>
      <c r="K221">
        <v>3</v>
      </c>
      <c r="L221">
        <v>726.33</v>
      </c>
      <c r="M221">
        <v>0.1</v>
      </c>
    </row>
    <row r="222" spans="1:13" x14ac:dyDescent="0.25">
      <c r="A222" t="s">
        <v>958</v>
      </c>
      <c r="B222" t="s">
        <v>959</v>
      </c>
      <c r="C222" t="s">
        <v>960</v>
      </c>
      <c r="D222" t="s">
        <v>961</v>
      </c>
      <c r="E222" t="s">
        <v>29</v>
      </c>
      <c r="F222" t="s">
        <v>49</v>
      </c>
      <c r="G222" t="s">
        <v>50</v>
      </c>
      <c r="H222" t="s">
        <v>72</v>
      </c>
      <c r="I222" t="s">
        <v>33</v>
      </c>
      <c r="J222" t="s">
        <v>126</v>
      </c>
      <c r="K222">
        <v>10</v>
      </c>
      <c r="L222">
        <v>184.12</v>
      </c>
      <c r="M222">
        <v>0</v>
      </c>
    </row>
    <row r="223" spans="1:13" x14ac:dyDescent="0.25">
      <c r="A223" t="s">
        <v>962</v>
      </c>
      <c r="B223" t="s">
        <v>963</v>
      </c>
      <c r="C223" t="s">
        <v>964</v>
      </c>
      <c r="D223" t="s">
        <v>965</v>
      </c>
      <c r="E223" t="s">
        <v>29</v>
      </c>
      <c r="F223" t="s">
        <v>56</v>
      </c>
      <c r="G223" t="s">
        <v>57</v>
      </c>
      <c r="H223" t="s">
        <v>58</v>
      </c>
      <c r="I223" t="s">
        <v>43</v>
      </c>
      <c r="J223" t="s">
        <v>59</v>
      </c>
      <c r="K223">
        <v>3</v>
      </c>
      <c r="L223">
        <v>1014.37</v>
      </c>
      <c r="M223">
        <v>0.2</v>
      </c>
    </row>
    <row r="224" spans="1:13" x14ac:dyDescent="0.25">
      <c r="A224" t="s">
        <v>966</v>
      </c>
      <c r="B224" t="s">
        <v>967</v>
      </c>
      <c r="C224" t="s">
        <v>968</v>
      </c>
      <c r="D224" t="s">
        <v>969</v>
      </c>
      <c r="E224" t="s">
        <v>149</v>
      </c>
      <c r="F224" t="s">
        <v>56</v>
      </c>
      <c r="G224" t="s">
        <v>57</v>
      </c>
      <c r="H224" t="s">
        <v>42</v>
      </c>
      <c r="I224" t="s">
        <v>33</v>
      </c>
      <c r="J224" t="s">
        <v>34</v>
      </c>
      <c r="K224">
        <v>8</v>
      </c>
      <c r="L224">
        <v>1486.19</v>
      </c>
      <c r="M224">
        <v>0.15</v>
      </c>
    </row>
    <row r="225" spans="1:13" x14ac:dyDescent="0.25">
      <c r="A225" t="s">
        <v>970</v>
      </c>
      <c r="B225" t="s">
        <v>971</v>
      </c>
      <c r="C225" t="s">
        <v>972</v>
      </c>
      <c r="D225" t="s">
        <v>973</v>
      </c>
      <c r="E225" t="s">
        <v>78</v>
      </c>
      <c r="F225" t="s">
        <v>40</v>
      </c>
      <c r="G225" t="s">
        <v>144</v>
      </c>
      <c r="H225" t="s">
        <v>58</v>
      </c>
      <c r="I225" t="s">
        <v>43</v>
      </c>
      <c r="J225" t="s">
        <v>126</v>
      </c>
      <c r="K225">
        <v>4</v>
      </c>
      <c r="L225">
        <v>177.41</v>
      </c>
      <c r="M225">
        <v>0.2</v>
      </c>
    </row>
    <row r="226" spans="1:13" x14ac:dyDescent="0.25">
      <c r="A226" t="s">
        <v>974</v>
      </c>
      <c r="B226" t="s">
        <v>975</v>
      </c>
      <c r="C226" t="s">
        <v>976</v>
      </c>
      <c r="D226" t="s">
        <v>977</v>
      </c>
      <c r="E226" t="s">
        <v>149</v>
      </c>
      <c r="F226" t="s">
        <v>84</v>
      </c>
      <c r="G226" t="s">
        <v>264</v>
      </c>
      <c r="H226" t="s">
        <v>72</v>
      </c>
      <c r="I226" t="s">
        <v>33</v>
      </c>
      <c r="J226" t="s">
        <v>73</v>
      </c>
      <c r="K226">
        <v>2</v>
      </c>
      <c r="L226">
        <v>172.33</v>
      </c>
      <c r="M226">
        <v>0.05</v>
      </c>
    </row>
    <row r="227" spans="1:13" x14ac:dyDescent="0.25">
      <c r="A227" t="s">
        <v>978</v>
      </c>
      <c r="B227" t="s">
        <v>979</v>
      </c>
      <c r="C227" t="s">
        <v>980</v>
      </c>
      <c r="D227" t="s">
        <v>981</v>
      </c>
      <c r="E227" t="s">
        <v>83</v>
      </c>
      <c r="F227" t="s">
        <v>40</v>
      </c>
      <c r="G227" t="s">
        <v>106</v>
      </c>
      <c r="H227" t="s">
        <v>32</v>
      </c>
      <c r="I227" t="s">
        <v>66</v>
      </c>
      <c r="J227" t="s">
        <v>34</v>
      </c>
      <c r="K227">
        <v>1</v>
      </c>
      <c r="L227">
        <v>527.28</v>
      </c>
      <c r="M227">
        <v>0.1</v>
      </c>
    </row>
    <row r="228" spans="1:13" x14ac:dyDescent="0.25">
      <c r="A228" t="s">
        <v>982</v>
      </c>
      <c r="B228" t="s">
        <v>983</v>
      </c>
      <c r="C228" t="s">
        <v>984</v>
      </c>
      <c r="D228" t="s">
        <v>985</v>
      </c>
      <c r="E228" t="s">
        <v>71</v>
      </c>
      <c r="F228" t="s">
        <v>84</v>
      </c>
      <c r="G228" t="s">
        <v>412</v>
      </c>
      <c r="H228" t="s">
        <v>42</v>
      </c>
      <c r="I228" t="s">
        <v>66</v>
      </c>
      <c r="J228" t="s">
        <v>34</v>
      </c>
      <c r="K228">
        <v>4</v>
      </c>
      <c r="L228">
        <v>691.17</v>
      </c>
      <c r="M228">
        <v>0.15</v>
      </c>
    </row>
    <row r="229" spans="1:13" x14ac:dyDescent="0.25">
      <c r="A229" t="s">
        <v>986</v>
      </c>
      <c r="B229" t="s">
        <v>987</v>
      </c>
      <c r="C229" t="s">
        <v>988</v>
      </c>
      <c r="D229" t="s">
        <v>989</v>
      </c>
      <c r="E229" t="s">
        <v>200</v>
      </c>
      <c r="F229" t="s">
        <v>84</v>
      </c>
      <c r="G229" t="s">
        <v>205</v>
      </c>
      <c r="H229" t="s">
        <v>58</v>
      </c>
      <c r="I229" t="s">
        <v>51</v>
      </c>
      <c r="J229" t="s">
        <v>73</v>
      </c>
      <c r="K229">
        <v>2</v>
      </c>
      <c r="L229">
        <v>460.89</v>
      </c>
      <c r="M229">
        <v>0</v>
      </c>
    </row>
    <row r="230" spans="1:13" x14ac:dyDescent="0.25">
      <c r="A230" t="s">
        <v>990</v>
      </c>
      <c r="B230" t="s">
        <v>991</v>
      </c>
      <c r="C230" t="s">
        <v>992</v>
      </c>
      <c r="D230" t="s">
        <v>993</v>
      </c>
      <c r="E230" t="s">
        <v>48</v>
      </c>
      <c r="F230" t="s">
        <v>84</v>
      </c>
      <c r="G230" t="s">
        <v>90</v>
      </c>
      <c r="H230" t="s">
        <v>42</v>
      </c>
      <c r="I230" t="s">
        <v>43</v>
      </c>
      <c r="J230" t="s">
        <v>73</v>
      </c>
      <c r="K230">
        <v>8</v>
      </c>
      <c r="L230">
        <v>648.16</v>
      </c>
      <c r="M230">
        <v>0</v>
      </c>
    </row>
    <row r="231" spans="1:13" x14ac:dyDescent="0.25">
      <c r="A231" t="s">
        <v>994</v>
      </c>
      <c r="B231" t="s">
        <v>995</v>
      </c>
      <c r="C231" t="s">
        <v>996</v>
      </c>
      <c r="D231" t="s">
        <v>997</v>
      </c>
      <c r="E231" t="s">
        <v>64</v>
      </c>
      <c r="F231" t="s">
        <v>40</v>
      </c>
      <c r="G231" t="s">
        <v>106</v>
      </c>
      <c r="H231" t="s">
        <v>32</v>
      </c>
      <c r="I231" t="s">
        <v>43</v>
      </c>
      <c r="J231" t="s">
        <v>73</v>
      </c>
      <c r="K231">
        <v>7</v>
      </c>
      <c r="L231">
        <v>682.62</v>
      </c>
      <c r="M231">
        <v>0.1</v>
      </c>
    </row>
    <row r="232" spans="1:13" x14ac:dyDescent="0.25">
      <c r="A232" t="s">
        <v>998</v>
      </c>
      <c r="B232" t="s">
        <v>999</v>
      </c>
      <c r="C232" t="s">
        <v>1000</v>
      </c>
      <c r="D232" t="s">
        <v>1001</v>
      </c>
      <c r="E232" t="s">
        <v>116</v>
      </c>
      <c r="F232" t="s">
        <v>40</v>
      </c>
      <c r="G232" t="s">
        <v>106</v>
      </c>
      <c r="H232" t="s">
        <v>32</v>
      </c>
      <c r="I232" t="s">
        <v>66</v>
      </c>
      <c r="J232" t="s">
        <v>34</v>
      </c>
      <c r="K232">
        <v>4</v>
      </c>
      <c r="L232">
        <v>558.20000000000005</v>
      </c>
      <c r="M232">
        <v>0.1</v>
      </c>
    </row>
    <row r="233" spans="1:13" x14ac:dyDescent="0.25">
      <c r="A233" t="s">
        <v>1002</v>
      </c>
      <c r="B233" t="s">
        <v>1003</v>
      </c>
      <c r="C233" t="s">
        <v>1004</v>
      </c>
      <c r="D233" t="s">
        <v>1005</v>
      </c>
      <c r="E233" t="s">
        <v>149</v>
      </c>
      <c r="F233" t="s">
        <v>40</v>
      </c>
      <c r="G233" t="s">
        <v>565</v>
      </c>
      <c r="H233" t="s">
        <v>42</v>
      </c>
      <c r="I233" t="s">
        <v>33</v>
      </c>
      <c r="J233" t="s">
        <v>73</v>
      </c>
      <c r="K233">
        <v>6</v>
      </c>
      <c r="L233">
        <v>886.7</v>
      </c>
      <c r="M233">
        <v>0.05</v>
      </c>
    </row>
    <row r="234" spans="1:13" x14ac:dyDescent="0.25">
      <c r="A234" t="s">
        <v>1006</v>
      </c>
      <c r="B234" t="s">
        <v>1007</v>
      </c>
      <c r="C234" t="s">
        <v>1008</v>
      </c>
      <c r="D234" t="s">
        <v>1009</v>
      </c>
      <c r="E234" t="s">
        <v>83</v>
      </c>
      <c r="F234" t="s">
        <v>40</v>
      </c>
      <c r="G234" t="s">
        <v>144</v>
      </c>
      <c r="H234" t="s">
        <v>72</v>
      </c>
      <c r="I234" t="s">
        <v>66</v>
      </c>
      <c r="J234" t="s">
        <v>126</v>
      </c>
      <c r="K234">
        <v>6</v>
      </c>
      <c r="L234">
        <v>1013.08</v>
      </c>
      <c r="M234">
        <v>0</v>
      </c>
    </row>
    <row r="235" spans="1:13" x14ac:dyDescent="0.25">
      <c r="A235" t="s">
        <v>1010</v>
      </c>
      <c r="B235" t="s">
        <v>1011</v>
      </c>
      <c r="C235" t="s">
        <v>1012</v>
      </c>
      <c r="D235" t="s">
        <v>1013</v>
      </c>
      <c r="E235" t="s">
        <v>78</v>
      </c>
      <c r="F235" t="s">
        <v>49</v>
      </c>
      <c r="G235" t="s">
        <v>226</v>
      </c>
      <c r="H235" t="s">
        <v>42</v>
      </c>
      <c r="I235" t="s">
        <v>43</v>
      </c>
      <c r="J235" t="s">
        <v>34</v>
      </c>
      <c r="K235">
        <v>10</v>
      </c>
      <c r="L235">
        <v>900.69</v>
      </c>
      <c r="M235">
        <v>0.1</v>
      </c>
    </row>
    <row r="236" spans="1:13" x14ac:dyDescent="0.25">
      <c r="A236" t="s">
        <v>1014</v>
      </c>
      <c r="B236" t="s">
        <v>1015</v>
      </c>
      <c r="C236" t="s">
        <v>1016</v>
      </c>
      <c r="D236" t="s">
        <v>1017</v>
      </c>
      <c r="E236" t="s">
        <v>48</v>
      </c>
      <c r="F236" t="s">
        <v>40</v>
      </c>
      <c r="G236" t="s">
        <v>106</v>
      </c>
      <c r="H236" t="s">
        <v>58</v>
      </c>
      <c r="I236" t="s">
        <v>96</v>
      </c>
      <c r="J236" t="s">
        <v>126</v>
      </c>
      <c r="K236">
        <v>3</v>
      </c>
      <c r="L236">
        <v>742.12</v>
      </c>
      <c r="M236">
        <v>0</v>
      </c>
    </row>
    <row r="237" spans="1:13" x14ac:dyDescent="0.25">
      <c r="A237" t="s">
        <v>1018</v>
      </c>
      <c r="B237" t="s">
        <v>1019</v>
      </c>
      <c r="C237" t="s">
        <v>1020</v>
      </c>
      <c r="D237" t="s">
        <v>1021</v>
      </c>
      <c r="E237" t="s">
        <v>39</v>
      </c>
      <c r="F237" t="s">
        <v>49</v>
      </c>
      <c r="G237" t="s">
        <v>259</v>
      </c>
      <c r="H237" t="s">
        <v>42</v>
      </c>
      <c r="I237" t="s">
        <v>96</v>
      </c>
      <c r="J237" t="s">
        <v>34</v>
      </c>
      <c r="K237">
        <v>8</v>
      </c>
      <c r="L237">
        <v>765.58</v>
      </c>
      <c r="M237">
        <v>0.1</v>
      </c>
    </row>
    <row r="238" spans="1:13" x14ac:dyDescent="0.25">
      <c r="A238" t="s">
        <v>1022</v>
      </c>
      <c r="B238" t="s">
        <v>1023</v>
      </c>
      <c r="C238" t="s">
        <v>1024</v>
      </c>
      <c r="D238" t="s">
        <v>1025</v>
      </c>
      <c r="E238" t="s">
        <v>64</v>
      </c>
      <c r="F238" t="s">
        <v>30</v>
      </c>
      <c r="G238" t="s">
        <v>65</v>
      </c>
      <c r="H238" t="s">
        <v>58</v>
      </c>
      <c r="I238" t="s">
        <v>43</v>
      </c>
      <c r="J238" t="s">
        <v>34</v>
      </c>
      <c r="K238">
        <v>4</v>
      </c>
      <c r="L238">
        <v>63.55</v>
      </c>
      <c r="M238">
        <v>0.15</v>
      </c>
    </row>
    <row r="239" spans="1:13" x14ac:dyDescent="0.25">
      <c r="A239" t="s">
        <v>1026</v>
      </c>
      <c r="B239" t="s">
        <v>1027</v>
      </c>
      <c r="C239" t="s">
        <v>1028</v>
      </c>
      <c r="D239" t="s">
        <v>1029</v>
      </c>
      <c r="E239" t="s">
        <v>116</v>
      </c>
      <c r="F239" t="s">
        <v>40</v>
      </c>
      <c r="G239" t="s">
        <v>144</v>
      </c>
      <c r="H239" t="s">
        <v>32</v>
      </c>
      <c r="I239" t="s">
        <v>96</v>
      </c>
      <c r="J239" t="s">
        <v>73</v>
      </c>
      <c r="K239">
        <v>9</v>
      </c>
      <c r="L239">
        <v>412.82</v>
      </c>
      <c r="M239">
        <v>0.05</v>
      </c>
    </row>
    <row r="240" spans="1:13" x14ac:dyDescent="0.25">
      <c r="A240" t="s">
        <v>1030</v>
      </c>
      <c r="B240" t="s">
        <v>1031</v>
      </c>
      <c r="C240" t="s">
        <v>1032</v>
      </c>
      <c r="D240" t="s">
        <v>1033</v>
      </c>
      <c r="E240" t="s">
        <v>39</v>
      </c>
      <c r="F240" t="s">
        <v>84</v>
      </c>
      <c r="G240" t="s">
        <v>205</v>
      </c>
      <c r="H240" t="s">
        <v>42</v>
      </c>
      <c r="I240" t="s">
        <v>51</v>
      </c>
      <c r="J240" t="s">
        <v>73</v>
      </c>
      <c r="K240">
        <v>6</v>
      </c>
      <c r="L240">
        <v>682.85</v>
      </c>
      <c r="M240">
        <v>0</v>
      </c>
    </row>
    <row r="241" spans="1:13" x14ac:dyDescent="0.25">
      <c r="A241" t="s">
        <v>1034</v>
      </c>
      <c r="B241" t="s">
        <v>1035</v>
      </c>
      <c r="C241" t="s">
        <v>1036</v>
      </c>
      <c r="D241" t="s">
        <v>1037</v>
      </c>
      <c r="E241" t="s">
        <v>83</v>
      </c>
      <c r="F241" t="s">
        <v>49</v>
      </c>
      <c r="G241" t="s">
        <v>286</v>
      </c>
      <c r="H241" t="s">
        <v>32</v>
      </c>
      <c r="I241" t="s">
        <v>33</v>
      </c>
      <c r="J241" t="s">
        <v>59</v>
      </c>
      <c r="K241">
        <v>4</v>
      </c>
      <c r="L241">
        <v>929.98</v>
      </c>
      <c r="M241">
        <v>0</v>
      </c>
    </row>
    <row r="242" spans="1:13" x14ac:dyDescent="0.25">
      <c r="A242" t="s">
        <v>1038</v>
      </c>
      <c r="B242" t="s">
        <v>1039</v>
      </c>
      <c r="C242" t="s">
        <v>1040</v>
      </c>
      <c r="D242" t="s">
        <v>1041</v>
      </c>
      <c r="E242" t="s">
        <v>48</v>
      </c>
      <c r="F242" t="s">
        <v>84</v>
      </c>
      <c r="G242" t="s">
        <v>412</v>
      </c>
      <c r="H242" t="s">
        <v>32</v>
      </c>
      <c r="I242" t="s">
        <v>43</v>
      </c>
      <c r="J242" t="s">
        <v>34</v>
      </c>
      <c r="K242">
        <v>5</v>
      </c>
      <c r="L242">
        <v>444.66</v>
      </c>
      <c r="M242">
        <v>0.15</v>
      </c>
    </row>
    <row r="243" spans="1:13" x14ac:dyDescent="0.25">
      <c r="A243" t="s">
        <v>1042</v>
      </c>
      <c r="B243" t="s">
        <v>1043</v>
      </c>
      <c r="C243" t="s">
        <v>1044</v>
      </c>
      <c r="D243" t="s">
        <v>1045</v>
      </c>
      <c r="E243" t="s">
        <v>48</v>
      </c>
      <c r="F243" t="s">
        <v>30</v>
      </c>
      <c r="G243" t="s">
        <v>31</v>
      </c>
      <c r="H243" t="s">
        <v>42</v>
      </c>
      <c r="I243" t="s">
        <v>96</v>
      </c>
      <c r="J243" t="s">
        <v>73</v>
      </c>
      <c r="K243">
        <v>4</v>
      </c>
      <c r="L243">
        <v>1071.42</v>
      </c>
      <c r="M243">
        <v>0.2</v>
      </c>
    </row>
    <row r="244" spans="1:13" x14ac:dyDescent="0.25">
      <c r="A244" t="s">
        <v>1046</v>
      </c>
      <c r="B244" t="s">
        <v>1047</v>
      </c>
      <c r="C244" t="s">
        <v>1048</v>
      </c>
      <c r="D244" t="s">
        <v>1049</v>
      </c>
      <c r="E244" t="s">
        <v>149</v>
      </c>
      <c r="F244" t="s">
        <v>49</v>
      </c>
      <c r="G244" t="s">
        <v>226</v>
      </c>
      <c r="H244" t="s">
        <v>58</v>
      </c>
      <c r="I244" t="s">
        <v>66</v>
      </c>
      <c r="J244" t="s">
        <v>34</v>
      </c>
      <c r="K244">
        <v>2</v>
      </c>
      <c r="L244">
        <v>127.14</v>
      </c>
      <c r="M244">
        <v>0.1</v>
      </c>
    </row>
    <row r="245" spans="1:13" x14ac:dyDescent="0.25">
      <c r="A245" t="s">
        <v>1050</v>
      </c>
      <c r="B245" t="s">
        <v>1051</v>
      </c>
      <c r="C245" t="s">
        <v>1052</v>
      </c>
      <c r="D245" t="s">
        <v>1053</v>
      </c>
      <c r="E245" t="s">
        <v>116</v>
      </c>
      <c r="F245" t="s">
        <v>49</v>
      </c>
      <c r="G245" t="s">
        <v>50</v>
      </c>
      <c r="H245" t="s">
        <v>72</v>
      </c>
      <c r="I245" t="s">
        <v>96</v>
      </c>
      <c r="J245" t="s">
        <v>73</v>
      </c>
      <c r="K245">
        <v>9</v>
      </c>
      <c r="L245">
        <v>1277.4100000000001</v>
      </c>
      <c r="M245">
        <v>0.1</v>
      </c>
    </row>
    <row r="246" spans="1:13" x14ac:dyDescent="0.25">
      <c r="A246" t="s">
        <v>1054</v>
      </c>
      <c r="B246" t="s">
        <v>1055</v>
      </c>
      <c r="C246" t="s">
        <v>1056</v>
      </c>
      <c r="D246" t="s">
        <v>1057</v>
      </c>
      <c r="E246" t="s">
        <v>29</v>
      </c>
      <c r="F246" t="s">
        <v>84</v>
      </c>
      <c r="G246" t="s">
        <v>90</v>
      </c>
      <c r="H246" t="s">
        <v>58</v>
      </c>
      <c r="I246" t="s">
        <v>51</v>
      </c>
      <c r="J246" t="s">
        <v>126</v>
      </c>
      <c r="K246">
        <v>10</v>
      </c>
      <c r="L246">
        <v>873.23</v>
      </c>
      <c r="M246">
        <v>0.1</v>
      </c>
    </row>
    <row r="247" spans="1:13" x14ac:dyDescent="0.25">
      <c r="A247" t="s">
        <v>1058</v>
      </c>
      <c r="B247" t="s">
        <v>1059</v>
      </c>
      <c r="C247" t="s">
        <v>1060</v>
      </c>
      <c r="D247" t="s">
        <v>1061</v>
      </c>
      <c r="E247" t="s">
        <v>116</v>
      </c>
      <c r="F247" t="s">
        <v>30</v>
      </c>
      <c r="G247" t="s">
        <v>195</v>
      </c>
      <c r="H247" t="s">
        <v>72</v>
      </c>
      <c r="I247" t="s">
        <v>66</v>
      </c>
      <c r="J247" t="s">
        <v>73</v>
      </c>
      <c r="K247">
        <v>7</v>
      </c>
      <c r="L247">
        <v>692.93</v>
      </c>
      <c r="M247">
        <v>0</v>
      </c>
    </row>
    <row r="248" spans="1:13" x14ac:dyDescent="0.25">
      <c r="A248" t="s">
        <v>1062</v>
      </c>
      <c r="B248" t="s">
        <v>1063</v>
      </c>
      <c r="C248" t="s">
        <v>1064</v>
      </c>
      <c r="D248" t="s">
        <v>1065</v>
      </c>
      <c r="E248" t="s">
        <v>29</v>
      </c>
      <c r="F248" t="s">
        <v>56</v>
      </c>
      <c r="G248" t="s">
        <v>190</v>
      </c>
      <c r="H248" t="s">
        <v>42</v>
      </c>
      <c r="I248" t="s">
        <v>66</v>
      </c>
      <c r="J248" t="s">
        <v>73</v>
      </c>
      <c r="K248">
        <v>3</v>
      </c>
      <c r="L248">
        <v>1001.8</v>
      </c>
      <c r="M248">
        <v>0</v>
      </c>
    </row>
    <row r="249" spans="1:13" x14ac:dyDescent="0.25">
      <c r="A249" t="s">
        <v>1066</v>
      </c>
      <c r="B249" t="s">
        <v>1067</v>
      </c>
      <c r="C249" t="s">
        <v>1068</v>
      </c>
      <c r="D249" t="s">
        <v>1069</v>
      </c>
      <c r="E249" t="s">
        <v>116</v>
      </c>
      <c r="F249" t="s">
        <v>56</v>
      </c>
      <c r="G249" t="s">
        <v>95</v>
      </c>
      <c r="H249" t="s">
        <v>72</v>
      </c>
      <c r="I249" t="s">
        <v>33</v>
      </c>
      <c r="J249" t="s">
        <v>34</v>
      </c>
      <c r="K249">
        <v>3</v>
      </c>
      <c r="L249">
        <v>723.06</v>
      </c>
      <c r="M249">
        <v>0.15</v>
      </c>
    </row>
    <row r="250" spans="1:13" x14ac:dyDescent="0.25">
      <c r="A250" t="s">
        <v>1070</v>
      </c>
      <c r="B250" t="s">
        <v>1071</v>
      </c>
      <c r="C250" t="s">
        <v>1072</v>
      </c>
      <c r="D250" t="s">
        <v>1073</v>
      </c>
      <c r="E250" t="s">
        <v>116</v>
      </c>
      <c r="F250" t="s">
        <v>49</v>
      </c>
      <c r="G250" t="s">
        <v>286</v>
      </c>
      <c r="H250" t="s">
        <v>32</v>
      </c>
      <c r="I250" t="s">
        <v>51</v>
      </c>
      <c r="J250" t="s">
        <v>126</v>
      </c>
      <c r="K250">
        <v>4</v>
      </c>
      <c r="L250">
        <v>724.38</v>
      </c>
      <c r="M250">
        <v>0.1</v>
      </c>
    </row>
    <row r="251" spans="1:13" x14ac:dyDescent="0.25">
      <c r="A251" t="s">
        <v>1074</v>
      </c>
      <c r="B251" t="s">
        <v>1075</v>
      </c>
      <c r="C251" t="s">
        <v>1076</v>
      </c>
      <c r="D251" t="s">
        <v>1077</v>
      </c>
      <c r="E251" t="s">
        <v>149</v>
      </c>
      <c r="F251" t="s">
        <v>30</v>
      </c>
      <c r="G251" t="s">
        <v>31</v>
      </c>
      <c r="H251" t="s">
        <v>72</v>
      </c>
      <c r="I251" t="s">
        <v>96</v>
      </c>
      <c r="J251" t="s">
        <v>59</v>
      </c>
      <c r="K251">
        <v>10</v>
      </c>
      <c r="L251">
        <v>116.59</v>
      </c>
      <c r="M251">
        <v>0</v>
      </c>
    </row>
    <row r="252" spans="1:13" x14ac:dyDescent="0.25">
      <c r="A252" t="s">
        <v>1078</v>
      </c>
      <c r="B252" t="s">
        <v>1079</v>
      </c>
      <c r="C252" t="s">
        <v>1080</v>
      </c>
      <c r="D252" t="s">
        <v>1081</v>
      </c>
      <c r="E252" t="s">
        <v>149</v>
      </c>
      <c r="F252" t="s">
        <v>40</v>
      </c>
      <c r="G252" t="s">
        <v>565</v>
      </c>
      <c r="H252" t="s">
        <v>72</v>
      </c>
      <c r="I252" t="s">
        <v>51</v>
      </c>
      <c r="J252" t="s">
        <v>34</v>
      </c>
      <c r="K252">
        <v>2</v>
      </c>
      <c r="L252">
        <v>1292.04</v>
      </c>
      <c r="M252">
        <v>0</v>
      </c>
    </row>
    <row r="253" spans="1:13" x14ac:dyDescent="0.25">
      <c r="A253" t="s">
        <v>1082</v>
      </c>
      <c r="B253" t="s">
        <v>1083</v>
      </c>
      <c r="C253" t="s">
        <v>1084</v>
      </c>
      <c r="D253" t="s">
        <v>1085</v>
      </c>
      <c r="E253" t="s">
        <v>48</v>
      </c>
      <c r="F253" t="s">
        <v>30</v>
      </c>
      <c r="G253" t="s">
        <v>65</v>
      </c>
      <c r="H253" t="s">
        <v>58</v>
      </c>
      <c r="I253" t="s">
        <v>51</v>
      </c>
      <c r="J253" t="s">
        <v>59</v>
      </c>
      <c r="K253">
        <v>4</v>
      </c>
      <c r="L253">
        <v>972.26</v>
      </c>
      <c r="M253">
        <v>0.15</v>
      </c>
    </row>
    <row r="254" spans="1:13" x14ac:dyDescent="0.25">
      <c r="A254" t="s">
        <v>1086</v>
      </c>
      <c r="B254" t="s">
        <v>1087</v>
      </c>
      <c r="C254" t="s">
        <v>1088</v>
      </c>
      <c r="D254" t="s">
        <v>1089</v>
      </c>
      <c r="E254" t="s">
        <v>39</v>
      </c>
      <c r="F254" t="s">
        <v>49</v>
      </c>
      <c r="G254" t="s">
        <v>50</v>
      </c>
      <c r="H254" t="s">
        <v>42</v>
      </c>
      <c r="I254" t="s">
        <v>51</v>
      </c>
      <c r="J254" t="s">
        <v>73</v>
      </c>
      <c r="K254">
        <v>4</v>
      </c>
      <c r="L254">
        <v>974.56</v>
      </c>
      <c r="M254">
        <v>0.1</v>
      </c>
    </row>
    <row r="255" spans="1:13" x14ac:dyDescent="0.25">
      <c r="A255" t="s">
        <v>1090</v>
      </c>
      <c r="B255" t="s">
        <v>1091</v>
      </c>
      <c r="C255" t="s">
        <v>1092</v>
      </c>
      <c r="D255" t="s">
        <v>1093</v>
      </c>
      <c r="E255" t="s">
        <v>78</v>
      </c>
      <c r="F255" t="s">
        <v>56</v>
      </c>
      <c r="G255" t="s">
        <v>190</v>
      </c>
      <c r="H255" t="s">
        <v>42</v>
      </c>
      <c r="I255" t="s">
        <v>66</v>
      </c>
      <c r="J255" t="s">
        <v>73</v>
      </c>
      <c r="K255">
        <v>3</v>
      </c>
      <c r="L255">
        <v>1401.88</v>
      </c>
      <c r="M255">
        <v>0.1</v>
      </c>
    </row>
    <row r="256" spans="1:13" x14ac:dyDescent="0.25">
      <c r="A256" t="s">
        <v>1094</v>
      </c>
      <c r="B256" t="s">
        <v>1095</v>
      </c>
      <c r="C256" t="s">
        <v>1096</v>
      </c>
      <c r="D256" t="s">
        <v>1097</v>
      </c>
      <c r="E256" t="s">
        <v>116</v>
      </c>
      <c r="F256" t="s">
        <v>56</v>
      </c>
      <c r="G256" t="s">
        <v>190</v>
      </c>
      <c r="H256" t="s">
        <v>58</v>
      </c>
      <c r="I256" t="s">
        <v>33</v>
      </c>
      <c r="J256" t="s">
        <v>34</v>
      </c>
      <c r="K256">
        <v>1</v>
      </c>
      <c r="L256">
        <v>335.38</v>
      </c>
      <c r="M256">
        <v>0.1</v>
      </c>
    </row>
    <row r="257" spans="1:13" x14ac:dyDescent="0.25">
      <c r="A257" t="s">
        <v>1098</v>
      </c>
      <c r="B257" t="s">
        <v>1099</v>
      </c>
      <c r="C257" t="s">
        <v>1100</v>
      </c>
      <c r="D257" t="s">
        <v>1101</v>
      </c>
      <c r="E257" t="s">
        <v>78</v>
      </c>
      <c r="F257" t="s">
        <v>40</v>
      </c>
      <c r="G257" t="s">
        <v>41</v>
      </c>
      <c r="H257" t="s">
        <v>32</v>
      </c>
      <c r="I257" t="s">
        <v>33</v>
      </c>
      <c r="J257" t="s">
        <v>73</v>
      </c>
      <c r="K257">
        <v>2</v>
      </c>
      <c r="L257">
        <v>241.73</v>
      </c>
      <c r="M257">
        <v>0.05</v>
      </c>
    </row>
    <row r="258" spans="1:13" x14ac:dyDescent="0.25">
      <c r="A258" t="s">
        <v>1102</v>
      </c>
      <c r="B258" t="s">
        <v>1103</v>
      </c>
      <c r="C258" t="s">
        <v>1104</v>
      </c>
      <c r="D258" t="s">
        <v>1105</v>
      </c>
      <c r="E258" t="s">
        <v>83</v>
      </c>
      <c r="F258" t="s">
        <v>56</v>
      </c>
      <c r="G258" t="s">
        <v>190</v>
      </c>
      <c r="H258" t="s">
        <v>72</v>
      </c>
      <c r="I258" t="s">
        <v>51</v>
      </c>
      <c r="J258" t="s">
        <v>34</v>
      </c>
      <c r="K258">
        <v>4</v>
      </c>
      <c r="L258">
        <v>1052.53</v>
      </c>
      <c r="M258">
        <v>0</v>
      </c>
    </row>
    <row r="259" spans="1:13" x14ac:dyDescent="0.25">
      <c r="A259" t="s">
        <v>1106</v>
      </c>
      <c r="B259" t="s">
        <v>1107</v>
      </c>
      <c r="C259" t="s">
        <v>1108</v>
      </c>
      <c r="D259" t="s">
        <v>1109</v>
      </c>
      <c r="E259" t="s">
        <v>64</v>
      </c>
      <c r="F259" t="s">
        <v>84</v>
      </c>
      <c r="G259" t="s">
        <v>85</v>
      </c>
      <c r="H259" t="s">
        <v>32</v>
      </c>
      <c r="I259" t="s">
        <v>43</v>
      </c>
      <c r="J259" t="s">
        <v>34</v>
      </c>
      <c r="K259">
        <v>3</v>
      </c>
      <c r="L259">
        <v>192.37</v>
      </c>
      <c r="M259">
        <v>0.2</v>
      </c>
    </row>
    <row r="260" spans="1:13" x14ac:dyDescent="0.25">
      <c r="A260" t="s">
        <v>1110</v>
      </c>
      <c r="B260" t="s">
        <v>1111</v>
      </c>
      <c r="C260" t="s">
        <v>1112</v>
      </c>
      <c r="D260" t="s">
        <v>1113</v>
      </c>
      <c r="E260" t="s">
        <v>29</v>
      </c>
      <c r="F260" t="s">
        <v>30</v>
      </c>
      <c r="G260" t="s">
        <v>65</v>
      </c>
      <c r="H260" t="s">
        <v>32</v>
      </c>
      <c r="I260" t="s">
        <v>51</v>
      </c>
      <c r="J260" t="s">
        <v>59</v>
      </c>
      <c r="K260">
        <v>5</v>
      </c>
      <c r="L260">
        <v>203.49</v>
      </c>
      <c r="M260">
        <v>0.2</v>
      </c>
    </row>
    <row r="261" spans="1:13" x14ac:dyDescent="0.25">
      <c r="A261" t="s">
        <v>1114</v>
      </c>
      <c r="B261" t="s">
        <v>1115</v>
      </c>
      <c r="C261" t="s">
        <v>1116</v>
      </c>
      <c r="D261" t="s">
        <v>1117</v>
      </c>
      <c r="E261" t="s">
        <v>29</v>
      </c>
      <c r="F261" t="s">
        <v>40</v>
      </c>
      <c r="G261" t="s">
        <v>144</v>
      </c>
      <c r="H261" t="s">
        <v>32</v>
      </c>
      <c r="I261" t="s">
        <v>96</v>
      </c>
      <c r="J261" t="s">
        <v>73</v>
      </c>
      <c r="K261">
        <v>9</v>
      </c>
      <c r="L261">
        <v>751.78</v>
      </c>
      <c r="M261">
        <v>0.05</v>
      </c>
    </row>
    <row r="262" spans="1:13" x14ac:dyDescent="0.25">
      <c r="A262" t="s">
        <v>1118</v>
      </c>
      <c r="B262" t="s">
        <v>1119</v>
      </c>
      <c r="C262" t="s">
        <v>1120</v>
      </c>
      <c r="D262" t="s">
        <v>1121</v>
      </c>
      <c r="E262" t="s">
        <v>116</v>
      </c>
      <c r="F262" t="s">
        <v>40</v>
      </c>
      <c r="G262" t="s">
        <v>144</v>
      </c>
      <c r="H262" t="s">
        <v>32</v>
      </c>
      <c r="I262" t="s">
        <v>51</v>
      </c>
      <c r="J262" t="s">
        <v>73</v>
      </c>
      <c r="K262">
        <v>9</v>
      </c>
      <c r="L262">
        <v>354.18</v>
      </c>
      <c r="M262">
        <v>0</v>
      </c>
    </row>
    <row r="263" spans="1:13" x14ac:dyDescent="0.25">
      <c r="A263" t="s">
        <v>1122</v>
      </c>
      <c r="B263" t="s">
        <v>1123</v>
      </c>
      <c r="C263" t="s">
        <v>1124</v>
      </c>
      <c r="D263" t="s">
        <v>1125</v>
      </c>
      <c r="E263" t="s">
        <v>48</v>
      </c>
      <c r="F263" t="s">
        <v>30</v>
      </c>
      <c r="G263" t="s">
        <v>269</v>
      </c>
      <c r="H263" t="s">
        <v>58</v>
      </c>
      <c r="I263" t="s">
        <v>43</v>
      </c>
      <c r="J263" t="s">
        <v>34</v>
      </c>
      <c r="K263">
        <v>7</v>
      </c>
      <c r="L263">
        <v>836</v>
      </c>
      <c r="M263">
        <v>0</v>
      </c>
    </row>
    <row r="264" spans="1:13" x14ac:dyDescent="0.25">
      <c r="A264" t="s">
        <v>1126</v>
      </c>
      <c r="B264" t="s">
        <v>1127</v>
      </c>
      <c r="C264" t="s">
        <v>1128</v>
      </c>
      <c r="D264" t="s">
        <v>1129</v>
      </c>
      <c r="E264" t="s">
        <v>71</v>
      </c>
      <c r="F264" t="s">
        <v>56</v>
      </c>
      <c r="G264" t="s">
        <v>111</v>
      </c>
      <c r="H264" t="s">
        <v>72</v>
      </c>
      <c r="I264" t="s">
        <v>33</v>
      </c>
      <c r="J264" t="s">
        <v>126</v>
      </c>
      <c r="K264">
        <v>1</v>
      </c>
      <c r="L264">
        <v>1014.89</v>
      </c>
      <c r="M264">
        <v>0</v>
      </c>
    </row>
    <row r="265" spans="1:13" x14ac:dyDescent="0.25">
      <c r="A265" t="s">
        <v>1130</v>
      </c>
      <c r="B265" t="s">
        <v>1131</v>
      </c>
      <c r="C265" t="s">
        <v>1132</v>
      </c>
      <c r="D265" t="s">
        <v>1133</v>
      </c>
      <c r="E265" t="s">
        <v>29</v>
      </c>
      <c r="F265" t="s">
        <v>84</v>
      </c>
      <c r="G265" t="s">
        <v>412</v>
      </c>
      <c r="H265" t="s">
        <v>58</v>
      </c>
      <c r="I265" t="s">
        <v>43</v>
      </c>
      <c r="J265" t="s">
        <v>59</v>
      </c>
      <c r="K265">
        <v>8</v>
      </c>
      <c r="L265">
        <v>143.28</v>
      </c>
      <c r="M265">
        <v>0</v>
      </c>
    </row>
    <row r="266" spans="1:13" x14ac:dyDescent="0.25">
      <c r="A266" t="s">
        <v>1134</v>
      </c>
      <c r="B266" t="s">
        <v>1135</v>
      </c>
      <c r="C266" t="s">
        <v>1136</v>
      </c>
      <c r="D266" t="s">
        <v>1137</v>
      </c>
      <c r="E266" t="s">
        <v>39</v>
      </c>
      <c r="F266" t="s">
        <v>49</v>
      </c>
      <c r="G266" t="s">
        <v>50</v>
      </c>
      <c r="H266" t="s">
        <v>72</v>
      </c>
      <c r="I266" t="s">
        <v>43</v>
      </c>
      <c r="J266" t="s">
        <v>126</v>
      </c>
      <c r="K266">
        <v>8</v>
      </c>
      <c r="L266">
        <v>893.66</v>
      </c>
      <c r="M266">
        <v>0</v>
      </c>
    </row>
    <row r="267" spans="1:13" x14ac:dyDescent="0.25">
      <c r="A267" t="s">
        <v>1138</v>
      </c>
      <c r="B267" t="s">
        <v>1139</v>
      </c>
      <c r="C267" t="s">
        <v>1140</v>
      </c>
      <c r="D267" t="s">
        <v>1141</v>
      </c>
      <c r="E267" t="s">
        <v>71</v>
      </c>
      <c r="F267" t="s">
        <v>56</v>
      </c>
      <c r="G267" t="s">
        <v>190</v>
      </c>
      <c r="H267" t="s">
        <v>58</v>
      </c>
      <c r="I267" t="s">
        <v>51</v>
      </c>
      <c r="J267" t="s">
        <v>73</v>
      </c>
      <c r="K267">
        <v>7</v>
      </c>
      <c r="L267">
        <v>17.170000000000002</v>
      </c>
      <c r="M267">
        <v>0.2</v>
      </c>
    </row>
    <row r="268" spans="1:13" x14ac:dyDescent="0.25">
      <c r="A268" t="s">
        <v>1142</v>
      </c>
      <c r="B268" t="s">
        <v>1143</v>
      </c>
      <c r="C268" t="s">
        <v>1144</v>
      </c>
      <c r="D268" t="s">
        <v>1145</v>
      </c>
      <c r="E268" t="s">
        <v>64</v>
      </c>
      <c r="F268" t="s">
        <v>30</v>
      </c>
      <c r="G268" t="s">
        <v>65</v>
      </c>
      <c r="H268" t="s">
        <v>42</v>
      </c>
      <c r="I268" t="s">
        <v>66</v>
      </c>
      <c r="J268" t="s">
        <v>34</v>
      </c>
      <c r="K268">
        <v>4</v>
      </c>
      <c r="L268">
        <v>153.13999999999999</v>
      </c>
      <c r="M268">
        <v>0.15</v>
      </c>
    </row>
    <row r="269" spans="1:13" x14ac:dyDescent="0.25">
      <c r="A269" t="s">
        <v>1146</v>
      </c>
      <c r="B269" t="s">
        <v>1147</v>
      </c>
      <c r="C269" t="s">
        <v>1148</v>
      </c>
      <c r="D269" t="s">
        <v>1149</v>
      </c>
      <c r="E269" t="s">
        <v>48</v>
      </c>
      <c r="F269" t="s">
        <v>49</v>
      </c>
      <c r="G269" t="s">
        <v>117</v>
      </c>
      <c r="H269" t="s">
        <v>72</v>
      </c>
      <c r="I269" t="s">
        <v>43</v>
      </c>
      <c r="J269" t="s">
        <v>59</v>
      </c>
      <c r="K269">
        <v>1</v>
      </c>
      <c r="L269">
        <v>893.97</v>
      </c>
      <c r="M269">
        <v>0.1</v>
      </c>
    </row>
    <row r="270" spans="1:13" x14ac:dyDescent="0.25">
      <c r="A270" t="s">
        <v>1150</v>
      </c>
      <c r="B270" t="s">
        <v>1151</v>
      </c>
      <c r="C270" t="s">
        <v>1152</v>
      </c>
      <c r="D270" t="s">
        <v>1153</v>
      </c>
      <c r="E270" t="s">
        <v>71</v>
      </c>
      <c r="F270" t="s">
        <v>84</v>
      </c>
      <c r="G270" t="s">
        <v>264</v>
      </c>
      <c r="H270" t="s">
        <v>72</v>
      </c>
      <c r="I270" t="s">
        <v>33</v>
      </c>
      <c r="J270" t="s">
        <v>126</v>
      </c>
      <c r="K270">
        <v>2</v>
      </c>
      <c r="L270">
        <v>418.85</v>
      </c>
      <c r="M270">
        <v>0</v>
      </c>
    </row>
    <row r="271" spans="1:13" x14ac:dyDescent="0.25">
      <c r="A271" t="s">
        <v>1154</v>
      </c>
      <c r="B271" t="s">
        <v>1155</v>
      </c>
      <c r="C271" t="s">
        <v>1156</v>
      </c>
      <c r="D271" t="s">
        <v>1157</v>
      </c>
      <c r="E271" t="s">
        <v>200</v>
      </c>
      <c r="F271" t="s">
        <v>84</v>
      </c>
      <c r="G271" t="s">
        <v>264</v>
      </c>
      <c r="H271" t="s">
        <v>42</v>
      </c>
      <c r="I271" t="s">
        <v>66</v>
      </c>
      <c r="J271" t="s">
        <v>34</v>
      </c>
      <c r="K271">
        <v>6</v>
      </c>
      <c r="L271">
        <v>194.29</v>
      </c>
      <c r="M271">
        <v>0</v>
      </c>
    </row>
    <row r="272" spans="1:13" x14ac:dyDescent="0.25">
      <c r="A272" t="s">
        <v>1158</v>
      </c>
      <c r="B272" t="s">
        <v>1159</v>
      </c>
      <c r="C272" t="s">
        <v>1160</v>
      </c>
      <c r="D272" t="s">
        <v>1161</v>
      </c>
      <c r="E272" t="s">
        <v>29</v>
      </c>
      <c r="F272" t="s">
        <v>40</v>
      </c>
      <c r="G272" t="s">
        <v>144</v>
      </c>
      <c r="H272" t="s">
        <v>32</v>
      </c>
      <c r="I272" t="s">
        <v>43</v>
      </c>
      <c r="J272" t="s">
        <v>59</v>
      </c>
      <c r="K272">
        <v>6</v>
      </c>
      <c r="L272">
        <v>334.31</v>
      </c>
      <c r="M272">
        <v>0</v>
      </c>
    </row>
    <row r="273" spans="1:13" x14ac:dyDescent="0.25">
      <c r="A273" t="s">
        <v>1162</v>
      </c>
      <c r="B273" t="s">
        <v>1163</v>
      </c>
      <c r="C273" t="s">
        <v>1164</v>
      </c>
      <c r="D273" t="s">
        <v>1165</v>
      </c>
      <c r="E273" t="s">
        <v>29</v>
      </c>
      <c r="F273" t="s">
        <v>84</v>
      </c>
      <c r="G273" t="s">
        <v>85</v>
      </c>
      <c r="H273" t="s">
        <v>72</v>
      </c>
      <c r="I273" t="s">
        <v>51</v>
      </c>
      <c r="J273" t="s">
        <v>34</v>
      </c>
      <c r="K273">
        <v>7</v>
      </c>
      <c r="L273">
        <v>61.16</v>
      </c>
      <c r="M273">
        <v>0.1</v>
      </c>
    </row>
    <row r="274" spans="1:13" x14ac:dyDescent="0.25">
      <c r="A274" t="s">
        <v>1166</v>
      </c>
      <c r="B274" t="s">
        <v>1167</v>
      </c>
      <c r="C274" t="s">
        <v>1168</v>
      </c>
      <c r="D274" t="s">
        <v>1169</v>
      </c>
      <c r="E274" t="s">
        <v>64</v>
      </c>
      <c r="F274" t="s">
        <v>30</v>
      </c>
      <c r="G274" t="s">
        <v>31</v>
      </c>
      <c r="H274" t="s">
        <v>32</v>
      </c>
      <c r="I274" t="s">
        <v>33</v>
      </c>
      <c r="J274" t="s">
        <v>59</v>
      </c>
      <c r="K274">
        <v>7</v>
      </c>
      <c r="L274">
        <v>309.23</v>
      </c>
      <c r="M274">
        <v>0.05</v>
      </c>
    </row>
    <row r="275" spans="1:13" x14ac:dyDescent="0.25">
      <c r="A275" t="s">
        <v>1170</v>
      </c>
      <c r="B275" t="s">
        <v>1171</v>
      </c>
      <c r="C275" t="s">
        <v>1172</v>
      </c>
      <c r="D275" t="s">
        <v>1173</v>
      </c>
      <c r="E275" t="s">
        <v>200</v>
      </c>
      <c r="F275" t="s">
        <v>30</v>
      </c>
      <c r="G275" t="s">
        <v>269</v>
      </c>
      <c r="H275" t="s">
        <v>32</v>
      </c>
      <c r="I275" t="s">
        <v>96</v>
      </c>
      <c r="J275" t="s">
        <v>126</v>
      </c>
      <c r="K275">
        <v>6</v>
      </c>
      <c r="L275">
        <v>1359.04</v>
      </c>
      <c r="M275">
        <v>0</v>
      </c>
    </row>
    <row r="276" spans="1:13" x14ac:dyDescent="0.25">
      <c r="A276" t="s">
        <v>1174</v>
      </c>
      <c r="B276" t="s">
        <v>1175</v>
      </c>
      <c r="C276" t="s">
        <v>1176</v>
      </c>
      <c r="D276" t="s">
        <v>1177</v>
      </c>
      <c r="E276" t="s">
        <v>149</v>
      </c>
      <c r="F276" t="s">
        <v>49</v>
      </c>
      <c r="G276" t="s">
        <v>117</v>
      </c>
      <c r="H276" t="s">
        <v>58</v>
      </c>
      <c r="I276" t="s">
        <v>43</v>
      </c>
      <c r="J276" t="s">
        <v>73</v>
      </c>
      <c r="K276">
        <v>7</v>
      </c>
      <c r="L276">
        <v>583.35</v>
      </c>
      <c r="M276">
        <v>0</v>
      </c>
    </row>
    <row r="277" spans="1:13" x14ac:dyDescent="0.25">
      <c r="A277" t="s">
        <v>1178</v>
      </c>
      <c r="B277" t="s">
        <v>1179</v>
      </c>
      <c r="C277" t="s">
        <v>1180</v>
      </c>
      <c r="D277" t="s">
        <v>1181</v>
      </c>
      <c r="E277" t="s">
        <v>48</v>
      </c>
      <c r="F277" t="s">
        <v>56</v>
      </c>
      <c r="G277" t="s">
        <v>111</v>
      </c>
      <c r="H277" t="s">
        <v>58</v>
      </c>
      <c r="I277" t="s">
        <v>96</v>
      </c>
      <c r="J277" t="s">
        <v>34</v>
      </c>
      <c r="K277">
        <v>4</v>
      </c>
      <c r="L277">
        <v>934.48</v>
      </c>
      <c r="M277">
        <v>0.2</v>
      </c>
    </row>
    <row r="278" spans="1:13" x14ac:dyDescent="0.25">
      <c r="A278" t="s">
        <v>1182</v>
      </c>
      <c r="B278" t="s">
        <v>1183</v>
      </c>
      <c r="C278" t="s">
        <v>1184</v>
      </c>
      <c r="D278" t="s">
        <v>1185</v>
      </c>
      <c r="E278" t="s">
        <v>29</v>
      </c>
      <c r="F278" t="s">
        <v>49</v>
      </c>
      <c r="G278" t="s">
        <v>286</v>
      </c>
      <c r="H278" t="s">
        <v>32</v>
      </c>
      <c r="I278" t="s">
        <v>96</v>
      </c>
      <c r="J278" t="s">
        <v>59</v>
      </c>
      <c r="K278">
        <v>9</v>
      </c>
      <c r="L278">
        <v>637.55999999999995</v>
      </c>
      <c r="M278">
        <v>0</v>
      </c>
    </row>
    <row r="279" spans="1:13" x14ac:dyDescent="0.25">
      <c r="A279" t="s">
        <v>1186</v>
      </c>
      <c r="B279" t="s">
        <v>1187</v>
      </c>
      <c r="C279" t="s">
        <v>1188</v>
      </c>
      <c r="D279" t="s">
        <v>1189</v>
      </c>
      <c r="E279" t="s">
        <v>83</v>
      </c>
      <c r="F279" t="s">
        <v>40</v>
      </c>
      <c r="G279" t="s">
        <v>315</v>
      </c>
      <c r="H279" t="s">
        <v>58</v>
      </c>
      <c r="I279" t="s">
        <v>33</v>
      </c>
      <c r="J279" t="s">
        <v>73</v>
      </c>
      <c r="K279">
        <v>3</v>
      </c>
      <c r="L279">
        <v>591.75</v>
      </c>
      <c r="M279">
        <v>0</v>
      </c>
    </row>
    <row r="280" spans="1:13" x14ac:dyDescent="0.25">
      <c r="A280" t="s">
        <v>1190</v>
      </c>
      <c r="B280" t="s">
        <v>1191</v>
      </c>
      <c r="C280" t="s">
        <v>1192</v>
      </c>
      <c r="D280" t="s">
        <v>1193</v>
      </c>
      <c r="E280" t="s">
        <v>200</v>
      </c>
      <c r="F280" t="s">
        <v>40</v>
      </c>
      <c r="G280" t="s">
        <v>315</v>
      </c>
      <c r="H280" t="s">
        <v>32</v>
      </c>
      <c r="I280" t="s">
        <v>43</v>
      </c>
      <c r="J280" t="s">
        <v>73</v>
      </c>
      <c r="K280">
        <v>4</v>
      </c>
      <c r="L280">
        <v>1153.76</v>
      </c>
      <c r="M280">
        <v>0</v>
      </c>
    </row>
    <row r="281" spans="1:13" x14ac:dyDescent="0.25">
      <c r="A281" t="s">
        <v>1194</v>
      </c>
      <c r="B281" t="s">
        <v>1195</v>
      </c>
      <c r="C281" t="s">
        <v>1196</v>
      </c>
      <c r="D281" t="s">
        <v>1197</v>
      </c>
      <c r="E281" t="s">
        <v>39</v>
      </c>
      <c r="F281" t="s">
        <v>40</v>
      </c>
      <c r="G281" t="s">
        <v>565</v>
      </c>
      <c r="H281" t="s">
        <v>72</v>
      </c>
      <c r="I281" t="s">
        <v>33</v>
      </c>
      <c r="J281" t="s">
        <v>59</v>
      </c>
      <c r="K281">
        <v>3</v>
      </c>
      <c r="L281">
        <v>541.88</v>
      </c>
      <c r="M281">
        <v>0</v>
      </c>
    </row>
    <row r="282" spans="1:13" x14ac:dyDescent="0.25">
      <c r="A282" t="s">
        <v>1198</v>
      </c>
      <c r="B282" t="s">
        <v>1199</v>
      </c>
      <c r="C282" t="s">
        <v>1200</v>
      </c>
      <c r="D282" t="s">
        <v>1201</v>
      </c>
      <c r="E282" t="s">
        <v>71</v>
      </c>
      <c r="F282" t="s">
        <v>40</v>
      </c>
      <c r="G282" t="s">
        <v>41</v>
      </c>
      <c r="H282" t="s">
        <v>58</v>
      </c>
      <c r="I282" t="s">
        <v>43</v>
      </c>
      <c r="J282" t="s">
        <v>34</v>
      </c>
      <c r="K282">
        <v>4</v>
      </c>
      <c r="L282">
        <v>226.02</v>
      </c>
      <c r="M282">
        <v>0.1</v>
      </c>
    </row>
    <row r="283" spans="1:13" x14ac:dyDescent="0.25">
      <c r="A283" t="s">
        <v>1202</v>
      </c>
      <c r="B283" t="s">
        <v>1203</v>
      </c>
      <c r="C283" t="s">
        <v>1204</v>
      </c>
      <c r="D283" t="s">
        <v>1205</v>
      </c>
      <c r="E283" t="s">
        <v>83</v>
      </c>
      <c r="F283" t="s">
        <v>30</v>
      </c>
      <c r="G283" t="s">
        <v>269</v>
      </c>
      <c r="H283" t="s">
        <v>72</v>
      </c>
      <c r="I283" t="s">
        <v>43</v>
      </c>
      <c r="J283" t="s">
        <v>59</v>
      </c>
      <c r="K283">
        <v>1</v>
      </c>
      <c r="L283">
        <v>796.78</v>
      </c>
      <c r="M283">
        <v>0.05</v>
      </c>
    </row>
    <row r="284" spans="1:13" x14ac:dyDescent="0.25">
      <c r="A284" t="s">
        <v>1206</v>
      </c>
      <c r="B284" t="s">
        <v>1207</v>
      </c>
      <c r="C284" t="s">
        <v>1208</v>
      </c>
      <c r="D284" t="s">
        <v>1209</v>
      </c>
      <c r="E284" t="s">
        <v>48</v>
      </c>
      <c r="F284" t="s">
        <v>40</v>
      </c>
      <c r="G284" t="s">
        <v>106</v>
      </c>
      <c r="H284" t="s">
        <v>32</v>
      </c>
      <c r="I284" t="s">
        <v>66</v>
      </c>
      <c r="J284" t="s">
        <v>34</v>
      </c>
      <c r="K284">
        <v>9</v>
      </c>
      <c r="L284">
        <v>1164.93</v>
      </c>
      <c r="M284">
        <v>0.05</v>
      </c>
    </row>
    <row r="285" spans="1:13" x14ac:dyDescent="0.25">
      <c r="A285" t="s">
        <v>1210</v>
      </c>
      <c r="B285" t="s">
        <v>1211</v>
      </c>
      <c r="C285" t="s">
        <v>1212</v>
      </c>
      <c r="D285" t="s">
        <v>1213</v>
      </c>
      <c r="E285" t="s">
        <v>71</v>
      </c>
      <c r="F285" t="s">
        <v>30</v>
      </c>
      <c r="G285" t="s">
        <v>31</v>
      </c>
      <c r="H285" t="s">
        <v>42</v>
      </c>
      <c r="I285" t="s">
        <v>66</v>
      </c>
      <c r="J285" t="s">
        <v>73</v>
      </c>
      <c r="K285">
        <v>7</v>
      </c>
      <c r="L285">
        <v>1102.54</v>
      </c>
      <c r="M285">
        <v>0.2</v>
      </c>
    </row>
    <row r="286" spans="1:13" x14ac:dyDescent="0.25">
      <c r="A286" t="s">
        <v>1214</v>
      </c>
      <c r="B286" t="s">
        <v>1215</v>
      </c>
      <c r="C286" t="s">
        <v>1216</v>
      </c>
      <c r="D286" t="s">
        <v>1217</v>
      </c>
      <c r="E286" t="s">
        <v>71</v>
      </c>
      <c r="F286" t="s">
        <v>30</v>
      </c>
      <c r="G286" t="s">
        <v>139</v>
      </c>
      <c r="H286" t="s">
        <v>58</v>
      </c>
      <c r="I286" t="s">
        <v>43</v>
      </c>
      <c r="J286" t="s">
        <v>73</v>
      </c>
      <c r="K286">
        <v>7</v>
      </c>
      <c r="L286">
        <v>1224.46</v>
      </c>
      <c r="M286">
        <v>0.05</v>
      </c>
    </row>
    <row r="287" spans="1:13" x14ac:dyDescent="0.25">
      <c r="A287" t="s">
        <v>1218</v>
      </c>
      <c r="B287" t="s">
        <v>1219</v>
      </c>
      <c r="C287" t="s">
        <v>1220</v>
      </c>
      <c r="D287" t="s">
        <v>1221</v>
      </c>
      <c r="E287" t="s">
        <v>83</v>
      </c>
      <c r="F287" t="s">
        <v>56</v>
      </c>
      <c r="G287" t="s">
        <v>95</v>
      </c>
      <c r="H287" t="s">
        <v>32</v>
      </c>
      <c r="I287" t="s">
        <v>96</v>
      </c>
      <c r="J287" t="s">
        <v>73</v>
      </c>
      <c r="K287">
        <v>10</v>
      </c>
      <c r="L287">
        <v>909.55</v>
      </c>
      <c r="M287">
        <v>0</v>
      </c>
    </row>
    <row r="288" spans="1:13" x14ac:dyDescent="0.25">
      <c r="A288" t="s">
        <v>1222</v>
      </c>
      <c r="B288" t="s">
        <v>1223</v>
      </c>
      <c r="C288" t="s">
        <v>1224</v>
      </c>
      <c r="D288" t="s">
        <v>1225</v>
      </c>
      <c r="E288" t="s">
        <v>71</v>
      </c>
      <c r="F288" t="s">
        <v>30</v>
      </c>
      <c r="G288" t="s">
        <v>269</v>
      </c>
      <c r="H288" t="s">
        <v>32</v>
      </c>
      <c r="I288" t="s">
        <v>66</v>
      </c>
      <c r="J288" t="s">
        <v>73</v>
      </c>
      <c r="K288">
        <v>6</v>
      </c>
      <c r="L288">
        <v>1235.17</v>
      </c>
      <c r="M288">
        <v>0.1</v>
      </c>
    </row>
    <row r="289" spans="1:13" x14ac:dyDescent="0.25">
      <c r="A289" t="s">
        <v>1226</v>
      </c>
      <c r="B289" t="s">
        <v>1227</v>
      </c>
      <c r="C289" t="s">
        <v>1228</v>
      </c>
      <c r="D289" t="s">
        <v>1229</v>
      </c>
      <c r="E289" t="s">
        <v>29</v>
      </c>
      <c r="F289" t="s">
        <v>56</v>
      </c>
      <c r="G289" t="s">
        <v>101</v>
      </c>
      <c r="H289" t="s">
        <v>42</v>
      </c>
      <c r="I289" t="s">
        <v>43</v>
      </c>
      <c r="J289" t="s">
        <v>34</v>
      </c>
      <c r="K289">
        <v>8</v>
      </c>
      <c r="L289">
        <v>86.5</v>
      </c>
      <c r="M289">
        <v>0.2</v>
      </c>
    </row>
    <row r="290" spans="1:13" x14ac:dyDescent="0.25">
      <c r="A290" t="s">
        <v>1230</v>
      </c>
      <c r="B290" t="s">
        <v>1231</v>
      </c>
      <c r="C290" t="s">
        <v>1232</v>
      </c>
      <c r="D290" t="s">
        <v>1233</v>
      </c>
      <c r="E290" t="s">
        <v>149</v>
      </c>
      <c r="F290" t="s">
        <v>56</v>
      </c>
      <c r="G290" t="s">
        <v>57</v>
      </c>
      <c r="H290" t="s">
        <v>72</v>
      </c>
      <c r="I290" t="s">
        <v>43</v>
      </c>
      <c r="J290" t="s">
        <v>34</v>
      </c>
      <c r="K290">
        <v>10</v>
      </c>
      <c r="L290">
        <v>1186.26</v>
      </c>
      <c r="M290">
        <v>0.2</v>
      </c>
    </row>
    <row r="291" spans="1:13" x14ac:dyDescent="0.25">
      <c r="A291" t="s">
        <v>1234</v>
      </c>
      <c r="B291" t="s">
        <v>1235</v>
      </c>
      <c r="C291" t="s">
        <v>1236</v>
      </c>
      <c r="D291" t="s">
        <v>1237</v>
      </c>
      <c r="E291" t="s">
        <v>71</v>
      </c>
      <c r="F291" t="s">
        <v>84</v>
      </c>
      <c r="G291" t="s">
        <v>205</v>
      </c>
      <c r="H291" t="s">
        <v>72</v>
      </c>
      <c r="I291" t="s">
        <v>51</v>
      </c>
      <c r="J291" t="s">
        <v>126</v>
      </c>
      <c r="K291">
        <v>3</v>
      </c>
      <c r="L291">
        <v>125.19</v>
      </c>
      <c r="M291">
        <v>0.1</v>
      </c>
    </row>
    <row r="292" spans="1:13" x14ac:dyDescent="0.25">
      <c r="A292" t="s">
        <v>1238</v>
      </c>
      <c r="B292" t="s">
        <v>1239</v>
      </c>
      <c r="C292" t="s">
        <v>1240</v>
      </c>
      <c r="D292" t="s">
        <v>1241</v>
      </c>
      <c r="E292" t="s">
        <v>200</v>
      </c>
      <c r="F292" t="s">
        <v>56</v>
      </c>
      <c r="G292" t="s">
        <v>57</v>
      </c>
      <c r="H292" t="s">
        <v>42</v>
      </c>
      <c r="I292" t="s">
        <v>43</v>
      </c>
      <c r="J292" t="s">
        <v>126</v>
      </c>
      <c r="K292">
        <v>3</v>
      </c>
      <c r="L292">
        <v>1414.53</v>
      </c>
      <c r="M292">
        <v>0.15</v>
      </c>
    </row>
    <row r="293" spans="1:13" x14ac:dyDescent="0.25">
      <c r="A293" t="s">
        <v>1242</v>
      </c>
      <c r="B293" t="s">
        <v>1243</v>
      </c>
      <c r="C293" t="s">
        <v>1244</v>
      </c>
      <c r="D293" t="s">
        <v>1245</v>
      </c>
      <c r="E293" t="s">
        <v>149</v>
      </c>
      <c r="F293" t="s">
        <v>40</v>
      </c>
      <c r="G293" t="s">
        <v>41</v>
      </c>
      <c r="H293" t="s">
        <v>72</v>
      </c>
      <c r="I293" t="s">
        <v>51</v>
      </c>
      <c r="J293" t="s">
        <v>126</v>
      </c>
      <c r="K293">
        <v>5</v>
      </c>
      <c r="L293">
        <v>408.92</v>
      </c>
      <c r="M293">
        <v>0.05</v>
      </c>
    </row>
    <row r="294" spans="1:13" x14ac:dyDescent="0.25">
      <c r="A294" t="s">
        <v>1246</v>
      </c>
      <c r="B294" t="s">
        <v>1247</v>
      </c>
      <c r="C294" t="s">
        <v>1248</v>
      </c>
      <c r="D294" t="s">
        <v>1249</v>
      </c>
      <c r="E294" t="s">
        <v>200</v>
      </c>
      <c r="F294" t="s">
        <v>30</v>
      </c>
      <c r="G294" t="s">
        <v>269</v>
      </c>
      <c r="H294" t="s">
        <v>58</v>
      </c>
      <c r="I294" t="s">
        <v>33</v>
      </c>
      <c r="J294" t="s">
        <v>34</v>
      </c>
      <c r="K294">
        <v>7</v>
      </c>
      <c r="L294">
        <v>550.83000000000004</v>
      </c>
      <c r="M294">
        <v>0</v>
      </c>
    </row>
    <row r="295" spans="1:13" x14ac:dyDescent="0.25">
      <c r="A295" t="s">
        <v>1250</v>
      </c>
      <c r="B295" t="s">
        <v>1251</v>
      </c>
      <c r="C295" t="s">
        <v>1252</v>
      </c>
      <c r="D295" t="s">
        <v>1253</v>
      </c>
      <c r="E295" t="s">
        <v>48</v>
      </c>
      <c r="F295" t="s">
        <v>84</v>
      </c>
      <c r="G295" t="s">
        <v>205</v>
      </c>
      <c r="H295" t="s">
        <v>42</v>
      </c>
      <c r="I295" t="s">
        <v>96</v>
      </c>
      <c r="J295" t="s">
        <v>34</v>
      </c>
      <c r="K295">
        <v>2</v>
      </c>
      <c r="L295">
        <v>718.25</v>
      </c>
      <c r="M295">
        <v>0.05</v>
      </c>
    </row>
    <row r="296" spans="1:13" x14ac:dyDescent="0.25">
      <c r="A296" t="s">
        <v>1254</v>
      </c>
      <c r="B296" t="s">
        <v>1255</v>
      </c>
      <c r="C296" t="s">
        <v>1256</v>
      </c>
      <c r="D296" t="s">
        <v>1257</v>
      </c>
      <c r="E296" t="s">
        <v>78</v>
      </c>
      <c r="F296" t="s">
        <v>49</v>
      </c>
      <c r="G296" t="s">
        <v>286</v>
      </c>
      <c r="H296" t="s">
        <v>72</v>
      </c>
      <c r="I296" t="s">
        <v>96</v>
      </c>
      <c r="J296" t="s">
        <v>126</v>
      </c>
      <c r="K296">
        <v>7</v>
      </c>
      <c r="L296">
        <v>565.97</v>
      </c>
      <c r="M296">
        <v>0.05</v>
      </c>
    </row>
    <row r="297" spans="1:13" x14ac:dyDescent="0.25">
      <c r="A297" t="s">
        <v>1258</v>
      </c>
      <c r="B297" t="s">
        <v>1259</v>
      </c>
      <c r="C297" t="s">
        <v>1260</v>
      </c>
      <c r="D297" t="s">
        <v>1261</v>
      </c>
      <c r="E297" t="s">
        <v>39</v>
      </c>
      <c r="F297" t="s">
        <v>84</v>
      </c>
      <c r="G297" t="s">
        <v>90</v>
      </c>
      <c r="H297" t="s">
        <v>58</v>
      </c>
      <c r="I297" t="s">
        <v>33</v>
      </c>
      <c r="J297" t="s">
        <v>34</v>
      </c>
      <c r="K297">
        <v>2</v>
      </c>
      <c r="L297">
        <v>106.53</v>
      </c>
      <c r="M297">
        <v>0</v>
      </c>
    </row>
    <row r="298" spans="1:13" x14ac:dyDescent="0.25">
      <c r="A298" t="s">
        <v>1262</v>
      </c>
      <c r="B298" t="s">
        <v>1263</v>
      </c>
      <c r="C298" t="s">
        <v>1264</v>
      </c>
      <c r="D298" t="s">
        <v>1265</v>
      </c>
      <c r="E298" t="s">
        <v>149</v>
      </c>
      <c r="F298" t="s">
        <v>40</v>
      </c>
      <c r="G298" t="s">
        <v>565</v>
      </c>
      <c r="H298" t="s">
        <v>72</v>
      </c>
      <c r="I298" t="s">
        <v>96</v>
      </c>
      <c r="J298" t="s">
        <v>59</v>
      </c>
      <c r="K298">
        <v>8</v>
      </c>
      <c r="L298">
        <v>1448.96</v>
      </c>
      <c r="M298">
        <v>0.15</v>
      </c>
    </row>
    <row r="299" spans="1:13" x14ac:dyDescent="0.25">
      <c r="A299" t="s">
        <v>1266</v>
      </c>
      <c r="B299" t="s">
        <v>1267</v>
      </c>
      <c r="C299" t="s">
        <v>1268</v>
      </c>
      <c r="D299" t="s">
        <v>1269</v>
      </c>
      <c r="E299" t="s">
        <v>78</v>
      </c>
      <c r="F299" t="s">
        <v>40</v>
      </c>
      <c r="G299" t="s">
        <v>41</v>
      </c>
      <c r="H299" t="s">
        <v>32</v>
      </c>
      <c r="I299" t="s">
        <v>96</v>
      </c>
      <c r="J299" t="s">
        <v>73</v>
      </c>
      <c r="K299">
        <v>10</v>
      </c>
      <c r="L299">
        <v>1203.67</v>
      </c>
      <c r="M299">
        <v>0</v>
      </c>
    </row>
    <row r="300" spans="1:13" x14ac:dyDescent="0.25">
      <c r="A300" t="s">
        <v>1270</v>
      </c>
      <c r="B300" t="s">
        <v>1271</v>
      </c>
      <c r="C300" t="s">
        <v>1272</v>
      </c>
      <c r="D300" t="s">
        <v>1273</v>
      </c>
      <c r="E300" t="s">
        <v>64</v>
      </c>
      <c r="F300" t="s">
        <v>49</v>
      </c>
      <c r="G300" t="s">
        <v>117</v>
      </c>
      <c r="H300" t="s">
        <v>72</v>
      </c>
      <c r="I300" t="s">
        <v>33</v>
      </c>
      <c r="J300" t="s">
        <v>59</v>
      </c>
      <c r="K300">
        <v>7</v>
      </c>
      <c r="L300">
        <v>1482.6</v>
      </c>
      <c r="M300">
        <v>0</v>
      </c>
    </row>
    <row r="301" spans="1:13" x14ac:dyDescent="0.25">
      <c r="A301" t="s">
        <v>1274</v>
      </c>
      <c r="B301" t="s">
        <v>1275</v>
      </c>
      <c r="C301" t="s">
        <v>1276</v>
      </c>
      <c r="D301" t="s">
        <v>1277</v>
      </c>
      <c r="E301" t="s">
        <v>78</v>
      </c>
      <c r="F301" t="s">
        <v>49</v>
      </c>
      <c r="G301" t="s">
        <v>259</v>
      </c>
      <c r="H301" t="s">
        <v>42</v>
      </c>
      <c r="I301" t="s">
        <v>51</v>
      </c>
      <c r="J301" t="s">
        <v>34</v>
      </c>
      <c r="K301">
        <v>5</v>
      </c>
      <c r="L301">
        <v>499.3</v>
      </c>
      <c r="M301">
        <v>0.15</v>
      </c>
    </row>
    <row r="302" spans="1:13" x14ac:dyDescent="0.25">
      <c r="A302" t="s">
        <v>1278</v>
      </c>
      <c r="B302" t="s">
        <v>1279</v>
      </c>
      <c r="C302" t="s">
        <v>1280</v>
      </c>
      <c r="D302" t="s">
        <v>1281</v>
      </c>
      <c r="E302" t="s">
        <v>83</v>
      </c>
      <c r="F302" t="s">
        <v>40</v>
      </c>
      <c r="G302" t="s">
        <v>41</v>
      </c>
      <c r="H302" t="s">
        <v>32</v>
      </c>
      <c r="I302" t="s">
        <v>66</v>
      </c>
      <c r="J302" t="s">
        <v>59</v>
      </c>
      <c r="K302">
        <v>2</v>
      </c>
      <c r="L302">
        <v>1141.19</v>
      </c>
      <c r="M302">
        <v>0</v>
      </c>
    </row>
    <row r="303" spans="1:13" x14ac:dyDescent="0.25">
      <c r="A303" t="s">
        <v>1282</v>
      </c>
      <c r="B303" t="s">
        <v>1283</v>
      </c>
      <c r="C303" t="s">
        <v>1284</v>
      </c>
      <c r="D303" t="s">
        <v>1285</v>
      </c>
      <c r="E303" t="s">
        <v>200</v>
      </c>
      <c r="F303" t="s">
        <v>40</v>
      </c>
      <c r="G303" t="s">
        <v>41</v>
      </c>
      <c r="H303" t="s">
        <v>42</v>
      </c>
      <c r="I303" t="s">
        <v>43</v>
      </c>
      <c r="J303" t="s">
        <v>34</v>
      </c>
      <c r="K303">
        <v>3</v>
      </c>
      <c r="L303">
        <v>717.47</v>
      </c>
      <c r="M303">
        <v>0.05</v>
      </c>
    </row>
    <row r="304" spans="1:13" x14ac:dyDescent="0.25">
      <c r="A304" t="s">
        <v>1286</v>
      </c>
      <c r="B304" t="s">
        <v>1287</v>
      </c>
      <c r="C304" t="s">
        <v>1288</v>
      </c>
      <c r="D304" t="s">
        <v>1289</v>
      </c>
      <c r="E304" t="s">
        <v>39</v>
      </c>
      <c r="F304" t="s">
        <v>56</v>
      </c>
      <c r="G304" t="s">
        <v>57</v>
      </c>
      <c r="H304" t="s">
        <v>58</v>
      </c>
      <c r="I304" t="s">
        <v>66</v>
      </c>
      <c r="J304" t="s">
        <v>59</v>
      </c>
      <c r="K304">
        <v>6</v>
      </c>
      <c r="L304">
        <v>1382.44</v>
      </c>
      <c r="M304">
        <v>0</v>
      </c>
    </row>
    <row r="305" spans="1:13" x14ac:dyDescent="0.25">
      <c r="A305" t="s">
        <v>1290</v>
      </c>
      <c r="B305" t="s">
        <v>1291</v>
      </c>
      <c r="C305" t="s">
        <v>1292</v>
      </c>
      <c r="D305" t="s">
        <v>1293</v>
      </c>
      <c r="E305" t="s">
        <v>116</v>
      </c>
      <c r="F305" t="s">
        <v>30</v>
      </c>
      <c r="G305" t="s">
        <v>31</v>
      </c>
      <c r="H305" t="s">
        <v>58</v>
      </c>
      <c r="I305" t="s">
        <v>96</v>
      </c>
      <c r="J305" t="s">
        <v>126</v>
      </c>
      <c r="K305">
        <v>8</v>
      </c>
      <c r="L305">
        <v>461.21</v>
      </c>
      <c r="M305">
        <v>0.05</v>
      </c>
    </row>
    <row r="306" spans="1:13" x14ac:dyDescent="0.25">
      <c r="A306" t="s">
        <v>1294</v>
      </c>
      <c r="B306" t="s">
        <v>1295</v>
      </c>
      <c r="C306" t="s">
        <v>1296</v>
      </c>
      <c r="D306" t="s">
        <v>1297</v>
      </c>
      <c r="E306" t="s">
        <v>149</v>
      </c>
      <c r="F306" t="s">
        <v>49</v>
      </c>
      <c r="G306" t="s">
        <v>259</v>
      </c>
      <c r="H306" t="s">
        <v>72</v>
      </c>
      <c r="I306" t="s">
        <v>51</v>
      </c>
      <c r="J306" t="s">
        <v>59</v>
      </c>
      <c r="K306">
        <v>1</v>
      </c>
      <c r="L306">
        <v>1302.78</v>
      </c>
      <c r="M306">
        <v>0.15</v>
      </c>
    </row>
    <row r="307" spans="1:13" x14ac:dyDescent="0.25">
      <c r="A307" t="s">
        <v>1298</v>
      </c>
      <c r="B307" t="s">
        <v>1299</v>
      </c>
      <c r="C307" t="s">
        <v>1300</v>
      </c>
      <c r="D307" t="s">
        <v>1301</v>
      </c>
      <c r="E307" t="s">
        <v>78</v>
      </c>
      <c r="F307" t="s">
        <v>40</v>
      </c>
      <c r="G307" t="s">
        <v>144</v>
      </c>
      <c r="H307" t="s">
        <v>72</v>
      </c>
      <c r="I307" t="s">
        <v>51</v>
      </c>
      <c r="J307" t="s">
        <v>34</v>
      </c>
      <c r="K307">
        <v>4</v>
      </c>
      <c r="L307">
        <v>273</v>
      </c>
      <c r="M307">
        <v>0</v>
      </c>
    </row>
    <row r="308" spans="1:13" x14ac:dyDescent="0.25">
      <c r="A308" t="s">
        <v>1302</v>
      </c>
      <c r="B308" t="s">
        <v>1303</v>
      </c>
      <c r="C308" t="s">
        <v>1304</v>
      </c>
      <c r="D308" t="s">
        <v>1305</v>
      </c>
      <c r="E308" t="s">
        <v>29</v>
      </c>
      <c r="F308" t="s">
        <v>84</v>
      </c>
      <c r="G308" t="s">
        <v>264</v>
      </c>
      <c r="H308" t="s">
        <v>32</v>
      </c>
      <c r="I308" t="s">
        <v>43</v>
      </c>
      <c r="J308" t="s">
        <v>59</v>
      </c>
      <c r="K308">
        <v>2</v>
      </c>
      <c r="L308">
        <v>765.11</v>
      </c>
      <c r="M308">
        <v>0.2</v>
      </c>
    </row>
    <row r="309" spans="1:13" x14ac:dyDescent="0.25">
      <c r="A309" t="s">
        <v>1306</v>
      </c>
      <c r="B309" t="s">
        <v>1307</v>
      </c>
      <c r="C309" t="s">
        <v>1308</v>
      </c>
      <c r="D309" t="s">
        <v>1309</v>
      </c>
      <c r="E309" t="s">
        <v>200</v>
      </c>
      <c r="F309" t="s">
        <v>40</v>
      </c>
      <c r="G309" t="s">
        <v>41</v>
      </c>
      <c r="H309" t="s">
        <v>32</v>
      </c>
      <c r="I309" t="s">
        <v>66</v>
      </c>
      <c r="J309" t="s">
        <v>126</v>
      </c>
      <c r="K309">
        <v>3</v>
      </c>
      <c r="L309">
        <v>534.39</v>
      </c>
      <c r="M309">
        <v>0.05</v>
      </c>
    </row>
    <row r="310" spans="1:13" x14ac:dyDescent="0.25">
      <c r="A310" t="s">
        <v>1310</v>
      </c>
      <c r="B310" t="s">
        <v>1311</v>
      </c>
      <c r="C310" t="s">
        <v>1312</v>
      </c>
      <c r="D310" t="s">
        <v>1313</v>
      </c>
      <c r="E310" t="s">
        <v>83</v>
      </c>
      <c r="F310" t="s">
        <v>30</v>
      </c>
      <c r="G310" t="s">
        <v>31</v>
      </c>
      <c r="H310" t="s">
        <v>42</v>
      </c>
      <c r="I310" t="s">
        <v>33</v>
      </c>
      <c r="J310" t="s">
        <v>126</v>
      </c>
      <c r="K310">
        <v>4</v>
      </c>
      <c r="L310">
        <v>976.36</v>
      </c>
      <c r="M310">
        <v>0.05</v>
      </c>
    </row>
    <row r="311" spans="1:13" x14ac:dyDescent="0.25">
      <c r="A311" t="s">
        <v>1314</v>
      </c>
      <c r="B311" t="s">
        <v>1315</v>
      </c>
      <c r="C311" t="s">
        <v>1316</v>
      </c>
      <c r="D311" t="s">
        <v>1317</v>
      </c>
      <c r="E311" t="s">
        <v>48</v>
      </c>
      <c r="F311" t="s">
        <v>30</v>
      </c>
      <c r="G311" t="s">
        <v>139</v>
      </c>
      <c r="H311" t="s">
        <v>58</v>
      </c>
      <c r="I311" t="s">
        <v>66</v>
      </c>
      <c r="J311" t="s">
        <v>34</v>
      </c>
      <c r="K311">
        <v>4</v>
      </c>
      <c r="L311">
        <v>1204.28</v>
      </c>
      <c r="M311">
        <v>0.05</v>
      </c>
    </row>
    <row r="312" spans="1:13" x14ac:dyDescent="0.25">
      <c r="A312" t="s">
        <v>1318</v>
      </c>
      <c r="B312" t="s">
        <v>1319</v>
      </c>
      <c r="C312" t="s">
        <v>1320</v>
      </c>
      <c r="D312" t="s">
        <v>1321</v>
      </c>
      <c r="E312" t="s">
        <v>39</v>
      </c>
      <c r="F312" t="s">
        <v>49</v>
      </c>
      <c r="G312" t="s">
        <v>50</v>
      </c>
      <c r="H312" t="s">
        <v>32</v>
      </c>
      <c r="I312" t="s">
        <v>51</v>
      </c>
      <c r="J312" t="s">
        <v>59</v>
      </c>
      <c r="K312">
        <v>10</v>
      </c>
      <c r="L312">
        <v>1020.64</v>
      </c>
      <c r="M312">
        <v>0.1</v>
      </c>
    </row>
    <row r="313" spans="1:13" x14ac:dyDescent="0.25">
      <c r="A313" t="s">
        <v>1322</v>
      </c>
      <c r="B313" t="s">
        <v>1323</v>
      </c>
      <c r="C313" t="s">
        <v>1324</v>
      </c>
      <c r="D313" t="s">
        <v>1325</v>
      </c>
      <c r="E313" t="s">
        <v>29</v>
      </c>
      <c r="F313" t="s">
        <v>84</v>
      </c>
      <c r="G313" t="s">
        <v>205</v>
      </c>
      <c r="H313" t="s">
        <v>58</v>
      </c>
      <c r="I313" t="s">
        <v>66</v>
      </c>
      <c r="J313" t="s">
        <v>59</v>
      </c>
      <c r="K313">
        <v>6</v>
      </c>
      <c r="L313">
        <v>730.38</v>
      </c>
      <c r="M313">
        <v>0.05</v>
      </c>
    </row>
    <row r="314" spans="1:13" x14ac:dyDescent="0.25">
      <c r="A314" t="s">
        <v>1326</v>
      </c>
      <c r="B314" t="s">
        <v>1327</v>
      </c>
      <c r="C314" t="s">
        <v>1328</v>
      </c>
      <c r="D314" t="s">
        <v>1329</v>
      </c>
      <c r="E314" t="s">
        <v>39</v>
      </c>
      <c r="F314" t="s">
        <v>30</v>
      </c>
      <c r="G314" t="s">
        <v>139</v>
      </c>
      <c r="H314" t="s">
        <v>42</v>
      </c>
      <c r="I314" t="s">
        <v>66</v>
      </c>
      <c r="J314" t="s">
        <v>73</v>
      </c>
      <c r="K314">
        <v>1</v>
      </c>
      <c r="L314">
        <v>1151.73</v>
      </c>
      <c r="M314">
        <v>0.15</v>
      </c>
    </row>
    <row r="315" spans="1:13" x14ac:dyDescent="0.25">
      <c r="A315" t="s">
        <v>1330</v>
      </c>
      <c r="B315" t="s">
        <v>1331</v>
      </c>
      <c r="C315" t="s">
        <v>1332</v>
      </c>
      <c r="D315" t="s">
        <v>1333</v>
      </c>
      <c r="E315" t="s">
        <v>29</v>
      </c>
      <c r="F315" t="s">
        <v>49</v>
      </c>
      <c r="G315" t="s">
        <v>226</v>
      </c>
      <c r="H315" t="s">
        <v>72</v>
      </c>
      <c r="I315" t="s">
        <v>66</v>
      </c>
      <c r="J315" t="s">
        <v>73</v>
      </c>
      <c r="K315">
        <v>1</v>
      </c>
      <c r="L315">
        <v>591.59</v>
      </c>
      <c r="M315">
        <v>0.15</v>
      </c>
    </row>
    <row r="316" spans="1:13" x14ac:dyDescent="0.25">
      <c r="A316" t="s">
        <v>1334</v>
      </c>
      <c r="B316" t="s">
        <v>1335</v>
      </c>
      <c r="C316" t="s">
        <v>1336</v>
      </c>
      <c r="D316" t="s">
        <v>1337</v>
      </c>
      <c r="E316" t="s">
        <v>200</v>
      </c>
      <c r="F316" t="s">
        <v>84</v>
      </c>
      <c r="G316" t="s">
        <v>90</v>
      </c>
      <c r="H316" t="s">
        <v>72</v>
      </c>
      <c r="I316" t="s">
        <v>66</v>
      </c>
      <c r="J316" t="s">
        <v>126</v>
      </c>
      <c r="K316">
        <v>3</v>
      </c>
      <c r="L316">
        <v>460.79</v>
      </c>
      <c r="M316">
        <v>0.2</v>
      </c>
    </row>
    <row r="317" spans="1:13" x14ac:dyDescent="0.25">
      <c r="A317" t="s">
        <v>1338</v>
      </c>
      <c r="B317" t="s">
        <v>1339</v>
      </c>
      <c r="C317" t="s">
        <v>1340</v>
      </c>
      <c r="D317" t="s">
        <v>1341</v>
      </c>
      <c r="E317" t="s">
        <v>78</v>
      </c>
      <c r="F317" t="s">
        <v>30</v>
      </c>
      <c r="G317" t="s">
        <v>65</v>
      </c>
      <c r="H317" t="s">
        <v>72</v>
      </c>
      <c r="I317" t="s">
        <v>66</v>
      </c>
      <c r="J317" t="s">
        <v>34</v>
      </c>
      <c r="K317">
        <v>4</v>
      </c>
      <c r="L317">
        <v>986.84</v>
      </c>
      <c r="M317">
        <v>0.05</v>
      </c>
    </row>
    <row r="318" spans="1:13" x14ac:dyDescent="0.25">
      <c r="A318" t="s">
        <v>1342</v>
      </c>
      <c r="B318" t="s">
        <v>1343</v>
      </c>
      <c r="C318" t="s">
        <v>1344</v>
      </c>
      <c r="D318" t="s">
        <v>1345</v>
      </c>
      <c r="E318" t="s">
        <v>29</v>
      </c>
      <c r="F318" t="s">
        <v>49</v>
      </c>
      <c r="G318" t="s">
        <v>117</v>
      </c>
      <c r="H318" t="s">
        <v>32</v>
      </c>
      <c r="I318" t="s">
        <v>96</v>
      </c>
      <c r="J318" t="s">
        <v>73</v>
      </c>
      <c r="K318">
        <v>10</v>
      </c>
      <c r="L318">
        <v>713.75</v>
      </c>
      <c r="M318">
        <v>0.15</v>
      </c>
    </row>
    <row r="319" spans="1:13" x14ac:dyDescent="0.25">
      <c r="A319" t="s">
        <v>1346</v>
      </c>
      <c r="B319" t="s">
        <v>1347</v>
      </c>
      <c r="C319" t="s">
        <v>1348</v>
      </c>
      <c r="D319" t="s">
        <v>1349</v>
      </c>
      <c r="E319" t="s">
        <v>78</v>
      </c>
      <c r="F319" t="s">
        <v>84</v>
      </c>
      <c r="G319" t="s">
        <v>264</v>
      </c>
      <c r="H319" t="s">
        <v>72</v>
      </c>
      <c r="I319" t="s">
        <v>66</v>
      </c>
      <c r="J319" t="s">
        <v>34</v>
      </c>
      <c r="K319">
        <v>3</v>
      </c>
      <c r="L319">
        <v>95.28</v>
      </c>
      <c r="M319">
        <v>0</v>
      </c>
    </row>
    <row r="320" spans="1:13" x14ac:dyDescent="0.25">
      <c r="A320" t="s">
        <v>1350</v>
      </c>
      <c r="B320" t="s">
        <v>1351</v>
      </c>
      <c r="C320" t="s">
        <v>1352</v>
      </c>
      <c r="D320" t="s">
        <v>1353</v>
      </c>
      <c r="E320" t="s">
        <v>48</v>
      </c>
      <c r="F320" t="s">
        <v>56</v>
      </c>
      <c r="G320" t="s">
        <v>57</v>
      </c>
      <c r="H320" t="s">
        <v>32</v>
      </c>
      <c r="I320" t="s">
        <v>51</v>
      </c>
      <c r="J320" t="s">
        <v>34</v>
      </c>
      <c r="K320">
        <v>3</v>
      </c>
      <c r="L320">
        <v>508.95</v>
      </c>
      <c r="M320">
        <v>0.05</v>
      </c>
    </row>
    <row r="321" spans="1:13" x14ac:dyDescent="0.25">
      <c r="A321" t="s">
        <v>1354</v>
      </c>
      <c r="B321" t="s">
        <v>1355</v>
      </c>
      <c r="C321" t="s">
        <v>1356</v>
      </c>
      <c r="D321" t="s">
        <v>1357</v>
      </c>
      <c r="E321" t="s">
        <v>48</v>
      </c>
      <c r="F321" t="s">
        <v>49</v>
      </c>
      <c r="G321" t="s">
        <v>117</v>
      </c>
      <c r="H321" t="s">
        <v>42</v>
      </c>
      <c r="I321" t="s">
        <v>96</v>
      </c>
      <c r="J321" t="s">
        <v>34</v>
      </c>
      <c r="K321">
        <v>7</v>
      </c>
      <c r="L321">
        <v>207.17</v>
      </c>
      <c r="M321">
        <v>0.2</v>
      </c>
    </row>
    <row r="322" spans="1:13" x14ac:dyDescent="0.25">
      <c r="A322" t="s">
        <v>1358</v>
      </c>
      <c r="B322" t="s">
        <v>1359</v>
      </c>
      <c r="C322" t="s">
        <v>1360</v>
      </c>
      <c r="D322" t="s">
        <v>1361</v>
      </c>
      <c r="E322" t="s">
        <v>78</v>
      </c>
      <c r="F322" t="s">
        <v>30</v>
      </c>
      <c r="G322" t="s">
        <v>65</v>
      </c>
      <c r="H322" t="s">
        <v>72</v>
      </c>
      <c r="I322" t="s">
        <v>51</v>
      </c>
      <c r="J322" t="s">
        <v>126</v>
      </c>
      <c r="K322">
        <v>6</v>
      </c>
      <c r="L322">
        <v>1425.85</v>
      </c>
      <c r="M322">
        <v>0.15</v>
      </c>
    </row>
    <row r="323" spans="1:13" x14ac:dyDescent="0.25">
      <c r="A323" t="s">
        <v>1362</v>
      </c>
      <c r="B323" t="s">
        <v>1363</v>
      </c>
      <c r="C323" t="s">
        <v>1364</v>
      </c>
      <c r="D323" t="s">
        <v>1365</v>
      </c>
      <c r="E323" t="s">
        <v>71</v>
      </c>
      <c r="F323" t="s">
        <v>84</v>
      </c>
      <c r="G323" t="s">
        <v>85</v>
      </c>
      <c r="H323" t="s">
        <v>58</v>
      </c>
      <c r="I323" t="s">
        <v>43</v>
      </c>
      <c r="J323" t="s">
        <v>126</v>
      </c>
      <c r="K323">
        <v>9</v>
      </c>
      <c r="L323">
        <v>167.52</v>
      </c>
      <c r="M323">
        <v>0.15</v>
      </c>
    </row>
    <row r="324" spans="1:13" x14ac:dyDescent="0.25">
      <c r="A324" t="s">
        <v>1366</v>
      </c>
      <c r="B324" t="s">
        <v>1367</v>
      </c>
      <c r="C324" t="s">
        <v>1368</v>
      </c>
      <c r="D324" t="s">
        <v>1369</v>
      </c>
      <c r="E324" t="s">
        <v>78</v>
      </c>
      <c r="F324" t="s">
        <v>40</v>
      </c>
      <c r="G324" t="s">
        <v>41</v>
      </c>
      <c r="H324" t="s">
        <v>42</v>
      </c>
      <c r="I324" t="s">
        <v>66</v>
      </c>
      <c r="J324" t="s">
        <v>73</v>
      </c>
      <c r="K324">
        <v>3</v>
      </c>
      <c r="L324">
        <v>516.69000000000005</v>
      </c>
      <c r="M324">
        <v>0.05</v>
      </c>
    </row>
    <row r="325" spans="1:13" x14ac:dyDescent="0.25">
      <c r="A325" t="s">
        <v>1370</v>
      </c>
      <c r="B325" t="s">
        <v>1371</v>
      </c>
      <c r="C325" t="s">
        <v>1372</v>
      </c>
      <c r="D325" t="s">
        <v>1373</v>
      </c>
      <c r="E325" t="s">
        <v>39</v>
      </c>
      <c r="F325" t="s">
        <v>30</v>
      </c>
      <c r="G325" t="s">
        <v>31</v>
      </c>
      <c r="H325" t="s">
        <v>72</v>
      </c>
      <c r="I325" t="s">
        <v>51</v>
      </c>
      <c r="J325" t="s">
        <v>59</v>
      </c>
      <c r="K325">
        <v>10</v>
      </c>
      <c r="L325">
        <v>1105.0999999999999</v>
      </c>
      <c r="M325">
        <v>0.15</v>
      </c>
    </row>
    <row r="326" spans="1:13" x14ac:dyDescent="0.25">
      <c r="A326" t="s">
        <v>1374</v>
      </c>
      <c r="B326" t="s">
        <v>1375</v>
      </c>
      <c r="C326" t="s">
        <v>1376</v>
      </c>
      <c r="D326" t="s">
        <v>1377</v>
      </c>
      <c r="E326" t="s">
        <v>29</v>
      </c>
      <c r="F326" t="s">
        <v>40</v>
      </c>
      <c r="G326" t="s">
        <v>41</v>
      </c>
      <c r="H326" t="s">
        <v>32</v>
      </c>
      <c r="I326" t="s">
        <v>51</v>
      </c>
      <c r="J326" t="s">
        <v>126</v>
      </c>
      <c r="K326">
        <v>1</v>
      </c>
      <c r="L326">
        <v>87.15</v>
      </c>
      <c r="M326">
        <v>0.2</v>
      </c>
    </row>
    <row r="327" spans="1:13" x14ac:dyDescent="0.25">
      <c r="A327" t="s">
        <v>1378</v>
      </c>
      <c r="B327" t="s">
        <v>1379</v>
      </c>
      <c r="C327" t="s">
        <v>1380</v>
      </c>
      <c r="D327" t="s">
        <v>1381</v>
      </c>
      <c r="E327" t="s">
        <v>116</v>
      </c>
      <c r="F327" t="s">
        <v>40</v>
      </c>
      <c r="G327" t="s">
        <v>315</v>
      </c>
      <c r="H327" t="s">
        <v>32</v>
      </c>
      <c r="I327" t="s">
        <v>66</v>
      </c>
      <c r="J327" t="s">
        <v>34</v>
      </c>
      <c r="K327">
        <v>3</v>
      </c>
      <c r="L327">
        <v>719.48</v>
      </c>
      <c r="M327">
        <v>0</v>
      </c>
    </row>
    <row r="328" spans="1:13" x14ac:dyDescent="0.25">
      <c r="A328" t="s">
        <v>1382</v>
      </c>
      <c r="B328" t="s">
        <v>1383</v>
      </c>
      <c r="C328" t="s">
        <v>1384</v>
      </c>
      <c r="D328" t="s">
        <v>1385</v>
      </c>
      <c r="E328" t="s">
        <v>29</v>
      </c>
      <c r="F328" t="s">
        <v>40</v>
      </c>
      <c r="G328" t="s">
        <v>41</v>
      </c>
      <c r="H328" t="s">
        <v>32</v>
      </c>
      <c r="I328" t="s">
        <v>66</v>
      </c>
      <c r="J328" t="s">
        <v>126</v>
      </c>
      <c r="K328">
        <v>7</v>
      </c>
      <c r="L328">
        <v>1055.58</v>
      </c>
      <c r="M328">
        <v>0</v>
      </c>
    </row>
    <row r="329" spans="1:13" x14ac:dyDescent="0.25">
      <c r="A329" t="s">
        <v>1386</v>
      </c>
      <c r="B329" t="s">
        <v>1387</v>
      </c>
      <c r="C329" t="s">
        <v>1388</v>
      </c>
      <c r="D329" t="s">
        <v>1389</v>
      </c>
      <c r="E329" t="s">
        <v>39</v>
      </c>
      <c r="F329" t="s">
        <v>84</v>
      </c>
      <c r="G329" t="s">
        <v>90</v>
      </c>
      <c r="H329" t="s">
        <v>42</v>
      </c>
      <c r="I329" t="s">
        <v>66</v>
      </c>
      <c r="J329" t="s">
        <v>73</v>
      </c>
      <c r="K329">
        <v>6</v>
      </c>
      <c r="L329">
        <v>1460.08</v>
      </c>
      <c r="M329">
        <v>0.2</v>
      </c>
    </row>
    <row r="330" spans="1:13" x14ac:dyDescent="0.25">
      <c r="A330" t="s">
        <v>1390</v>
      </c>
      <c r="B330" t="s">
        <v>1391</v>
      </c>
      <c r="C330" t="s">
        <v>1392</v>
      </c>
      <c r="D330" t="s">
        <v>1393</v>
      </c>
      <c r="E330" t="s">
        <v>39</v>
      </c>
      <c r="F330" t="s">
        <v>49</v>
      </c>
      <c r="G330" t="s">
        <v>50</v>
      </c>
      <c r="H330" t="s">
        <v>32</v>
      </c>
      <c r="I330" t="s">
        <v>51</v>
      </c>
      <c r="J330" t="s">
        <v>34</v>
      </c>
      <c r="K330">
        <v>1</v>
      </c>
      <c r="L330">
        <v>363.24</v>
      </c>
      <c r="M330">
        <v>0.2</v>
      </c>
    </row>
    <row r="331" spans="1:13" x14ac:dyDescent="0.25">
      <c r="A331" t="s">
        <v>1394</v>
      </c>
      <c r="B331" t="s">
        <v>1395</v>
      </c>
      <c r="C331" t="s">
        <v>1396</v>
      </c>
      <c r="D331" t="s">
        <v>1397</v>
      </c>
      <c r="E331" t="s">
        <v>116</v>
      </c>
      <c r="F331" t="s">
        <v>84</v>
      </c>
      <c r="G331" t="s">
        <v>85</v>
      </c>
      <c r="H331" t="s">
        <v>42</v>
      </c>
      <c r="I331" t="s">
        <v>51</v>
      </c>
      <c r="J331" t="s">
        <v>126</v>
      </c>
      <c r="K331">
        <v>5</v>
      </c>
      <c r="L331">
        <v>693.28</v>
      </c>
      <c r="M331">
        <v>0.05</v>
      </c>
    </row>
    <row r="332" spans="1:13" x14ac:dyDescent="0.25">
      <c r="A332" t="s">
        <v>1398</v>
      </c>
      <c r="B332" t="s">
        <v>1399</v>
      </c>
      <c r="C332" t="s">
        <v>1400</v>
      </c>
      <c r="D332" t="s">
        <v>1401</v>
      </c>
      <c r="E332" t="s">
        <v>71</v>
      </c>
      <c r="F332" t="s">
        <v>49</v>
      </c>
      <c r="G332" t="s">
        <v>117</v>
      </c>
      <c r="H332" t="s">
        <v>72</v>
      </c>
      <c r="I332" t="s">
        <v>43</v>
      </c>
      <c r="J332" t="s">
        <v>59</v>
      </c>
      <c r="K332">
        <v>1</v>
      </c>
      <c r="L332">
        <v>156.07</v>
      </c>
      <c r="M332">
        <v>0</v>
      </c>
    </row>
    <row r="333" spans="1:13" x14ac:dyDescent="0.25">
      <c r="A333" t="s">
        <v>1402</v>
      </c>
      <c r="B333" t="s">
        <v>1403</v>
      </c>
      <c r="C333" t="s">
        <v>1404</v>
      </c>
      <c r="D333" t="s">
        <v>1405</v>
      </c>
      <c r="E333" t="s">
        <v>116</v>
      </c>
      <c r="F333" t="s">
        <v>84</v>
      </c>
      <c r="G333" t="s">
        <v>412</v>
      </c>
      <c r="H333" t="s">
        <v>42</v>
      </c>
      <c r="I333" t="s">
        <v>66</v>
      </c>
      <c r="J333" t="s">
        <v>34</v>
      </c>
      <c r="K333">
        <v>7</v>
      </c>
      <c r="L333">
        <v>286.56</v>
      </c>
      <c r="M333">
        <v>0.1</v>
      </c>
    </row>
    <row r="334" spans="1:13" x14ac:dyDescent="0.25">
      <c r="A334" t="s">
        <v>1406</v>
      </c>
      <c r="B334" t="s">
        <v>1407</v>
      </c>
      <c r="C334" t="s">
        <v>1408</v>
      </c>
      <c r="D334" t="s">
        <v>1409</v>
      </c>
      <c r="E334" t="s">
        <v>48</v>
      </c>
      <c r="F334" t="s">
        <v>56</v>
      </c>
      <c r="G334" t="s">
        <v>95</v>
      </c>
      <c r="H334" t="s">
        <v>32</v>
      </c>
      <c r="I334" t="s">
        <v>96</v>
      </c>
      <c r="J334" t="s">
        <v>34</v>
      </c>
      <c r="K334">
        <v>1</v>
      </c>
      <c r="L334">
        <v>1048.81</v>
      </c>
      <c r="M334">
        <v>0</v>
      </c>
    </row>
    <row r="335" spans="1:13" x14ac:dyDescent="0.25">
      <c r="A335" t="s">
        <v>1410</v>
      </c>
      <c r="B335" t="s">
        <v>1411</v>
      </c>
      <c r="C335" t="s">
        <v>1412</v>
      </c>
      <c r="D335" t="s">
        <v>1413</v>
      </c>
      <c r="E335" t="s">
        <v>83</v>
      </c>
      <c r="F335" t="s">
        <v>49</v>
      </c>
      <c r="G335" t="s">
        <v>50</v>
      </c>
      <c r="H335" t="s">
        <v>42</v>
      </c>
      <c r="I335" t="s">
        <v>51</v>
      </c>
      <c r="J335" t="s">
        <v>34</v>
      </c>
      <c r="K335">
        <v>3</v>
      </c>
      <c r="L335">
        <v>922.87</v>
      </c>
      <c r="M335">
        <v>0.1</v>
      </c>
    </row>
    <row r="336" spans="1:13" x14ac:dyDescent="0.25">
      <c r="A336" t="s">
        <v>1414</v>
      </c>
      <c r="B336" t="s">
        <v>1415</v>
      </c>
      <c r="C336" t="s">
        <v>1416</v>
      </c>
      <c r="D336" t="s">
        <v>1417</v>
      </c>
      <c r="E336" t="s">
        <v>71</v>
      </c>
      <c r="F336" t="s">
        <v>56</v>
      </c>
      <c r="G336" t="s">
        <v>111</v>
      </c>
      <c r="H336" t="s">
        <v>72</v>
      </c>
      <c r="I336" t="s">
        <v>66</v>
      </c>
      <c r="J336" t="s">
        <v>126</v>
      </c>
      <c r="K336">
        <v>10</v>
      </c>
      <c r="L336">
        <v>1154.78</v>
      </c>
      <c r="M336">
        <v>0.2</v>
      </c>
    </row>
    <row r="337" spans="1:13" x14ac:dyDescent="0.25">
      <c r="A337" t="s">
        <v>1418</v>
      </c>
      <c r="B337" t="s">
        <v>1419</v>
      </c>
      <c r="C337" t="s">
        <v>1420</v>
      </c>
      <c r="D337" t="s">
        <v>1421</v>
      </c>
      <c r="E337" t="s">
        <v>200</v>
      </c>
      <c r="F337" t="s">
        <v>84</v>
      </c>
      <c r="G337" t="s">
        <v>264</v>
      </c>
      <c r="H337" t="s">
        <v>32</v>
      </c>
      <c r="I337" t="s">
        <v>51</v>
      </c>
      <c r="J337" t="s">
        <v>73</v>
      </c>
      <c r="K337">
        <v>9</v>
      </c>
      <c r="L337">
        <v>235.75</v>
      </c>
      <c r="M337">
        <v>0.15</v>
      </c>
    </row>
    <row r="338" spans="1:13" x14ac:dyDescent="0.25">
      <c r="A338" t="s">
        <v>1422</v>
      </c>
      <c r="B338" t="s">
        <v>1423</v>
      </c>
      <c r="C338" t="s">
        <v>1424</v>
      </c>
      <c r="D338" t="s">
        <v>1425</v>
      </c>
      <c r="E338" t="s">
        <v>48</v>
      </c>
      <c r="F338" t="s">
        <v>56</v>
      </c>
      <c r="G338" t="s">
        <v>57</v>
      </c>
      <c r="H338" t="s">
        <v>32</v>
      </c>
      <c r="I338" t="s">
        <v>33</v>
      </c>
      <c r="J338" t="s">
        <v>73</v>
      </c>
      <c r="K338">
        <v>6</v>
      </c>
      <c r="L338">
        <v>491.14</v>
      </c>
      <c r="M338">
        <v>0.05</v>
      </c>
    </row>
    <row r="339" spans="1:13" x14ac:dyDescent="0.25">
      <c r="A339" t="s">
        <v>1426</v>
      </c>
      <c r="B339" t="s">
        <v>1427</v>
      </c>
      <c r="C339" t="s">
        <v>1428</v>
      </c>
      <c r="D339" t="s">
        <v>1429</v>
      </c>
      <c r="E339" t="s">
        <v>39</v>
      </c>
      <c r="F339" t="s">
        <v>56</v>
      </c>
      <c r="G339" t="s">
        <v>57</v>
      </c>
      <c r="H339" t="s">
        <v>32</v>
      </c>
      <c r="I339" t="s">
        <v>96</v>
      </c>
      <c r="J339" t="s">
        <v>34</v>
      </c>
      <c r="K339">
        <v>10</v>
      </c>
      <c r="L339">
        <v>674.62</v>
      </c>
      <c r="M339">
        <v>0.1</v>
      </c>
    </row>
    <row r="340" spans="1:13" x14ac:dyDescent="0.25">
      <c r="A340" t="s">
        <v>1430</v>
      </c>
      <c r="B340" t="s">
        <v>1431</v>
      </c>
      <c r="C340" t="s">
        <v>1432</v>
      </c>
      <c r="D340" t="s">
        <v>1433</v>
      </c>
      <c r="E340" t="s">
        <v>64</v>
      </c>
      <c r="F340" t="s">
        <v>56</v>
      </c>
      <c r="G340" t="s">
        <v>57</v>
      </c>
      <c r="H340" t="s">
        <v>32</v>
      </c>
      <c r="I340" t="s">
        <v>51</v>
      </c>
      <c r="J340" t="s">
        <v>59</v>
      </c>
      <c r="K340">
        <v>9</v>
      </c>
      <c r="L340">
        <v>627.32000000000005</v>
      </c>
      <c r="M340">
        <v>0.15</v>
      </c>
    </row>
    <row r="341" spans="1:13" x14ac:dyDescent="0.25">
      <c r="A341" t="s">
        <v>1434</v>
      </c>
      <c r="B341" t="s">
        <v>1435</v>
      </c>
      <c r="C341" t="s">
        <v>1436</v>
      </c>
      <c r="D341" t="s">
        <v>1437</v>
      </c>
      <c r="E341" t="s">
        <v>200</v>
      </c>
      <c r="F341" t="s">
        <v>84</v>
      </c>
      <c r="G341" t="s">
        <v>412</v>
      </c>
      <c r="H341" t="s">
        <v>58</v>
      </c>
      <c r="I341" t="s">
        <v>33</v>
      </c>
      <c r="J341" t="s">
        <v>34</v>
      </c>
      <c r="K341">
        <v>4</v>
      </c>
      <c r="L341">
        <v>1240.5899999999999</v>
      </c>
      <c r="M341">
        <v>0.1</v>
      </c>
    </row>
    <row r="342" spans="1:13" x14ac:dyDescent="0.25">
      <c r="A342" t="s">
        <v>1438</v>
      </c>
      <c r="B342" t="s">
        <v>1439</v>
      </c>
      <c r="C342" t="s">
        <v>1440</v>
      </c>
      <c r="D342" t="s">
        <v>1441</v>
      </c>
      <c r="E342" t="s">
        <v>116</v>
      </c>
      <c r="F342" t="s">
        <v>56</v>
      </c>
      <c r="G342" t="s">
        <v>95</v>
      </c>
      <c r="H342" t="s">
        <v>58</v>
      </c>
      <c r="I342" t="s">
        <v>33</v>
      </c>
      <c r="J342" t="s">
        <v>59</v>
      </c>
      <c r="K342">
        <v>6</v>
      </c>
      <c r="L342">
        <v>18.260000000000002</v>
      </c>
      <c r="M342">
        <v>0.2</v>
      </c>
    </row>
    <row r="343" spans="1:13" x14ac:dyDescent="0.25">
      <c r="A343" t="s">
        <v>1442</v>
      </c>
      <c r="B343" t="s">
        <v>1443</v>
      </c>
      <c r="C343" t="s">
        <v>1444</v>
      </c>
      <c r="D343" t="s">
        <v>1445</v>
      </c>
      <c r="E343" t="s">
        <v>48</v>
      </c>
      <c r="F343" t="s">
        <v>49</v>
      </c>
      <c r="G343" t="s">
        <v>117</v>
      </c>
      <c r="H343" t="s">
        <v>32</v>
      </c>
      <c r="I343" t="s">
        <v>96</v>
      </c>
      <c r="J343" t="s">
        <v>73</v>
      </c>
      <c r="K343">
        <v>4</v>
      </c>
      <c r="L343">
        <v>392.62</v>
      </c>
      <c r="M343">
        <v>0</v>
      </c>
    </row>
    <row r="344" spans="1:13" x14ac:dyDescent="0.25">
      <c r="A344" t="s">
        <v>1446</v>
      </c>
      <c r="B344" t="s">
        <v>1447</v>
      </c>
      <c r="C344" t="s">
        <v>1448</v>
      </c>
      <c r="D344" t="s">
        <v>1449</v>
      </c>
      <c r="E344" t="s">
        <v>116</v>
      </c>
      <c r="F344" t="s">
        <v>49</v>
      </c>
      <c r="G344" t="s">
        <v>117</v>
      </c>
      <c r="H344" t="s">
        <v>42</v>
      </c>
      <c r="I344" t="s">
        <v>96</v>
      </c>
      <c r="J344" t="s">
        <v>73</v>
      </c>
      <c r="K344">
        <v>10</v>
      </c>
      <c r="L344">
        <v>1391.04</v>
      </c>
      <c r="M344">
        <v>0</v>
      </c>
    </row>
    <row r="345" spans="1:13" x14ac:dyDescent="0.25">
      <c r="A345" t="s">
        <v>1450</v>
      </c>
      <c r="B345" t="s">
        <v>1451</v>
      </c>
      <c r="C345" t="s">
        <v>1452</v>
      </c>
      <c r="D345" t="s">
        <v>1453</v>
      </c>
      <c r="E345" t="s">
        <v>64</v>
      </c>
      <c r="F345" t="s">
        <v>40</v>
      </c>
      <c r="G345" t="s">
        <v>565</v>
      </c>
      <c r="H345" t="s">
        <v>72</v>
      </c>
      <c r="I345" t="s">
        <v>33</v>
      </c>
      <c r="J345" t="s">
        <v>73</v>
      </c>
      <c r="K345">
        <v>8</v>
      </c>
      <c r="L345">
        <v>1260.6400000000001</v>
      </c>
      <c r="M345">
        <v>0.15</v>
      </c>
    </row>
    <row r="346" spans="1:13" x14ac:dyDescent="0.25">
      <c r="A346" t="s">
        <v>1454</v>
      </c>
      <c r="B346" t="s">
        <v>1455</v>
      </c>
      <c r="C346" t="s">
        <v>1456</v>
      </c>
      <c r="D346" t="s">
        <v>1457</v>
      </c>
      <c r="E346" t="s">
        <v>83</v>
      </c>
      <c r="F346" t="s">
        <v>40</v>
      </c>
      <c r="G346" t="s">
        <v>315</v>
      </c>
      <c r="H346" t="s">
        <v>72</v>
      </c>
      <c r="I346" t="s">
        <v>66</v>
      </c>
      <c r="J346" t="s">
        <v>34</v>
      </c>
      <c r="K346">
        <v>7</v>
      </c>
      <c r="L346">
        <v>763.6</v>
      </c>
      <c r="M346">
        <v>0.1</v>
      </c>
    </row>
    <row r="347" spans="1:13" x14ac:dyDescent="0.25">
      <c r="A347" t="s">
        <v>1458</v>
      </c>
      <c r="B347" t="s">
        <v>1459</v>
      </c>
      <c r="C347" t="s">
        <v>1460</v>
      </c>
      <c r="D347" t="s">
        <v>1461</v>
      </c>
      <c r="E347" t="s">
        <v>48</v>
      </c>
      <c r="F347" t="s">
        <v>30</v>
      </c>
      <c r="G347" t="s">
        <v>195</v>
      </c>
      <c r="H347" t="s">
        <v>58</v>
      </c>
      <c r="I347" t="s">
        <v>33</v>
      </c>
      <c r="J347" t="s">
        <v>73</v>
      </c>
      <c r="K347">
        <v>9</v>
      </c>
      <c r="L347">
        <v>909.75</v>
      </c>
      <c r="M347">
        <v>0.05</v>
      </c>
    </row>
    <row r="348" spans="1:13" x14ac:dyDescent="0.25">
      <c r="A348" t="s">
        <v>1462</v>
      </c>
      <c r="B348" t="s">
        <v>1463</v>
      </c>
      <c r="C348" t="s">
        <v>1464</v>
      </c>
      <c r="D348" t="s">
        <v>1465</v>
      </c>
      <c r="E348" t="s">
        <v>29</v>
      </c>
      <c r="F348" t="s">
        <v>84</v>
      </c>
      <c r="G348" t="s">
        <v>85</v>
      </c>
      <c r="H348" t="s">
        <v>58</v>
      </c>
      <c r="I348" t="s">
        <v>51</v>
      </c>
      <c r="J348" t="s">
        <v>59</v>
      </c>
      <c r="K348">
        <v>3</v>
      </c>
      <c r="L348">
        <v>1472.28</v>
      </c>
      <c r="M348">
        <v>0.15</v>
      </c>
    </row>
    <row r="349" spans="1:13" x14ac:dyDescent="0.25">
      <c r="A349" t="s">
        <v>1466</v>
      </c>
      <c r="B349" t="s">
        <v>1467</v>
      </c>
      <c r="C349" t="s">
        <v>1468</v>
      </c>
      <c r="D349" t="s">
        <v>1469</v>
      </c>
      <c r="E349" t="s">
        <v>149</v>
      </c>
      <c r="F349" t="s">
        <v>40</v>
      </c>
      <c r="G349" t="s">
        <v>315</v>
      </c>
      <c r="H349" t="s">
        <v>32</v>
      </c>
      <c r="I349" t="s">
        <v>51</v>
      </c>
      <c r="J349" t="s">
        <v>34</v>
      </c>
      <c r="K349">
        <v>7</v>
      </c>
      <c r="L349">
        <v>1318.05</v>
      </c>
      <c r="M349">
        <v>0</v>
      </c>
    </row>
    <row r="350" spans="1:13" x14ac:dyDescent="0.25">
      <c r="A350" t="s">
        <v>1470</v>
      </c>
      <c r="B350" t="s">
        <v>1471</v>
      </c>
      <c r="C350" t="s">
        <v>1472</v>
      </c>
      <c r="D350" t="s">
        <v>1473</v>
      </c>
      <c r="E350" t="s">
        <v>39</v>
      </c>
      <c r="F350" t="s">
        <v>84</v>
      </c>
      <c r="G350" t="s">
        <v>85</v>
      </c>
      <c r="H350" t="s">
        <v>32</v>
      </c>
      <c r="I350" t="s">
        <v>66</v>
      </c>
      <c r="J350" t="s">
        <v>73</v>
      </c>
      <c r="K350">
        <v>5</v>
      </c>
      <c r="L350">
        <v>1475.55</v>
      </c>
      <c r="M350">
        <v>0</v>
      </c>
    </row>
    <row r="351" spans="1:13" x14ac:dyDescent="0.25">
      <c r="A351" t="s">
        <v>1474</v>
      </c>
      <c r="B351" t="s">
        <v>1475</v>
      </c>
      <c r="C351" t="s">
        <v>1476</v>
      </c>
      <c r="D351" t="s">
        <v>1477</v>
      </c>
      <c r="E351" t="s">
        <v>200</v>
      </c>
      <c r="F351" t="s">
        <v>56</v>
      </c>
      <c r="G351" t="s">
        <v>111</v>
      </c>
      <c r="H351" t="s">
        <v>42</v>
      </c>
      <c r="I351" t="s">
        <v>43</v>
      </c>
      <c r="J351" t="s">
        <v>59</v>
      </c>
      <c r="K351">
        <v>9</v>
      </c>
      <c r="L351">
        <v>1304.03</v>
      </c>
      <c r="M351">
        <v>0</v>
      </c>
    </row>
    <row r="352" spans="1:13" x14ac:dyDescent="0.25">
      <c r="A352" t="s">
        <v>1478</v>
      </c>
      <c r="B352" t="s">
        <v>1479</v>
      </c>
      <c r="C352" t="s">
        <v>1480</v>
      </c>
      <c r="D352" t="s">
        <v>1481</v>
      </c>
      <c r="E352" t="s">
        <v>149</v>
      </c>
      <c r="F352" t="s">
        <v>84</v>
      </c>
      <c r="G352" t="s">
        <v>90</v>
      </c>
      <c r="H352" t="s">
        <v>42</v>
      </c>
      <c r="I352" t="s">
        <v>43</v>
      </c>
      <c r="J352" t="s">
        <v>59</v>
      </c>
      <c r="K352">
        <v>5</v>
      </c>
      <c r="L352">
        <v>94.9</v>
      </c>
      <c r="M352">
        <v>0</v>
      </c>
    </row>
    <row r="353" spans="1:13" x14ac:dyDescent="0.25">
      <c r="A353" t="s">
        <v>1482</v>
      </c>
      <c r="B353" t="s">
        <v>1483</v>
      </c>
      <c r="C353" t="s">
        <v>1484</v>
      </c>
      <c r="D353" t="s">
        <v>1485</v>
      </c>
      <c r="E353" t="s">
        <v>39</v>
      </c>
      <c r="F353" t="s">
        <v>30</v>
      </c>
      <c r="G353" t="s">
        <v>65</v>
      </c>
      <c r="H353" t="s">
        <v>72</v>
      </c>
      <c r="I353" t="s">
        <v>33</v>
      </c>
      <c r="J353" t="s">
        <v>126</v>
      </c>
      <c r="K353">
        <v>2</v>
      </c>
      <c r="L353">
        <v>681.49</v>
      </c>
      <c r="M353">
        <v>0</v>
      </c>
    </row>
    <row r="354" spans="1:13" x14ac:dyDescent="0.25">
      <c r="A354" t="s">
        <v>1486</v>
      </c>
      <c r="B354" t="s">
        <v>1487</v>
      </c>
      <c r="C354" t="s">
        <v>1488</v>
      </c>
      <c r="D354" t="s">
        <v>1489</v>
      </c>
      <c r="E354" t="s">
        <v>78</v>
      </c>
      <c r="F354" t="s">
        <v>84</v>
      </c>
      <c r="G354" t="s">
        <v>85</v>
      </c>
      <c r="H354" t="s">
        <v>58</v>
      </c>
      <c r="I354" t="s">
        <v>96</v>
      </c>
      <c r="J354" t="s">
        <v>73</v>
      </c>
      <c r="K354">
        <v>5</v>
      </c>
      <c r="L354">
        <v>253.98</v>
      </c>
      <c r="M354">
        <v>0</v>
      </c>
    </row>
    <row r="355" spans="1:13" x14ac:dyDescent="0.25">
      <c r="A355" t="s">
        <v>1490</v>
      </c>
      <c r="B355" t="s">
        <v>1491</v>
      </c>
      <c r="C355" t="s">
        <v>1492</v>
      </c>
      <c r="D355" t="s">
        <v>1493</v>
      </c>
      <c r="E355" t="s">
        <v>64</v>
      </c>
      <c r="F355" t="s">
        <v>40</v>
      </c>
      <c r="G355" t="s">
        <v>315</v>
      </c>
      <c r="H355" t="s">
        <v>58</v>
      </c>
      <c r="I355" t="s">
        <v>51</v>
      </c>
      <c r="J355" t="s">
        <v>59</v>
      </c>
      <c r="K355">
        <v>10</v>
      </c>
      <c r="L355">
        <v>743.47</v>
      </c>
      <c r="M355">
        <v>0.15</v>
      </c>
    </row>
    <row r="356" spans="1:13" x14ac:dyDescent="0.25">
      <c r="A356" t="s">
        <v>1494</v>
      </c>
      <c r="B356" t="s">
        <v>1495</v>
      </c>
      <c r="C356" t="s">
        <v>1496</v>
      </c>
      <c r="D356" t="s">
        <v>1497</v>
      </c>
      <c r="E356" t="s">
        <v>116</v>
      </c>
      <c r="F356" t="s">
        <v>40</v>
      </c>
      <c r="G356" t="s">
        <v>106</v>
      </c>
      <c r="H356" t="s">
        <v>32</v>
      </c>
      <c r="I356" t="s">
        <v>66</v>
      </c>
      <c r="J356" t="s">
        <v>73</v>
      </c>
      <c r="K356">
        <v>9</v>
      </c>
      <c r="L356">
        <v>632.66</v>
      </c>
      <c r="M356">
        <v>0.1</v>
      </c>
    </row>
    <row r="357" spans="1:13" x14ac:dyDescent="0.25">
      <c r="A357" t="s">
        <v>1498</v>
      </c>
      <c r="B357" t="s">
        <v>1499</v>
      </c>
      <c r="C357" t="s">
        <v>1500</v>
      </c>
      <c r="D357" t="s">
        <v>1501</v>
      </c>
      <c r="E357" t="s">
        <v>71</v>
      </c>
      <c r="F357" t="s">
        <v>84</v>
      </c>
      <c r="G357" t="s">
        <v>85</v>
      </c>
      <c r="H357" t="s">
        <v>42</v>
      </c>
      <c r="I357" t="s">
        <v>33</v>
      </c>
      <c r="J357" t="s">
        <v>126</v>
      </c>
      <c r="K357">
        <v>10</v>
      </c>
      <c r="L357">
        <v>1426.21</v>
      </c>
      <c r="M357">
        <v>0.15</v>
      </c>
    </row>
    <row r="358" spans="1:13" x14ac:dyDescent="0.25">
      <c r="A358" t="s">
        <v>1502</v>
      </c>
      <c r="B358" t="s">
        <v>1503</v>
      </c>
      <c r="C358" t="s">
        <v>1504</v>
      </c>
      <c r="D358" t="s">
        <v>1505</v>
      </c>
      <c r="E358" t="s">
        <v>39</v>
      </c>
      <c r="F358" t="s">
        <v>40</v>
      </c>
      <c r="G358" t="s">
        <v>41</v>
      </c>
      <c r="H358" t="s">
        <v>58</v>
      </c>
      <c r="I358" t="s">
        <v>96</v>
      </c>
      <c r="J358" t="s">
        <v>126</v>
      </c>
      <c r="K358">
        <v>1</v>
      </c>
      <c r="L358">
        <v>377.08</v>
      </c>
      <c r="M358">
        <v>0.2</v>
      </c>
    </row>
    <row r="359" spans="1:13" x14ac:dyDescent="0.25">
      <c r="A359" t="s">
        <v>1506</v>
      </c>
      <c r="B359" t="s">
        <v>1507</v>
      </c>
      <c r="C359" t="s">
        <v>1508</v>
      </c>
      <c r="D359" t="s">
        <v>1509</v>
      </c>
      <c r="E359" t="s">
        <v>29</v>
      </c>
      <c r="F359" t="s">
        <v>56</v>
      </c>
      <c r="G359" t="s">
        <v>111</v>
      </c>
      <c r="H359" t="s">
        <v>42</v>
      </c>
      <c r="I359" t="s">
        <v>96</v>
      </c>
      <c r="J359" t="s">
        <v>126</v>
      </c>
      <c r="K359">
        <v>6</v>
      </c>
      <c r="L359">
        <v>1235.83</v>
      </c>
      <c r="M359">
        <v>0.15</v>
      </c>
    </row>
    <row r="360" spans="1:13" x14ac:dyDescent="0.25">
      <c r="A360" t="s">
        <v>1510</v>
      </c>
      <c r="B360" t="s">
        <v>1511</v>
      </c>
      <c r="C360" t="s">
        <v>1512</v>
      </c>
      <c r="D360" t="s">
        <v>1513</v>
      </c>
      <c r="E360" t="s">
        <v>78</v>
      </c>
      <c r="F360" t="s">
        <v>56</v>
      </c>
      <c r="G360" t="s">
        <v>101</v>
      </c>
      <c r="H360" t="s">
        <v>32</v>
      </c>
      <c r="I360" t="s">
        <v>51</v>
      </c>
      <c r="J360" t="s">
        <v>73</v>
      </c>
      <c r="K360">
        <v>9</v>
      </c>
      <c r="L360">
        <v>263.58</v>
      </c>
      <c r="M360">
        <v>0.15</v>
      </c>
    </row>
    <row r="361" spans="1:13" x14ac:dyDescent="0.25">
      <c r="A361" t="s">
        <v>1514</v>
      </c>
      <c r="B361" t="s">
        <v>1515</v>
      </c>
      <c r="C361" t="s">
        <v>1516</v>
      </c>
      <c r="D361" t="s">
        <v>1517</v>
      </c>
      <c r="E361" t="s">
        <v>149</v>
      </c>
      <c r="F361" t="s">
        <v>56</v>
      </c>
      <c r="G361" t="s">
        <v>95</v>
      </c>
      <c r="H361" t="s">
        <v>32</v>
      </c>
      <c r="I361" t="s">
        <v>43</v>
      </c>
      <c r="J361" t="s">
        <v>126</v>
      </c>
      <c r="K361">
        <v>7</v>
      </c>
      <c r="L361">
        <v>813.57</v>
      </c>
      <c r="M361">
        <v>0.2</v>
      </c>
    </row>
    <row r="362" spans="1:13" x14ac:dyDescent="0.25">
      <c r="A362" t="s">
        <v>1518</v>
      </c>
      <c r="B362" t="s">
        <v>1519</v>
      </c>
      <c r="C362" t="s">
        <v>1520</v>
      </c>
      <c r="D362" t="s">
        <v>1521</v>
      </c>
      <c r="E362" t="s">
        <v>116</v>
      </c>
      <c r="F362" t="s">
        <v>56</v>
      </c>
      <c r="G362" t="s">
        <v>95</v>
      </c>
      <c r="H362" t="s">
        <v>72</v>
      </c>
      <c r="I362" t="s">
        <v>66</v>
      </c>
      <c r="J362" t="s">
        <v>34</v>
      </c>
      <c r="K362">
        <v>9</v>
      </c>
      <c r="L362">
        <v>1194.4100000000001</v>
      </c>
      <c r="M362">
        <v>0</v>
      </c>
    </row>
    <row r="363" spans="1:13" x14ac:dyDescent="0.25">
      <c r="A363" t="s">
        <v>1522</v>
      </c>
      <c r="B363" t="s">
        <v>1523</v>
      </c>
      <c r="C363" t="s">
        <v>1524</v>
      </c>
      <c r="D363" t="s">
        <v>1525</v>
      </c>
      <c r="E363" t="s">
        <v>149</v>
      </c>
      <c r="F363" t="s">
        <v>84</v>
      </c>
      <c r="G363" t="s">
        <v>205</v>
      </c>
      <c r="H363" t="s">
        <v>32</v>
      </c>
      <c r="I363" t="s">
        <v>33</v>
      </c>
      <c r="J363" t="s">
        <v>126</v>
      </c>
      <c r="K363">
        <v>2</v>
      </c>
      <c r="L363">
        <v>593.41</v>
      </c>
      <c r="M363">
        <v>0.15</v>
      </c>
    </row>
    <row r="364" spans="1:13" x14ac:dyDescent="0.25">
      <c r="A364" t="s">
        <v>1526</v>
      </c>
      <c r="B364" t="s">
        <v>1527</v>
      </c>
      <c r="C364" t="s">
        <v>1528</v>
      </c>
      <c r="D364" t="s">
        <v>1529</v>
      </c>
      <c r="E364" t="s">
        <v>116</v>
      </c>
      <c r="F364" t="s">
        <v>84</v>
      </c>
      <c r="G364" t="s">
        <v>90</v>
      </c>
      <c r="H364" t="s">
        <v>32</v>
      </c>
      <c r="I364" t="s">
        <v>66</v>
      </c>
      <c r="J364" t="s">
        <v>34</v>
      </c>
      <c r="K364">
        <v>5</v>
      </c>
      <c r="L364">
        <v>172.61</v>
      </c>
      <c r="M364">
        <v>0.15</v>
      </c>
    </row>
    <row r="365" spans="1:13" x14ac:dyDescent="0.25">
      <c r="A365" t="s">
        <v>1530</v>
      </c>
      <c r="B365" t="s">
        <v>1531</v>
      </c>
      <c r="C365" t="s">
        <v>1532</v>
      </c>
      <c r="D365" t="s">
        <v>1533</v>
      </c>
      <c r="E365" t="s">
        <v>200</v>
      </c>
      <c r="F365" t="s">
        <v>30</v>
      </c>
      <c r="G365" t="s">
        <v>139</v>
      </c>
      <c r="H365" t="s">
        <v>58</v>
      </c>
      <c r="I365" t="s">
        <v>43</v>
      </c>
      <c r="J365" t="s">
        <v>59</v>
      </c>
      <c r="K365">
        <v>7</v>
      </c>
      <c r="L365">
        <v>341.5</v>
      </c>
      <c r="M365">
        <v>0.15</v>
      </c>
    </row>
    <row r="366" spans="1:13" x14ac:dyDescent="0.25">
      <c r="A366" t="s">
        <v>1534</v>
      </c>
      <c r="B366" t="s">
        <v>1535</v>
      </c>
      <c r="C366" t="s">
        <v>1536</v>
      </c>
      <c r="D366" t="s">
        <v>1537</v>
      </c>
      <c r="E366" t="s">
        <v>78</v>
      </c>
      <c r="F366" t="s">
        <v>40</v>
      </c>
      <c r="G366" t="s">
        <v>106</v>
      </c>
      <c r="H366" t="s">
        <v>42</v>
      </c>
      <c r="I366" t="s">
        <v>33</v>
      </c>
      <c r="J366" t="s">
        <v>126</v>
      </c>
      <c r="K366">
        <v>1</v>
      </c>
      <c r="L366">
        <v>198</v>
      </c>
      <c r="M366">
        <v>0.15</v>
      </c>
    </row>
    <row r="367" spans="1:13" x14ac:dyDescent="0.25">
      <c r="A367" t="s">
        <v>1538</v>
      </c>
      <c r="B367" t="s">
        <v>1539</v>
      </c>
      <c r="C367" t="s">
        <v>1540</v>
      </c>
      <c r="D367" t="s">
        <v>1541</v>
      </c>
      <c r="E367" t="s">
        <v>71</v>
      </c>
      <c r="F367" t="s">
        <v>30</v>
      </c>
      <c r="G367" t="s">
        <v>195</v>
      </c>
      <c r="H367" t="s">
        <v>72</v>
      </c>
      <c r="I367" t="s">
        <v>43</v>
      </c>
      <c r="J367" t="s">
        <v>73</v>
      </c>
      <c r="K367">
        <v>9</v>
      </c>
      <c r="L367">
        <v>1359.86</v>
      </c>
      <c r="M367">
        <v>0</v>
      </c>
    </row>
    <row r="368" spans="1:13" x14ac:dyDescent="0.25">
      <c r="A368" t="s">
        <v>1542</v>
      </c>
      <c r="B368" t="s">
        <v>1543</v>
      </c>
      <c r="C368" t="s">
        <v>1544</v>
      </c>
      <c r="D368" t="s">
        <v>1545</v>
      </c>
      <c r="E368" t="s">
        <v>48</v>
      </c>
      <c r="F368" t="s">
        <v>40</v>
      </c>
      <c r="G368" t="s">
        <v>144</v>
      </c>
      <c r="H368" t="s">
        <v>32</v>
      </c>
      <c r="I368" t="s">
        <v>66</v>
      </c>
      <c r="J368" t="s">
        <v>126</v>
      </c>
      <c r="K368">
        <v>9</v>
      </c>
      <c r="L368">
        <v>1279.31</v>
      </c>
      <c r="M368">
        <v>0.1</v>
      </c>
    </row>
    <row r="369" spans="1:13" x14ac:dyDescent="0.25">
      <c r="A369" t="s">
        <v>1546</v>
      </c>
      <c r="B369" t="s">
        <v>1547</v>
      </c>
      <c r="C369" t="s">
        <v>1548</v>
      </c>
      <c r="D369" t="s">
        <v>1549</v>
      </c>
      <c r="E369" t="s">
        <v>83</v>
      </c>
      <c r="F369" t="s">
        <v>49</v>
      </c>
      <c r="G369" t="s">
        <v>50</v>
      </c>
      <c r="H369" t="s">
        <v>58</v>
      </c>
      <c r="I369" t="s">
        <v>33</v>
      </c>
      <c r="J369" t="s">
        <v>126</v>
      </c>
      <c r="K369">
        <v>4</v>
      </c>
      <c r="L369">
        <v>545.35</v>
      </c>
      <c r="M369">
        <v>0</v>
      </c>
    </row>
    <row r="370" spans="1:13" x14ac:dyDescent="0.25">
      <c r="A370" t="s">
        <v>1550</v>
      </c>
      <c r="B370" t="s">
        <v>1551</v>
      </c>
      <c r="C370" t="s">
        <v>1552</v>
      </c>
      <c r="D370" t="s">
        <v>1553</v>
      </c>
      <c r="E370" t="s">
        <v>71</v>
      </c>
      <c r="F370" t="s">
        <v>40</v>
      </c>
      <c r="G370" t="s">
        <v>315</v>
      </c>
      <c r="H370" t="s">
        <v>58</v>
      </c>
      <c r="I370" t="s">
        <v>66</v>
      </c>
      <c r="J370" t="s">
        <v>34</v>
      </c>
      <c r="K370">
        <v>3</v>
      </c>
      <c r="L370">
        <v>1044.79</v>
      </c>
      <c r="M370">
        <v>0.15</v>
      </c>
    </row>
    <row r="371" spans="1:13" x14ac:dyDescent="0.25">
      <c r="A371" t="s">
        <v>1554</v>
      </c>
      <c r="B371" t="s">
        <v>1555</v>
      </c>
      <c r="C371" t="s">
        <v>1556</v>
      </c>
      <c r="D371" t="s">
        <v>1557</v>
      </c>
      <c r="E371" t="s">
        <v>39</v>
      </c>
      <c r="F371" t="s">
        <v>49</v>
      </c>
      <c r="G371" t="s">
        <v>50</v>
      </c>
      <c r="H371" t="s">
        <v>58</v>
      </c>
      <c r="I371" t="s">
        <v>96</v>
      </c>
      <c r="J371" t="s">
        <v>34</v>
      </c>
      <c r="K371">
        <v>3</v>
      </c>
      <c r="L371">
        <v>1262.56</v>
      </c>
      <c r="M371">
        <v>0.2</v>
      </c>
    </row>
    <row r="372" spans="1:13" x14ac:dyDescent="0.25">
      <c r="A372" t="s">
        <v>1558</v>
      </c>
      <c r="B372" t="s">
        <v>1559</v>
      </c>
      <c r="C372" t="s">
        <v>1560</v>
      </c>
      <c r="D372" t="s">
        <v>1561</v>
      </c>
      <c r="E372" t="s">
        <v>78</v>
      </c>
      <c r="F372" t="s">
        <v>56</v>
      </c>
      <c r="G372" t="s">
        <v>95</v>
      </c>
      <c r="H372" t="s">
        <v>72</v>
      </c>
      <c r="I372" t="s">
        <v>33</v>
      </c>
      <c r="J372" t="s">
        <v>73</v>
      </c>
      <c r="K372">
        <v>2</v>
      </c>
      <c r="L372">
        <v>973.64</v>
      </c>
      <c r="M372">
        <v>0.05</v>
      </c>
    </row>
    <row r="373" spans="1:13" x14ac:dyDescent="0.25">
      <c r="A373" t="s">
        <v>1562</v>
      </c>
      <c r="B373" t="s">
        <v>1563</v>
      </c>
      <c r="C373" t="s">
        <v>1564</v>
      </c>
      <c r="D373" t="s">
        <v>1565</v>
      </c>
      <c r="E373" t="s">
        <v>116</v>
      </c>
      <c r="F373" t="s">
        <v>56</v>
      </c>
      <c r="G373" t="s">
        <v>111</v>
      </c>
      <c r="H373" t="s">
        <v>42</v>
      </c>
      <c r="I373" t="s">
        <v>33</v>
      </c>
      <c r="J373" t="s">
        <v>73</v>
      </c>
      <c r="K373">
        <v>10</v>
      </c>
      <c r="L373">
        <v>952.97</v>
      </c>
      <c r="M373">
        <v>0.15</v>
      </c>
    </row>
    <row r="374" spans="1:13" x14ac:dyDescent="0.25">
      <c r="A374" t="s">
        <v>1566</v>
      </c>
      <c r="B374" t="s">
        <v>1567</v>
      </c>
      <c r="C374" t="s">
        <v>1568</v>
      </c>
      <c r="D374" t="s">
        <v>1569</v>
      </c>
      <c r="E374" t="s">
        <v>78</v>
      </c>
      <c r="F374" t="s">
        <v>49</v>
      </c>
      <c r="G374" t="s">
        <v>286</v>
      </c>
      <c r="H374" t="s">
        <v>58</v>
      </c>
      <c r="I374" t="s">
        <v>43</v>
      </c>
      <c r="J374" t="s">
        <v>34</v>
      </c>
      <c r="K374">
        <v>4</v>
      </c>
      <c r="L374">
        <v>558.24</v>
      </c>
      <c r="M374">
        <v>0.15</v>
      </c>
    </row>
    <row r="375" spans="1:13" x14ac:dyDescent="0.25">
      <c r="A375" t="s">
        <v>1570</v>
      </c>
      <c r="B375" t="s">
        <v>1571</v>
      </c>
      <c r="C375" t="s">
        <v>1572</v>
      </c>
      <c r="D375" t="s">
        <v>1573</v>
      </c>
      <c r="E375" t="s">
        <v>71</v>
      </c>
      <c r="F375" t="s">
        <v>40</v>
      </c>
      <c r="G375" t="s">
        <v>144</v>
      </c>
      <c r="H375" t="s">
        <v>72</v>
      </c>
      <c r="I375" t="s">
        <v>33</v>
      </c>
      <c r="J375" t="s">
        <v>73</v>
      </c>
      <c r="K375">
        <v>10</v>
      </c>
      <c r="L375">
        <v>999.08</v>
      </c>
      <c r="M375">
        <v>0.2</v>
      </c>
    </row>
    <row r="376" spans="1:13" x14ac:dyDescent="0.25">
      <c r="A376" t="s">
        <v>1574</v>
      </c>
      <c r="B376" t="s">
        <v>1575</v>
      </c>
      <c r="C376" t="s">
        <v>1576</v>
      </c>
      <c r="D376" t="s">
        <v>1577</v>
      </c>
      <c r="E376" t="s">
        <v>83</v>
      </c>
      <c r="F376" t="s">
        <v>30</v>
      </c>
      <c r="G376" t="s">
        <v>195</v>
      </c>
      <c r="H376" t="s">
        <v>42</v>
      </c>
      <c r="I376" t="s">
        <v>43</v>
      </c>
      <c r="J376" t="s">
        <v>126</v>
      </c>
      <c r="K376">
        <v>1</v>
      </c>
      <c r="L376">
        <v>1409.68</v>
      </c>
      <c r="M376">
        <v>0</v>
      </c>
    </row>
    <row r="377" spans="1:13" x14ac:dyDescent="0.25">
      <c r="A377" t="s">
        <v>1578</v>
      </c>
      <c r="B377" t="s">
        <v>1579</v>
      </c>
      <c r="C377" t="s">
        <v>1580</v>
      </c>
      <c r="D377" t="s">
        <v>1581</v>
      </c>
      <c r="E377" t="s">
        <v>39</v>
      </c>
      <c r="F377" t="s">
        <v>40</v>
      </c>
      <c r="G377" t="s">
        <v>315</v>
      </c>
      <c r="H377" t="s">
        <v>32</v>
      </c>
      <c r="I377" t="s">
        <v>66</v>
      </c>
      <c r="J377" t="s">
        <v>126</v>
      </c>
      <c r="K377">
        <v>8</v>
      </c>
      <c r="L377">
        <v>591.32000000000005</v>
      </c>
      <c r="M377">
        <v>0</v>
      </c>
    </row>
    <row r="378" spans="1:13" x14ac:dyDescent="0.25">
      <c r="A378" t="s">
        <v>1582</v>
      </c>
      <c r="B378" t="s">
        <v>1583</v>
      </c>
      <c r="C378" t="s">
        <v>1584</v>
      </c>
      <c r="D378" t="s">
        <v>1585</v>
      </c>
      <c r="E378" t="s">
        <v>29</v>
      </c>
      <c r="F378" t="s">
        <v>40</v>
      </c>
      <c r="G378" t="s">
        <v>41</v>
      </c>
      <c r="H378" t="s">
        <v>42</v>
      </c>
      <c r="I378" t="s">
        <v>66</v>
      </c>
      <c r="J378" t="s">
        <v>126</v>
      </c>
      <c r="K378">
        <v>7</v>
      </c>
      <c r="L378">
        <v>861.69</v>
      </c>
      <c r="M378">
        <v>0.2</v>
      </c>
    </row>
    <row r="379" spans="1:13" x14ac:dyDescent="0.25">
      <c r="A379" t="s">
        <v>1586</v>
      </c>
      <c r="B379" t="s">
        <v>1587</v>
      </c>
      <c r="C379" t="s">
        <v>1588</v>
      </c>
      <c r="D379" t="s">
        <v>1589</v>
      </c>
      <c r="E379" t="s">
        <v>39</v>
      </c>
      <c r="F379" t="s">
        <v>40</v>
      </c>
      <c r="G379" t="s">
        <v>565</v>
      </c>
      <c r="H379" t="s">
        <v>42</v>
      </c>
      <c r="I379" t="s">
        <v>33</v>
      </c>
      <c r="J379" t="s">
        <v>126</v>
      </c>
      <c r="K379">
        <v>6</v>
      </c>
      <c r="L379">
        <v>539.04999999999995</v>
      </c>
      <c r="M379">
        <v>0.1</v>
      </c>
    </row>
    <row r="380" spans="1:13" x14ac:dyDescent="0.25">
      <c r="A380" t="s">
        <v>1590</v>
      </c>
      <c r="B380" t="s">
        <v>1591</v>
      </c>
      <c r="C380" t="s">
        <v>1592</v>
      </c>
      <c r="D380" t="s">
        <v>1593</v>
      </c>
      <c r="E380" t="s">
        <v>39</v>
      </c>
      <c r="F380" t="s">
        <v>56</v>
      </c>
      <c r="G380" t="s">
        <v>111</v>
      </c>
      <c r="H380" t="s">
        <v>72</v>
      </c>
      <c r="I380" t="s">
        <v>43</v>
      </c>
      <c r="J380" t="s">
        <v>59</v>
      </c>
      <c r="K380">
        <v>4</v>
      </c>
      <c r="L380">
        <v>970.56</v>
      </c>
      <c r="M380">
        <v>0</v>
      </c>
    </row>
    <row r="381" spans="1:13" x14ac:dyDescent="0.25">
      <c r="A381" t="s">
        <v>1594</v>
      </c>
      <c r="B381" t="s">
        <v>1595</v>
      </c>
      <c r="C381" t="s">
        <v>1596</v>
      </c>
      <c r="D381" t="s">
        <v>1597</v>
      </c>
      <c r="E381" t="s">
        <v>149</v>
      </c>
      <c r="F381" t="s">
        <v>84</v>
      </c>
      <c r="G381" t="s">
        <v>205</v>
      </c>
      <c r="H381" t="s">
        <v>72</v>
      </c>
      <c r="I381" t="s">
        <v>33</v>
      </c>
      <c r="J381" t="s">
        <v>73</v>
      </c>
      <c r="K381">
        <v>8</v>
      </c>
      <c r="L381">
        <v>730.05</v>
      </c>
      <c r="M381">
        <v>0.1</v>
      </c>
    </row>
    <row r="382" spans="1:13" x14ac:dyDescent="0.25">
      <c r="A382" t="s">
        <v>1598</v>
      </c>
      <c r="B382" t="s">
        <v>1599</v>
      </c>
      <c r="C382" t="s">
        <v>1600</v>
      </c>
      <c r="D382" t="s">
        <v>1601</v>
      </c>
      <c r="E382" t="s">
        <v>64</v>
      </c>
      <c r="F382" t="s">
        <v>30</v>
      </c>
      <c r="G382" t="s">
        <v>139</v>
      </c>
      <c r="H382" t="s">
        <v>32</v>
      </c>
      <c r="I382" t="s">
        <v>33</v>
      </c>
      <c r="J382" t="s">
        <v>73</v>
      </c>
      <c r="K382">
        <v>3</v>
      </c>
      <c r="L382">
        <v>894.64</v>
      </c>
      <c r="M382">
        <v>0.2</v>
      </c>
    </row>
    <row r="383" spans="1:13" x14ac:dyDescent="0.25">
      <c r="A383" t="s">
        <v>1602</v>
      </c>
      <c r="B383" t="s">
        <v>1603</v>
      </c>
      <c r="C383" t="s">
        <v>1604</v>
      </c>
      <c r="D383" t="s">
        <v>1605</v>
      </c>
      <c r="E383" t="s">
        <v>48</v>
      </c>
      <c r="F383" t="s">
        <v>40</v>
      </c>
      <c r="G383" t="s">
        <v>565</v>
      </c>
      <c r="H383" t="s">
        <v>32</v>
      </c>
      <c r="I383" t="s">
        <v>66</v>
      </c>
      <c r="J383" t="s">
        <v>126</v>
      </c>
      <c r="K383">
        <v>10</v>
      </c>
      <c r="L383">
        <v>905.05</v>
      </c>
      <c r="M383">
        <v>0.2</v>
      </c>
    </row>
    <row r="384" spans="1:13" x14ac:dyDescent="0.25">
      <c r="A384" t="s">
        <v>1606</v>
      </c>
      <c r="B384" t="s">
        <v>1607</v>
      </c>
      <c r="C384" t="s">
        <v>1608</v>
      </c>
      <c r="D384" t="s">
        <v>1609</v>
      </c>
      <c r="E384" t="s">
        <v>200</v>
      </c>
      <c r="F384" t="s">
        <v>30</v>
      </c>
      <c r="G384" t="s">
        <v>31</v>
      </c>
      <c r="H384" t="s">
        <v>72</v>
      </c>
      <c r="I384" t="s">
        <v>33</v>
      </c>
      <c r="J384" t="s">
        <v>59</v>
      </c>
      <c r="K384">
        <v>10</v>
      </c>
      <c r="L384">
        <v>1248.0899999999999</v>
      </c>
      <c r="M384">
        <v>0</v>
      </c>
    </row>
    <row r="385" spans="1:13" x14ac:dyDescent="0.25">
      <c r="A385" t="s">
        <v>1610</v>
      </c>
      <c r="B385" t="s">
        <v>1611</v>
      </c>
      <c r="C385" t="s">
        <v>1612</v>
      </c>
      <c r="D385" t="s">
        <v>1613</v>
      </c>
      <c r="E385" t="s">
        <v>200</v>
      </c>
      <c r="F385" t="s">
        <v>40</v>
      </c>
      <c r="G385" t="s">
        <v>41</v>
      </c>
      <c r="H385" t="s">
        <v>72</v>
      </c>
      <c r="I385" t="s">
        <v>51</v>
      </c>
      <c r="J385" t="s">
        <v>126</v>
      </c>
      <c r="K385">
        <v>7</v>
      </c>
      <c r="L385">
        <v>117.23</v>
      </c>
      <c r="M385">
        <v>0.1</v>
      </c>
    </row>
    <row r="386" spans="1:13" x14ac:dyDescent="0.25">
      <c r="A386" t="s">
        <v>1614</v>
      </c>
      <c r="B386" t="s">
        <v>1615</v>
      </c>
      <c r="C386" t="s">
        <v>1616</v>
      </c>
      <c r="D386" t="s">
        <v>1617</v>
      </c>
      <c r="E386" t="s">
        <v>149</v>
      </c>
      <c r="F386" t="s">
        <v>30</v>
      </c>
      <c r="G386" t="s">
        <v>139</v>
      </c>
      <c r="H386" t="s">
        <v>32</v>
      </c>
      <c r="I386" t="s">
        <v>33</v>
      </c>
      <c r="J386" t="s">
        <v>126</v>
      </c>
      <c r="K386">
        <v>8</v>
      </c>
      <c r="L386">
        <v>158</v>
      </c>
      <c r="M386">
        <v>0.15</v>
      </c>
    </row>
    <row r="387" spans="1:13" x14ac:dyDescent="0.25">
      <c r="A387" t="s">
        <v>1618</v>
      </c>
      <c r="B387" t="s">
        <v>1619</v>
      </c>
      <c r="C387" t="s">
        <v>1620</v>
      </c>
      <c r="D387" t="s">
        <v>1621</v>
      </c>
      <c r="E387" t="s">
        <v>83</v>
      </c>
      <c r="F387" t="s">
        <v>40</v>
      </c>
      <c r="G387" t="s">
        <v>144</v>
      </c>
      <c r="H387" t="s">
        <v>42</v>
      </c>
      <c r="I387" t="s">
        <v>66</v>
      </c>
      <c r="J387" t="s">
        <v>126</v>
      </c>
      <c r="K387">
        <v>7</v>
      </c>
      <c r="L387">
        <v>1347</v>
      </c>
      <c r="M387">
        <v>0.15</v>
      </c>
    </row>
    <row r="388" spans="1:13" x14ac:dyDescent="0.25">
      <c r="A388" t="s">
        <v>1622</v>
      </c>
      <c r="B388" t="s">
        <v>1623</v>
      </c>
      <c r="C388" t="s">
        <v>1624</v>
      </c>
      <c r="D388" t="s">
        <v>1625</v>
      </c>
      <c r="E388" t="s">
        <v>200</v>
      </c>
      <c r="F388" t="s">
        <v>49</v>
      </c>
      <c r="G388" t="s">
        <v>50</v>
      </c>
      <c r="H388" t="s">
        <v>42</v>
      </c>
      <c r="I388" t="s">
        <v>43</v>
      </c>
      <c r="J388" t="s">
        <v>59</v>
      </c>
      <c r="K388">
        <v>10</v>
      </c>
      <c r="L388">
        <v>889.74</v>
      </c>
      <c r="M388">
        <v>0</v>
      </c>
    </row>
    <row r="389" spans="1:13" x14ac:dyDescent="0.25">
      <c r="A389" t="s">
        <v>1626</v>
      </c>
      <c r="B389" t="s">
        <v>1627</v>
      </c>
      <c r="C389" t="s">
        <v>1628</v>
      </c>
      <c r="D389" t="s">
        <v>1629</v>
      </c>
      <c r="E389" t="s">
        <v>83</v>
      </c>
      <c r="F389" t="s">
        <v>40</v>
      </c>
      <c r="G389" t="s">
        <v>565</v>
      </c>
      <c r="H389" t="s">
        <v>32</v>
      </c>
      <c r="I389" t="s">
        <v>33</v>
      </c>
      <c r="J389" t="s">
        <v>126</v>
      </c>
      <c r="K389">
        <v>1</v>
      </c>
      <c r="L389">
        <v>397.84</v>
      </c>
      <c r="M389">
        <v>0.2</v>
      </c>
    </row>
    <row r="390" spans="1:13" x14ac:dyDescent="0.25">
      <c r="A390" t="s">
        <v>1630</v>
      </c>
      <c r="B390" t="s">
        <v>1631</v>
      </c>
      <c r="C390" t="s">
        <v>1632</v>
      </c>
      <c r="D390" t="s">
        <v>1633</v>
      </c>
      <c r="E390" t="s">
        <v>39</v>
      </c>
      <c r="F390" t="s">
        <v>84</v>
      </c>
      <c r="G390" t="s">
        <v>264</v>
      </c>
      <c r="H390" t="s">
        <v>58</v>
      </c>
      <c r="I390" t="s">
        <v>66</v>
      </c>
      <c r="J390" t="s">
        <v>34</v>
      </c>
      <c r="K390">
        <v>3</v>
      </c>
      <c r="L390">
        <v>552.97</v>
      </c>
      <c r="M390">
        <v>0.1</v>
      </c>
    </row>
    <row r="391" spans="1:13" x14ac:dyDescent="0.25">
      <c r="A391" t="s">
        <v>1634</v>
      </c>
      <c r="B391" t="s">
        <v>1635</v>
      </c>
      <c r="C391" t="s">
        <v>1636</v>
      </c>
      <c r="D391" t="s">
        <v>1637</v>
      </c>
      <c r="E391" t="s">
        <v>149</v>
      </c>
      <c r="F391" t="s">
        <v>30</v>
      </c>
      <c r="G391" t="s">
        <v>195</v>
      </c>
      <c r="H391" t="s">
        <v>72</v>
      </c>
      <c r="I391" t="s">
        <v>66</v>
      </c>
      <c r="J391" t="s">
        <v>34</v>
      </c>
      <c r="K391">
        <v>9</v>
      </c>
      <c r="L391">
        <v>834.88</v>
      </c>
      <c r="M391">
        <v>0.1</v>
      </c>
    </row>
    <row r="392" spans="1:13" x14ac:dyDescent="0.25">
      <c r="A392" t="s">
        <v>1638</v>
      </c>
      <c r="B392" t="s">
        <v>1639</v>
      </c>
      <c r="C392" t="s">
        <v>1640</v>
      </c>
      <c r="D392" t="s">
        <v>1641</v>
      </c>
      <c r="E392" t="s">
        <v>149</v>
      </c>
      <c r="F392" t="s">
        <v>30</v>
      </c>
      <c r="G392" t="s">
        <v>269</v>
      </c>
      <c r="H392" t="s">
        <v>72</v>
      </c>
      <c r="I392" t="s">
        <v>51</v>
      </c>
      <c r="J392" t="s">
        <v>73</v>
      </c>
      <c r="K392">
        <v>8</v>
      </c>
      <c r="L392">
        <v>1125.5</v>
      </c>
      <c r="M392">
        <v>0.2</v>
      </c>
    </row>
    <row r="393" spans="1:13" x14ac:dyDescent="0.25">
      <c r="A393" t="s">
        <v>1642</v>
      </c>
      <c r="B393" t="s">
        <v>1643</v>
      </c>
      <c r="C393" t="s">
        <v>1644</v>
      </c>
      <c r="D393" t="s">
        <v>1645</v>
      </c>
      <c r="E393" t="s">
        <v>78</v>
      </c>
      <c r="F393" t="s">
        <v>40</v>
      </c>
      <c r="G393" t="s">
        <v>144</v>
      </c>
      <c r="H393" t="s">
        <v>72</v>
      </c>
      <c r="I393" t="s">
        <v>96</v>
      </c>
      <c r="J393" t="s">
        <v>34</v>
      </c>
      <c r="K393">
        <v>1</v>
      </c>
      <c r="L393">
        <v>253.7</v>
      </c>
      <c r="M393">
        <v>0</v>
      </c>
    </row>
    <row r="394" spans="1:13" x14ac:dyDescent="0.25">
      <c r="A394" t="s">
        <v>1646</v>
      </c>
      <c r="B394" t="s">
        <v>1647</v>
      </c>
      <c r="C394" t="s">
        <v>1648</v>
      </c>
      <c r="D394" t="s">
        <v>1649</v>
      </c>
      <c r="E394" t="s">
        <v>71</v>
      </c>
      <c r="F394" t="s">
        <v>56</v>
      </c>
      <c r="G394" t="s">
        <v>111</v>
      </c>
      <c r="H394" t="s">
        <v>58</v>
      </c>
      <c r="I394" t="s">
        <v>33</v>
      </c>
      <c r="J394" t="s">
        <v>126</v>
      </c>
      <c r="K394">
        <v>7</v>
      </c>
      <c r="L394">
        <v>71.069999999999993</v>
      </c>
      <c r="M394">
        <v>0.1</v>
      </c>
    </row>
    <row r="395" spans="1:13" x14ac:dyDescent="0.25">
      <c r="A395" t="s">
        <v>1650</v>
      </c>
      <c r="B395" t="s">
        <v>1651</v>
      </c>
      <c r="C395" t="s">
        <v>1652</v>
      </c>
      <c r="D395" t="s">
        <v>1653</v>
      </c>
      <c r="E395" t="s">
        <v>64</v>
      </c>
      <c r="F395" t="s">
        <v>30</v>
      </c>
      <c r="G395" t="s">
        <v>139</v>
      </c>
      <c r="H395" t="s">
        <v>72</v>
      </c>
      <c r="I395" t="s">
        <v>33</v>
      </c>
      <c r="J395" t="s">
        <v>73</v>
      </c>
      <c r="K395">
        <v>1</v>
      </c>
      <c r="L395">
        <v>439.72</v>
      </c>
      <c r="M395">
        <v>0.15</v>
      </c>
    </row>
    <row r="396" spans="1:13" x14ac:dyDescent="0.25">
      <c r="A396" t="s">
        <v>1654</v>
      </c>
      <c r="B396" t="s">
        <v>1655</v>
      </c>
      <c r="C396" t="s">
        <v>1656</v>
      </c>
      <c r="D396" t="s">
        <v>1657</v>
      </c>
      <c r="E396" t="s">
        <v>64</v>
      </c>
      <c r="F396" t="s">
        <v>30</v>
      </c>
      <c r="G396" t="s">
        <v>269</v>
      </c>
      <c r="H396" t="s">
        <v>42</v>
      </c>
      <c r="I396" t="s">
        <v>96</v>
      </c>
      <c r="J396" t="s">
        <v>73</v>
      </c>
      <c r="K396">
        <v>7</v>
      </c>
      <c r="L396">
        <v>1495.27</v>
      </c>
      <c r="M396">
        <v>0.05</v>
      </c>
    </row>
    <row r="397" spans="1:13" x14ac:dyDescent="0.25">
      <c r="A397" t="s">
        <v>1658</v>
      </c>
      <c r="B397" t="s">
        <v>1659</v>
      </c>
      <c r="C397" t="s">
        <v>1660</v>
      </c>
      <c r="D397" t="s">
        <v>1661</v>
      </c>
      <c r="E397" t="s">
        <v>116</v>
      </c>
      <c r="F397" t="s">
        <v>56</v>
      </c>
      <c r="G397" t="s">
        <v>111</v>
      </c>
      <c r="H397" t="s">
        <v>58</v>
      </c>
      <c r="I397" t="s">
        <v>66</v>
      </c>
      <c r="J397" t="s">
        <v>59</v>
      </c>
      <c r="K397">
        <v>9</v>
      </c>
      <c r="L397">
        <v>437.47</v>
      </c>
      <c r="M397">
        <v>0.15</v>
      </c>
    </row>
    <row r="398" spans="1:13" x14ac:dyDescent="0.25">
      <c r="A398" t="s">
        <v>1662</v>
      </c>
      <c r="B398" t="s">
        <v>1663</v>
      </c>
      <c r="C398" t="s">
        <v>1664</v>
      </c>
      <c r="D398" t="s">
        <v>1665</v>
      </c>
      <c r="E398" t="s">
        <v>149</v>
      </c>
      <c r="F398" t="s">
        <v>40</v>
      </c>
      <c r="G398" t="s">
        <v>144</v>
      </c>
      <c r="H398" t="s">
        <v>32</v>
      </c>
      <c r="I398" t="s">
        <v>33</v>
      </c>
      <c r="J398" t="s">
        <v>126</v>
      </c>
      <c r="K398">
        <v>7</v>
      </c>
      <c r="L398">
        <v>402.74</v>
      </c>
      <c r="M398">
        <v>0.15</v>
      </c>
    </row>
    <row r="399" spans="1:13" x14ac:dyDescent="0.25">
      <c r="A399" t="s">
        <v>1666</v>
      </c>
      <c r="B399" t="s">
        <v>1667</v>
      </c>
      <c r="C399" t="s">
        <v>1668</v>
      </c>
      <c r="D399" t="s">
        <v>1669</v>
      </c>
      <c r="E399" t="s">
        <v>78</v>
      </c>
      <c r="F399" t="s">
        <v>84</v>
      </c>
      <c r="G399" t="s">
        <v>90</v>
      </c>
      <c r="H399" t="s">
        <v>42</v>
      </c>
      <c r="I399" t="s">
        <v>96</v>
      </c>
      <c r="J399" t="s">
        <v>34</v>
      </c>
      <c r="K399">
        <v>10</v>
      </c>
      <c r="L399">
        <v>1222.52</v>
      </c>
      <c r="M399">
        <v>0.05</v>
      </c>
    </row>
    <row r="400" spans="1:13" x14ac:dyDescent="0.25">
      <c r="A400" t="s">
        <v>1670</v>
      </c>
      <c r="B400" t="s">
        <v>1671</v>
      </c>
      <c r="C400" t="s">
        <v>1672</v>
      </c>
      <c r="D400" t="s">
        <v>1673</v>
      </c>
      <c r="E400" t="s">
        <v>200</v>
      </c>
      <c r="F400" t="s">
        <v>40</v>
      </c>
      <c r="G400" t="s">
        <v>144</v>
      </c>
      <c r="H400" t="s">
        <v>42</v>
      </c>
      <c r="I400" t="s">
        <v>43</v>
      </c>
      <c r="J400" t="s">
        <v>73</v>
      </c>
      <c r="K400">
        <v>5</v>
      </c>
      <c r="L400">
        <v>730.73</v>
      </c>
      <c r="M400">
        <v>0</v>
      </c>
    </row>
    <row r="401" spans="1:13" x14ac:dyDescent="0.25">
      <c r="A401" t="s">
        <v>1674</v>
      </c>
      <c r="B401" t="s">
        <v>1675</v>
      </c>
      <c r="C401" t="s">
        <v>1676</v>
      </c>
      <c r="D401" t="s">
        <v>1677</v>
      </c>
      <c r="E401" t="s">
        <v>78</v>
      </c>
      <c r="F401" t="s">
        <v>56</v>
      </c>
      <c r="G401" t="s">
        <v>190</v>
      </c>
      <c r="H401" t="s">
        <v>58</v>
      </c>
      <c r="I401" t="s">
        <v>51</v>
      </c>
      <c r="J401" t="s">
        <v>73</v>
      </c>
      <c r="K401">
        <v>2</v>
      </c>
      <c r="L401">
        <v>383.66</v>
      </c>
      <c r="M401">
        <v>0.1</v>
      </c>
    </row>
    <row r="402" spans="1:13" x14ac:dyDescent="0.25">
      <c r="A402" t="s">
        <v>1678</v>
      </c>
      <c r="B402" t="s">
        <v>1679</v>
      </c>
      <c r="C402" t="s">
        <v>1680</v>
      </c>
      <c r="D402" t="s">
        <v>1681</v>
      </c>
      <c r="E402" t="s">
        <v>83</v>
      </c>
      <c r="F402" t="s">
        <v>84</v>
      </c>
      <c r="G402" t="s">
        <v>85</v>
      </c>
      <c r="H402" t="s">
        <v>72</v>
      </c>
      <c r="I402" t="s">
        <v>43</v>
      </c>
      <c r="J402" t="s">
        <v>73</v>
      </c>
      <c r="K402">
        <v>4</v>
      </c>
      <c r="L402">
        <v>1421.47</v>
      </c>
      <c r="M402">
        <v>0.1</v>
      </c>
    </row>
    <row r="403" spans="1:13" x14ac:dyDescent="0.25">
      <c r="A403" t="s">
        <v>1682</v>
      </c>
      <c r="B403" t="s">
        <v>1683</v>
      </c>
      <c r="C403" t="s">
        <v>1684</v>
      </c>
      <c r="D403" t="s">
        <v>1685</v>
      </c>
      <c r="E403" t="s">
        <v>39</v>
      </c>
      <c r="F403" t="s">
        <v>40</v>
      </c>
      <c r="G403" t="s">
        <v>315</v>
      </c>
      <c r="H403" t="s">
        <v>32</v>
      </c>
      <c r="I403" t="s">
        <v>96</v>
      </c>
      <c r="J403" t="s">
        <v>126</v>
      </c>
      <c r="K403">
        <v>2</v>
      </c>
      <c r="L403">
        <v>246.65</v>
      </c>
      <c r="M403">
        <v>0</v>
      </c>
    </row>
    <row r="404" spans="1:13" x14ac:dyDescent="0.25">
      <c r="A404" t="s">
        <v>1686</v>
      </c>
      <c r="B404" t="s">
        <v>1687</v>
      </c>
      <c r="C404" t="s">
        <v>1688</v>
      </c>
      <c r="D404" t="s">
        <v>1689</v>
      </c>
      <c r="E404" t="s">
        <v>83</v>
      </c>
      <c r="F404" t="s">
        <v>84</v>
      </c>
      <c r="G404" t="s">
        <v>264</v>
      </c>
      <c r="H404" t="s">
        <v>42</v>
      </c>
      <c r="I404" t="s">
        <v>43</v>
      </c>
      <c r="J404" t="s">
        <v>59</v>
      </c>
      <c r="K404">
        <v>10</v>
      </c>
      <c r="L404">
        <v>1348.71</v>
      </c>
      <c r="M404">
        <v>0.05</v>
      </c>
    </row>
    <row r="405" spans="1:13" x14ac:dyDescent="0.25">
      <c r="A405" t="s">
        <v>1690</v>
      </c>
      <c r="B405" t="s">
        <v>1691</v>
      </c>
      <c r="C405" t="s">
        <v>1692</v>
      </c>
      <c r="D405" t="s">
        <v>1693</v>
      </c>
      <c r="E405" t="s">
        <v>64</v>
      </c>
      <c r="F405" t="s">
        <v>40</v>
      </c>
      <c r="G405" t="s">
        <v>565</v>
      </c>
      <c r="H405" t="s">
        <v>58</v>
      </c>
      <c r="I405" t="s">
        <v>96</v>
      </c>
      <c r="J405" t="s">
        <v>73</v>
      </c>
      <c r="K405">
        <v>9</v>
      </c>
      <c r="L405">
        <v>725.31</v>
      </c>
      <c r="M405">
        <v>0</v>
      </c>
    </row>
    <row r="406" spans="1:13" x14ac:dyDescent="0.25">
      <c r="A406" t="s">
        <v>1694</v>
      </c>
      <c r="B406" t="s">
        <v>1695</v>
      </c>
      <c r="C406" t="s">
        <v>1696</v>
      </c>
      <c r="D406" t="s">
        <v>1697</v>
      </c>
      <c r="E406" t="s">
        <v>200</v>
      </c>
      <c r="F406" t="s">
        <v>84</v>
      </c>
      <c r="G406" t="s">
        <v>205</v>
      </c>
      <c r="H406" t="s">
        <v>32</v>
      </c>
      <c r="I406" t="s">
        <v>66</v>
      </c>
      <c r="J406" t="s">
        <v>59</v>
      </c>
      <c r="K406">
        <v>4</v>
      </c>
      <c r="L406">
        <v>32.549999999999997</v>
      </c>
      <c r="M406">
        <v>0.1</v>
      </c>
    </row>
    <row r="407" spans="1:13" x14ac:dyDescent="0.25">
      <c r="A407" t="s">
        <v>1698</v>
      </c>
      <c r="B407" t="s">
        <v>1699</v>
      </c>
      <c r="C407" t="s">
        <v>1700</v>
      </c>
      <c r="D407" t="s">
        <v>1701</v>
      </c>
      <c r="E407" t="s">
        <v>29</v>
      </c>
      <c r="F407" t="s">
        <v>30</v>
      </c>
      <c r="G407" t="s">
        <v>65</v>
      </c>
      <c r="H407" t="s">
        <v>58</v>
      </c>
      <c r="I407" t="s">
        <v>43</v>
      </c>
      <c r="J407" t="s">
        <v>34</v>
      </c>
      <c r="K407">
        <v>10</v>
      </c>
      <c r="L407">
        <v>714.95</v>
      </c>
      <c r="M407">
        <v>0.05</v>
      </c>
    </row>
    <row r="408" spans="1:13" x14ac:dyDescent="0.25">
      <c r="A408" t="s">
        <v>1702</v>
      </c>
      <c r="B408" t="s">
        <v>1703</v>
      </c>
      <c r="C408" t="s">
        <v>1704</v>
      </c>
      <c r="D408" t="s">
        <v>1705</v>
      </c>
      <c r="E408" t="s">
        <v>71</v>
      </c>
      <c r="F408" t="s">
        <v>84</v>
      </c>
      <c r="G408" t="s">
        <v>264</v>
      </c>
      <c r="H408" t="s">
        <v>72</v>
      </c>
      <c r="I408" t="s">
        <v>33</v>
      </c>
      <c r="J408" t="s">
        <v>73</v>
      </c>
      <c r="K408">
        <v>3</v>
      </c>
      <c r="L408">
        <v>430.25</v>
      </c>
      <c r="M408">
        <v>0.15</v>
      </c>
    </row>
    <row r="409" spans="1:13" x14ac:dyDescent="0.25">
      <c r="A409" t="s">
        <v>1706</v>
      </c>
      <c r="B409" t="s">
        <v>1707</v>
      </c>
      <c r="C409" t="s">
        <v>1708</v>
      </c>
      <c r="D409" t="s">
        <v>1709</v>
      </c>
      <c r="E409" t="s">
        <v>149</v>
      </c>
      <c r="F409" t="s">
        <v>49</v>
      </c>
      <c r="G409" t="s">
        <v>286</v>
      </c>
      <c r="H409" t="s">
        <v>32</v>
      </c>
      <c r="I409" t="s">
        <v>43</v>
      </c>
      <c r="J409" t="s">
        <v>34</v>
      </c>
      <c r="K409">
        <v>3</v>
      </c>
      <c r="L409">
        <v>231.58</v>
      </c>
      <c r="M409">
        <v>0.1</v>
      </c>
    </row>
    <row r="410" spans="1:13" x14ac:dyDescent="0.25">
      <c r="A410" t="s">
        <v>1710</v>
      </c>
      <c r="B410" t="s">
        <v>1711</v>
      </c>
      <c r="C410" t="s">
        <v>1712</v>
      </c>
      <c r="D410" t="s">
        <v>1713</v>
      </c>
      <c r="E410" t="s">
        <v>78</v>
      </c>
      <c r="F410" t="s">
        <v>84</v>
      </c>
      <c r="G410" t="s">
        <v>264</v>
      </c>
      <c r="H410" t="s">
        <v>32</v>
      </c>
      <c r="I410" t="s">
        <v>96</v>
      </c>
      <c r="J410" t="s">
        <v>126</v>
      </c>
      <c r="K410">
        <v>9</v>
      </c>
      <c r="L410">
        <v>460.55</v>
      </c>
      <c r="M410">
        <v>0.15</v>
      </c>
    </row>
    <row r="411" spans="1:13" x14ac:dyDescent="0.25">
      <c r="A411" t="s">
        <v>1714</v>
      </c>
      <c r="B411" t="s">
        <v>1715</v>
      </c>
      <c r="C411" t="s">
        <v>1716</v>
      </c>
      <c r="D411" t="s">
        <v>1717</v>
      </c>
      <c r="E411" t="s">
        <v>29</v>
      </c>
      <c r="F411" t="s">
        <v>49</v>
      </c>
      <c r="G411" t="s">
        <v>117</v>
      </c>
      <c r="H411" t="s">
        <v>58</v>
      </c>
      <c r="I411" t="s">
        <v>66</v>
      </c>
      <c r="J411" t="s">
        <v>59</v>
      </c>
      <c r="K411">
        <v>6</v>
      </c>
      <c r="L411">
        <v>683.03</v>
      </c>
      <c r="M411">
        <v>0.05</v>
      </c>
    </row>
    <row r="412" spans="1:13" x14ac:dyDescent="0.25">
      <c r="A412" t="s">
        <v>1718</v>
      </c>
      <c r="B412" t="s">
        <v>1719</v>
      </c>
      <c r="C412" t="s">
        <v>1720</v>
      </c>
      <c r="D412" t="s">
        <v>1721</v>
      </c>
      <c r="E412" t="s">
        <v>71</v>
      </c>
      <c r="F412" t="s">
        <v>40</v>
      </c>
      <c r="G412" t="s">
        <v>106</v>
      </c>
      <c r="H412" t="s">
        <v>58</v>
      </c>
      <c r="I412" t="s">
        <v>66</v>
      </c>
      <c r="J412" t="s">
        <v>59</v>
      </c>
      <c r="K412">
        <v>9</v>
      </c>
      <c r="L412">
        <v>871.63</v>
      </c>
      <c r="M412">
        <v>0</v>
      </c>
    </row>
    <row r="413" spans="1:13" x14ac:dyDescent="0.25">
      <c r="A413" t="s">
        <v>1722</v>
      </c>
      <c r="B413" t="s">
        <v>1723</v>
      </c>
      <c r="C413" t="s">
        <v>1724</v>
      </c>
      <c r="D413" t="s">
        <v>1725</v>
      </c>
      <c r="E413" t="s">
        <v>200</v>
      </c>
      <c r="F413" t="s">
        <v>56</v>
      </c>
      <c r="G413" t="s">
        <v>57</v>
      </c>
      <c r="H413" t="s">
        <v>72</v>
      </c>
      <c r="I413" t="s">
        <v>43</v>
      </c>
      <c r="J413" t="s">
        <v>59</v>
      </c>
      <c r="K413">
        <v>8</v>
      </c>
      <c r="L413">
        <v>926.29</v>
      </c>
      <c r="M413">
        <v>0.2</v>
      </c>
    </row>
    <row r="414" spans="1:13" x14ac:dyDescent="0.25">
      <c r="A414" t="s">
        <v>1726</v>
      </c>
      <c r="B414" t="s">
        <v>1727</v>
      </c>
      <c r="C414" t="s">
        <v>1728</v>
      </c>
      <c r="D414" t="s">
        <v>1729</v>
      </c>
      <c r="E414" t="s">
        <v>149</v>
      </c>
      <c r="F414" t="s">
        <v>56</v>
      </c>
      <c r="G414" t="s">
        <v>101</v>
      </c>
      <c r="H414" t="s">
        <v>58</v>
      </c>
      <c r="I414" t="s">
        <v>66</v>
      </c>
      <c r="J414" t="s">
        <v>59</v>
      </c>
      <c r="K414">
        <v>4</v>
      </c>
      <c r="L414">
        <v>255.57</v>
      </c>
      <c r="M414">
        <v>0.05</v>
      </c>
    </row>
    <row r="415" spans="1:13" x14ac:dyDescent="0.25">
      <c r="A415" t="s">
        <v>1730</v>
      </c>
      <c r="B415" t="s">
        <v>1731</v>
      </c>
      <c r="C415" t="s">
        <v>1732</v>
      </c>
      <c r="D415" t="s">
        <v>1733</v>
      </c>
      <c r="E415" t="s">
        <v>200</v>
      </c>
      <c r="F415" t="s">
        <v>84</v>
      </c>
      <c r="G415" t="s">
        <v>90</v>
      </c>
      <c r="H415" t="s">
        <v>72</v>
      </c>
      <c r="I415" t="s">
        <v>43</v>
      </c>
      <c r="J415" t="s">
        <v>126</v>
      </c>
      <c r="K415">
        <v>8</v>
      </c>
      <c r="L415">
        <v>788.59</v>
      </c>
      <c r="M415">
        <v>0.1</v>
      </c>
    </row>
    <row r="416" spans="1:13" x14ac:dyDescent="0.25">
      <c r="A416" t="s">
        <v>1734</v>
      </c>
      <c r="B416" t="s">
        <v>1735</v>
      </c>
      <c r="C416" t="s">
        <v>1736</v>
      </c>
      <c r="D416" t="s">
        <v>1737</v>
      </c>
      <c r="E416" t="s">
        <v>116</v>
      </c>
      <c r="F416" t="s">
        <v>30</v>
      </c>
      <c r="G416" t="s">
        <v>31</v>
      </c>
      <c r="H416" t="s">
        <v>42</v>
      </c>
      <c r="I416" t="s">
        <v>33</v>
      </c>
      <c r="J416" t="s">
        <v>126</v>
      </c>
      <c r="K416">
        <v>2</v>
      </c>
      <c r="L416">
        <v>604.61</v>
      </c>
      <c r="M416">
        <v>0</v>
      </c>
    </row>
    <row r="417" spans="1:13" x14ac:dyDescent="0.25">
      <c r="A417" t="s">
        <v>1738</v>
      </c>
      <c r="B417" t="s">
        <v>1739</v>
      </c>
      <c r="C417" t="s">
        <v>1740</v>
      </c>
      <c r="D417" t="s">
        <v>1741</v>
      </c>
      <c r="E417" t="s">
        <v>116</v>
      </c>
      <c r="F417" t="s">
        <v>56</v>
      </c>
      <c r="G417" t="s">
        <v>190</v>
      </c>
      <c r="H417" t="s">
        <v>42</v>
      </c>
      <c r="I417" t="s">
        <v>66</v>
      </c>
      <c r="J417" t="s">
        <v>73</v>
      </c>
      <c r="K417">
        <v>2</v>
      </c>
      <c r="L417">
        <v>932.88</v>
      </c>
      <c r="M417">
        <v>0.2</v>
      </c>
    </row>
    <row r="418" spans="1:13" x14ac:dyDescent="0.25">
      <c r="A418" t="s">
        <v>1742</v>
      </c>
      <c r="B418" t="s">
        <v>1743</v>
      </c>
      <c r="C418" t="s">
        <v>1744</v>
      </c>
      <c r="D418" t="s">
        <v>1745</v>
      </c>
      <c r="E418" t="s">
        <v>48</v>
      </c>
      <c r="F418" t="s">
        <v>30</v>
      </c>
      <c r="G418" t="s">
        <v>139</v>
      </c>
      <c r="H418" t="s">
        <v>58</v>
      </c>
      <c r="I418" t="s">
        <v>66</v>
      </c>
      <c r="J418" t="s">
        <v>34</v>
      </c>
      <c r="K418">
        <v>1</v>
      </c>
      <c r="L418">
        <v>1260.2</v>
      </c>
      <c r="M418">
        <v>0</v>
      </c>
    </row>
    <row r="419" spans="1:13" x14ac:dyDescent="0.25">
      <c r="A419" t="s">
        <v>1746</v>
      </c>
      <c r="B419" t="s">
        <v>1747</v>
      </c>
      <c r="C419" t="s">
        <v>1748</v>
      </c>
      <c r="D419" t="s">
        <v>1749</v>
      </c>
      <c r="E419" t="s">
        <v>200</v>
      </c>
      <c r="F419" t="s">
        <v>30</v>
      </c>
      <c r="G419" t="s">
        <v>139</v>
      </c>
      <c r="H419" t="s">
        <v>42</v>
      </c>
      <c r="I419" t="s">
        <v>33</v>
      </c>
      <c r="J419" t="s">
        <v>59</v>
      </c>
      <c r="K419">
        <v>10</v>
      </c>
      <c r="L419">
        <v>277.89999999999998</v>
      </c>
      <c r="M419">
        <v>0.1</v>
      </c>
    </row>
    <row r="420" spans="1:13" x14ac:dyDescent="0.25">
      <c r="A420" t="s">
        <v>1750</v>
      </c>
      <c r="B420" t="s">
        <v>1751</v>
      </c>
      <c r="C420" t="s">
        <v>1752</v>
      </c>
      <c r="D420" t="s">
        <v>1753</v>
      </c>
      <c r="E420" t="s">
        <v>116</v>
      </c>
      <c r="F420" t="s">
        <v>49</v>
      </c>
      <c r="G420" t="s">
        <v>50</v>
      </c>
      <c r="H420" t="s">
        <v>58</v>
      </c>
      <c r="I420" t="s">
        <v>51</v>
      </c>
      <c r="J420" t="s">
        <v>126</v>
      </c>
      <c r="K420">
        <v>5</v>
      </c>
      <c r="L420">
        <v>558.19000000000005</v>
      </c>
      <c r="M420">
        <v>0</v>
      </c>
    </row>
    <row r="421" spans="1:13" x14ac:dyDescent="0.25">
      <c r="A421" t="s">
        <v>1754</v>
      </c>
      <c r="B421" t="s">
        <v>1755</v>
      </c>
      <c r="C421" t="s">
        <v>1756</v>
      </c>
      <c r="D421" t="s">
        <v>1757</v>
      </c>
      <c r="E421" t="s">
        <v>200</v>
      </c>
      <c r="F421" t="s">
        <v>40</v>
      </c>
      <c r="G421" t="s">
        <v>144</v>
      </c>
      <c r="H421" t="s">
        <v>58</v>
      </c>
      <c r="I421" t="s">
        <v>51</v>
      </c>
      <c r="J421" t="s">
        <v>34</v>
      </c>
      <c r="K421">
        <v>8</v>
      </c>
      <c r="L421">
        <v>1036.3399999999999</v>
      </c>
      <c r="M421">
        <v>0.1</v>
      </c>
    </row>
    <row r="422" spans="1:13" x14ac:dyDescent="0.25">
      <c r="A422" t="s">
        <v>1758</v>
      </c>
      <c r="B422" t="s">
        <v>1759</v>
      </c>
      <c r="C422" t="s">
        <v>1760</v>
      </c>
      <c r="D422" t="s">
        <v>1761</v>
      </c>
      <c r="E422" t="s">
        <v>64</v>
      </c>
      <c r="F422" t="s">
        <v>40</v>
      </c>
      <c r="G422" t="s">
        <v>315</v>
      </c>
      <c r="H422" t="s">
        <v>42</v>
      </c>
      <c r="I422" t="s">
        <v>43</v>
      </c>
      <c r="J422" t="s">
        <v>73</v>
      </c>
      <c r="K422">
        <v>9</v>
      </c>
      <c r="L422">
        <v>295.02999999999997</v>
      </c>
      <c r="M422">
        <v>0.1</v>
      </c>
    </row>
    <row r="423" spans="1:13" x14ac:dyDescent="0.25">
      <c r="A423" t="s">
        <v>1762</v>
      </c>
      <c r="B423" t="s">
        <v>1763</v>
      </c>
      <c r="C423" t="s">
        <v>1764</v>
      </c>
      <c r="D423" t="s">
        <v>1765</v>
      </c>
      <c r="E423" t="s">
        <v>29</v>
      </c>
      <c r="F423" t="s">
        <v>56</v>
      </c>
      <c r="G423" t="s">
        <v>57</v>
      </c>
      <c r="H423" t="s">
        <v>58</v>
      </c>
      <c r="I423" t="s">
        <v>66</v>
      </c>
      <c r="J423" t="s">
        <v>59</v>
      </c>
      <c r="K423">
        <v>9</v>
      </c>
      <c r="L423">
        <v>943.6</v>
      </c>
      <c r="M423">
        <v>0.15</v>
      </c>
    </row>
    <row r="424" spans="1:13" x14ac:dyDescent="0.25">
      <c r="A424" t="s">
        <v>1766</v>
      </c>
      <c r="B424" t="s">
        <v>1767</v>
      </c>
      <c r="C424" t="s">
        <v>1768</v>
      </c>
      <c r="D424" t="s">
        <v>1769</v>
      </c>
      <c r="E424" t="s">
        <v>48</v>
      </c>
      <c r="F424" t="s">
        <v>84</v>
      </c>
      <c r="G424" t="s">
        <v>205</v>
      </c>
      <c r="H424" t="s">
        <v>58</v>
      </c>
      <c r="I424" t="s">
        <v>33</v>
      </c>
      <c r="J424" t="s">
        <v>34</v>
      </c>
      <c r="K424">
        <v>10</v>
      </c>
      <c r="L424">
        <v>960.79</v>
      </c>
      <c r="M424">
        <v>0.1</v>
      </c>
    </row>
    <row r="425" spans="1:13" x14ac:dyDescent="0.25">
      <c r="A425" t="s">
        <v>1770</v>
      </c>
      <c r="B425" t="s">
        <v>1771</v>
      </c>
      <c r="C425" t="s">
        <v>1772</v>
      </c>
      <c r="D425" t="s">
        <v>1773</v>
      </c>
      <c r="E425" t="s">
        <v>64</v>
      </c>
      <c r="F425" t="s">
        <v>40</v>
      </c>
      <c r="G425" t="s">
        <v>144</v>
      </c>
      <c r="H425" t="s">
        <v>58</v>
      </c>
      <c r="I425" t="s">
        <v>43</v>
      </c>
      <c r="J425" t="s">
        <v>34</v>
      </c>
      <c r="K425">
        <v>2</v>
      </c>
      <c r="L425">
        <v>291.12</v>
      </c>
      <c r="M425">
        <v>0.05</v>
      </c>
    </row>
    <row r="426" spans="1:13" x14ac:dyDescent="0.25">
      <c r="A426" t="s">
        <v>1774</v>
      </c>
      <c r="B426" t="s">
        <v>1775</v>
      </c>
      <c r="C426" t="s">
        <v>1776</v>
      </c>
      <c r="D426" t="s">
        <v>1777</v>
      </c>
      <c r="E426" t="s">
        <v>64</v>
      </c>
      <c r="F426" t="s">
        <v>49</v>
      </c>
      <c r="G426" t="s">
        <v>286</v>
      </c>
      <c r="H426" t="s">
        <v>58</v>
      </c>
      <c r="I426" t="s">
        <v>96</v>
      </c>
      <c r="J426" t="s">
        <v>126</v>
      </c>
      <c r="K426">
        <v>5</v>
      </c>
      <c r="L426">
        <v>522.74</v>
      </c>
      <c r="M426">
        <v>0.1</v>
      </c>
    </row>
    <row r="427" spans="1:13" x14ac:dyDescent="0.25">
      <c r="A427" t="s">
        <v>1778</v>
      </c>
      <c r="B427" t="s">
        <v>1779</v>
      </c>
      <c r="C427" t="s">
        <v>1780</v>
      </c>
      <c r="D427" t="s">
        <v>1781</v>
      </c>
      <c r="E427" t="s">
        <v>29</v>
      </c>
      <c r="F427" t="s">
        <v>49</v>
      </c>
      <c r="G427" t="s">
        <v>117</v>
      </c>
      <c r="H427" t="s">
        <v>58</v>
      </c>
      <c r="I427" t="s">
        <v>96</v>
      </c>
      <c r="J427" t="s">
        <v>126</v>
      </c>
      <c r="K427">
        <v>3</v>
      </c>
      <c r="L427">
        <v>821.64</v>
      </c>
      <c r="M427">
        <v>0</v>
      </c>
    </row>
    <row r="428" spans="1:13" x14ac:dyDescent="0.25">
      <c r="A428" t="s">
        <v>1782</v>
      </c>
      <c r="B428" t="s">
        <v>1783</v>
      </c>
      <c r="C428" t="s">
        <v>1784</v>
      </c>
      <c r="D428" t="s">
        <v>1785</v>
      </c>
      <c r="E428" t="s">
        <v>200</v>
      </c>
      <c r="F428" t="s">
        <v>30</v>
      </c>
      <c r="G428" t="s">
        <v>269</v>
      </c>
      <c r="H428" t="s">
        <v>72</v>
      </c>
      <c r="I428" t="s">
        <v>96</v>
      </c>
      <c r="J428" t="s">
        <v>34</v>
      </c>
      <c r="K428">
        <v>2</v>
      </c>
      <c r="L428">
        <v>310.77999999999997</v>
      </c>
      <c r="M428">
        <v>0.15</v>
      </c>
    </row>
    <row r="429" spans="1:13" x14ac:dyDescent="0.25">
      <c r="A429" t="s">
        <v>1786</v>
      </c>
      <c r="B429" t="s">
        <v>1787</v>
      </c>
      <c r="C429" t="s">
        <v>1788</v>
      </c>
      <c r="D429" t="s">
        <v>1789</v>
      </c>
      <c r="E429" t="s">
        <v>64</v>
      </c>
      <c r="F429" t="s">
        <v>40</v>
      </c>
      <c r="G429" t="s">
        <v>41</v>
      </c>
      <c r="H429" t="s">
        <v>58</v>
      </c>
      <c r="I429" t="s">
        <v>43</v>
      </c>
      <c r="J429" t="s">
        <v>59</v>
      </c>
      <c r="K429">
        <v>8</v>
      </c>
      <c r="L429">
        <v>196.38</v>
      </c>
      <c r="M429">
        <v>0.2</v>
      </c>
    </row>
    <row r="430" spans="1:13" x14ac:dyDescent="0.25">
      <c r="A430" t="s">
        <v>1790</v>
      </c>
      <c r="B430" t="s">
        <v>1791</v>
      </c>
      <c r="C430" t="s">
        <v>1792</v>
      </c>
      <c r="D430" t="s">
        <v>1793</v>
      </c>
      <c r="E430" t="s">
        <v>39</v>
      </c>
      <c r="F430" t="s">
        <v>49</v>
      </c>
      <c r="G430" t="s">
        <v>50</v>
      </c>
      <c r="H430" t="s">
        <v>32</v>
      </c>
      <c r="I430" t="s">
        <v>96</v>
      </c>
      <c r="J430" t="s">
        <v>73</v>
      </c>
      <c r="K430">
        <v>5</v>
      </c>
      <c r="L430">
        <v>37.380000000000003</v>
      </c>
      <c r="M430">
        <v>0.15</v>
      </c>
    </row>
    <row r="431" spans="1:13" x14ac:dyDescent="0.25">
      <c r="A431" t="s">
        <v>1794</v>
      </c>
      <c r="B431" t="s">
        <v>1795</v>
      </c>
      <c r="C431" t="s">
        <v>1796</v>
      </c>
      <c r="D431" t="s">
        <v>1797</v>
      </c>
      <c r="E431" t="s">
        <v>200</v>
      </c>
      <c r="F431" t="s">
        <v>40</v>
      </c>
      <c r="G431" t="s">
        <v>106</v>
      </c>
      <c r="H431" t="s">
        <v>72</v>
      </c>
      <c r="I431" t="s">
        <v>96</v>
      </c>
      <c r="J431" t="s">
        <v>126</v>
      </c>
      <c r="K431">
        <v>2</v>
      </c>
      <c r="L431">
        <v>566.53</v>
      </c>
      <c r="M431">
        <v>0</v>
      </c>
    </row>
    <row r="432" spans="1:13" x14ac:dyDescent="0.25">
      <c r="A432" t="s">
        <v>1798</v>
      </c>
      <c r="B432" t="s">
        <v>1799</v>
      </c>
      <c r="C432" t="s">
        <v>1800</v>
      </c>
      <c r="D432" t="s">
        <v>1801</v>
      </c>
      <c r="E432" t="s">
        <v>64</v>
      </c>
      <c r="F432" t="s">
        <v>56</v>
      </c>
      <c r="G432" t="s">
        <v>190</v>
      </c>
      <c r="H432" t="s">
        <v>72</v>
      </c>
      <c r="I432" t="s">
        <v>96</v>
      </c>
      <c r="J432" t="s">
        <v>73</v>
      </c>
      <c r="K432">
        <v>9</v>
      </c>
      <c r="L432">
        <v>972.19</v>
      </c>
      <c r="M432">
        <v>0</v>
      </c>
    </row>
    <row r="433" spans="1:13" x14ac:dyDescent="0.25">
      <c r="A433" t="s">
        <v>1802</v>
      </c>
      <c r="B433" t="s">
        <v>1803</v>
      </c>
      <c r="C433" t="s">
        <v>1804</v>
      </c>
      <c r="D433" t="s">
        <v>1805</v>
      </c>
      <c r="E433" t="s">
        <v>71</v>
      </c>
      <c r="F433" t="s">
        <v>49</v>
      </c>
      <c r="G433" t="s">
        <v>286</v>
      </c>
      <c r="H433" t="s">
        <v>72</v>
      </c>
      <c r="I433" t="s">
        <v>66</v>
      </c>
      <c r="J433" t="s">
        <v>126</v>
      </c>
      <c r="K433">
        <v>7</v>
      </c>
      <c r="L433">
        <v>46.71</v>
      </c>
      <c r="M433">
        <v>0.05</v>
      </c>
    </row>
    <row r="434" spans="1:13" x14ac:dyDescent="0.25">
      <c r="A434" t="s">
        <v>1806</v>
      </c>
      <c r="B434" t="s">
        <v>1807</v>
      </c>
      <c r="C434" t="s">
        <v>1808</v>
      </c>
      <c r="D434" t="s">
        <v>1809</v>
      </c>
      <c r="E434" t="s">
        <v>29</v>
      </c>
      <c r="F434" t="s">
        <v>40</v>
      </c>
      <c r="G434" t="s">
        <v>565</v>
      </c>
      <c r="H434" t="s">
        <v>58</v>
      </c>
      <c r="I434" t="s">
        <v>66</v>
      </c>
      <c r="J434" t="s">
        <v>34</v>
      </c>
      <c r="K434">
        <v>3</v>
      </c>
      <c r="L434">
        <v>296.82</v>
      </c>
      <c r="M434">
        <v>0.15</v>
      </c>
    </row>
    <row r="435" spans="1:13" x14ac:dyDescent="0.25">
      <c r="A435" t="s">
        <v>1810</v>
      </c>
      <c r="B435" t="s">
        <v>1811</v>
      </c>
      <c r="C435" t="s">
        <v>1812</v>
      </c>
      <c r="D435" t="s">
        <v>1813</v>
      </c>
      <c r="E435" t="s">
        <v>116</v>
      </c>
      <c r="F435" t="s">
        <v>40</v>
      </c>
      <c r="G435" t="s">
        <v>106</v>
      </c>
      <c r="H435" t="s">
        <v>58</v>
      </c>
      <c r="I435" t="s">
        <v>96</v>
      </c>
      <c r="J435" t="s">
        <v>126</v>
      </c>
      <c r="K435">
        <v>5</v>
      </c>
      <c r="L435">
        <v>682.34</v>
      </c>
      <c r="M435">
        <v>0.15</v>
      </c>
    </row>
    <row r="436" spans="1:13" x14ac:dyDescent="0.25">
      <c r="A436" t="s">
        <v>1814</v>
      </c>
      <c r="B436" t="s">
        <v>1815</v>
      </c>
      <c r="C436" t="s">
        <v>1816</v>
      </c>
      <c r="D436" t="s">
        <v>1817</v>
      </c>
      <c r="E436" t="s">
        <v>48</v>
      </c>
      <c r="F436" t="s">
        <v>56</v>
      </c>
      <c r="G436" t="s">
        <v>111</v>
      </c>
      <c r="H436" t="s">
        <v>58</v>
      </c>
      <c r="I436" t="s">
        <v>51</v>
      </c>
      <c r="J436" t="s">
        <v>34</v>
      </c>
      <c r="K436">
        <v>10</v>
      </c>
      <c r="L436">
        <v>1287.3900000000001</v>
      </c>
      <c r="M436">
        <v>0</v>
      </c>
    </row>
    <row r="437" spans="1:13" x14ac:dyDescent="0.25">
      <c r="A437" t="s">
        <v>1818</v>
      </c>
      <c r="B437" t="s">
        <v>1819</v>
      </c>
      <c r="C437" t="s">
        <v>1820</v>
      </c>
      <c r="D437" t="s">
        <v>1821</v>
      </c>
      <c r="E437" t="s">
        <v>78</v>
      </c>
      <c r="F437" t="s">
        <v>30</v>
      </c>
      <c r="G437" t="s">
        <v>139</v>
      </c>
      <c r="H437" t="s">
        <v>58</v>
      </c>
      <c r="I437" t="s">
        <v>51</v>
      </c>
      <c r="J437" t="s">
        <v>126</v>
      </c>
      <c r="K437">
        <v>7</v>
      </c>
      <c r="L437">
        <v>435.45</v>
      </c>
      <c r="M437">
        <v>0.2</v>
      </c>
    </row>
    <row r="438" spans="1:13" x14ac:dyDescent="0.25">
      <c r="A438" t="s">
        <v>1822</v>
      </c>
      <c r="B438" t="s">
        <v>1823</v>
      </c>
      <c r="C438" t="s">
        <v>1824</v>
      </c>
      <c r="D438" t="s">
        <v>1825</v>
      </c>
      <c r="E438" t="s">
        <v>48</v>
      </c>
      <c r="F438" t="s">
        <v>30</v>
      </c>
      <c r="G438" t="s">
        <v>269</v>
      </c>
      <c r="H438" t="s">
        <v>32</v>
      </c>
      <c r="I438" t="s">
        <v>51</v>
      </c>
      <c r="J438" t="s">
        <v>34</v>
      </c>
      <c r="K438">
        <v>8</v>
      </c>
      <c r="L438">
        <v>315.08999999999997</v>
      </c>
      <c r="M438">
        <v>0</v>
      </c>
    </row>
    <row r="439" spans="1:13" x14ac:dyDescent="0.25">
      <c r="A439" t="s">
        <v>1826</v>
      </c>
      <c r="B439" t="s">
        <v>1827</v>
      </c>
      <c r="C439" t="s">
        <v>1828</v>
      </c>
      <c r="D439" t="s">
        <v>1829</v>
      </c>
      <c r="E439" t="s">
        <v>83</v>
      </c>
      <c r="F439" t="s">
        <v>84</v>
      </c>
      <c r="G439" t="s">
        <v>205</v>
      </c>
      <c r="H439" t="s">
        <v>32</v>
      </c>
      <c r="I439" t="s">
        <v>51</v>
      </c>
      <c r="J439" t="s">
        <v>73</v>
      </c>
      <c r="K439">
        <v>10</v>
      </c>
      <c r="L439">
        <v>559.04</v>
      </c>
      <c r="M439">
        <v>0.2</v>
      </c>
    </row>
    <row r="440" spans="1:13" x14ac:dyDescent="0.25">
      <c r="A440" t="s">
        <v>1830</v>
      </c>
      <c r="B440" t="s">
        <v>1831</v>
      </c>
      <c r="C440" t="s">
        <v>1832</v>
      </c>
      <c r="D440" t="s">
        <v>1833</v>
      </c>
      <c r="E440" t="s">
        <v>64</v>
      </c>
      <c r="F440" t="s">
        <v>84</v>
      </c>
      <c r="G440" t="s">
        <v>90</v>
      </c>
      <c r="H440" t="s">
        <v>32</v>
      </c>
      <c r="I440" t="s">
        <v>33</v>
      </c>
      <c r="J440" t="s">
        <v>59</v>
      </c>
      <c r="K440">
        <v>7</v>
      </c>
      <c r="L440">
        <v>1119.06</v>
      </c>
      <c r="M440">
        <v>0.05</v>
      </c>
    </row>
    <row r="441" spans="1:13" x14ac:dyDescent="0.25">
      <c r="A441" t="s">
        <v>1834</v>
      </c>
      <c r="B441" t="s">
        <v>1835</v>
      </c>
      <c r="C441" t="s">
        <v>1836</v>
      </c>
      <c r="D441" t="s">
        <v>1837</v>
      </c>
      <c r="E441" t="s">
        <v>29</v>
      </c>
      <c r="F441" t="s">
        <v>56</v>
      </c>
      <c r="G441" t="s">
        <v>95</v>
      </c>
      <c r="H441" t="s">
        <v>72</v>
      </c>
      <c r="I441" t="s">
        <v>33</v>
      </c>
      <c r="J441" t="s">
        <v>34</v>
      </c>
      <c r="K441">
        <v>2</v>
      </c>
      <c r="L441">
        <v>1441.47</v>
      </c>
      <c r="M441">
        <v>0</v>
      </c>
    </row>
    <row r="442" spans="1:13" x14ac:dyDescent="0.25">
      <c r="A442" t="s">
        <v>1838</v>
      </c>
      <c r="B442" t="s">
        <v>1839</v>
      </c>
      <c r="C442" t="s">
        <v>1840</v>
      </c>
      <c r="D442" t="s">
        <v>1841</v>
      </c>
      <c r="E442" t="s">
        <v>39</v>
      </c>
      <c r="F442" t="s">
        <v>40</v>
      </c>
      <c r="G442" t="s">
        <v>106</v>
      </c>
      <c r="H442" t="s">
        <v>32</v>
      </c>
      <c r="I442" t="s">
        <v>33</v>
      </c>
      <c r="J442" t="s">
        <v>59</v>
      </c>
      <c r="K442">
        <v>9</v>
      </c>
      <c r="L442">
        <v>844.26</v>
      </c>
      <c r="M442">
        <v>0.1</v>
      </c>
    </row>
    <row r="443" spans="1:13" x14ac:dyDescent="0.25">
      <c r="A443" t="s">
        <v>1842</v>
      </c>
      <c r="B443" t="s">
        <v>1843</v>
      </c>
      <c r="C443" t="s">
        <v>1844</v>
      </c>
      <c r="D443" t="s">
        <v>1845</v>
      </c>
      <c r="E443" t="s">
        <v>149</v>
      </c>
      <c r="F443" t="s">
        <v>56</v>
      </c>
      <c r="G443" t="s">
        <v>95</v>
      </c>
      <c r="H443" t="s">
        <v>58</v>
      </c>
      <c r="I443" t="s">
        <v>43</v>
      </c>
      <c r="J443" t="s">
        <v>34</v>
      </c>
      <c r="K443">
        <v>9</v>
      </c>
      <c r="L443">
        <v>1191.81</v>
      </c>
      <c r="M443">
        <v>0.1</v>
      </c>
    </row>
    <row r="444" spans="1:13" x14ac:dyDescent="0.25">
      <c r="A444" t="s">
        <v>1846</v>
      </c>
      <c r="B444" t="s">
        <v>1847</v>
      </c>
      <c r="C444" t="s">
        <v>1848</v>
      </c>
      <c r="D444" t="s">
        <v>1849</v>
      </c>
      <c r="E444" t="s">
        <v>71</v>
      </c>
      <c r="F444" t="s">
        <v>49</v>
      </c>
      <c r="G444" t="s">
        <v>226</v>
      </c>
      <c r="H444" t="s">
        <v>72</v>
      </c>
      <c r="I444" t="s">
        <v>33</v>
      </c>
      <c r="J444" t="s">
        <v>73</v>
      </c>
      <c r="K444">
        <v>6</v>
      </c>
      <c r="L444">
        <v>1241.8399999999999</v>
      </c>
      <c r="M444">
        <v>0.15</v>
      </c>
    </row>
    <row r="445" spans="1:13" x14ac:dyDescent="0.25">
      <c r="A445" t="s">
        <v>1850</v>
      </c>
      <c r="B445" t="s">
        <v>1851</v>
      </c>
      <c r="C445" t="s">
        <v>1852</v>
      </c>
      <c r="D445" t="s">
        <v>1853</v>
      </c>
      <c r="E445" t="s">
        <v>71</v>
      </c>
      <c r="F445" t="s">
        <v>49</v>
      </c>
      <c r="G445" t="s">
        <v>226</v>
      </c>
      <c r="H445" t="s">
        <v>32</v>
      </c>
      <c r="I445" t="s">
        <v>66</v>
      </c>
      <c r="J445" t="s">
        <v>126</v>
      </c>
      <c r="K445">
        <v>1</v>
      </c>
      <c r="L445">
        <v>1440.34</v>
      </c>
      <c r="M445">
        <v>0.2</v>
      </c>
    </row>
    <row r="446" spans="1:13" x14ac:dyDescent="0.25">
      <c r="A446" t="s">
        <v>1854</v>
      </c>
      <c r="B446" t="s">
        <v>1855</v>
      </c>
      <c r="C446" t="s">
        <v>1856</v>
      </c>
      <c r="D446" t="s">
        <v>1857</v>
      </c>
      <c r="E446" t="s">
        <v>29</v>
      </c>
      <c r="F446" t="s">
        <v>30</v>
      </c>
      <c r="G446" t="s">
        <v>31</v>
      </c>
      <c r="H446" t="s">
        <v>58</v>
      </c>
      <c r="I446" t="s">
        <v>33</v>
      </c>
      <c r="J446" t="s">
        <v>73</v>
      </c>
      <c r="K446">
        <v>1</v>
      </c>
      <c r="L446">
        <v>1285.74</v>
      </c>
      <c r="M446">
        <v>0.2</v>
      </c>
    </row>
    <row r="447" spans="1:13" x14ac:dyDescent="0.25">
      <c r="A447" t="s">
        <v>1858</v>
      </c>
      <c r="B447" t="s">
        <v>1859</v>
      </c>
      <c r="C447" t="s">
        <v>1860</v>
      </c>
      <c r="D447" t="s">
        <v>1861</v>
      </c>
      <c r="E447" t="s">
        <v>48</v>
      </c>
      <c r="F447" t="s">
        <v>30</v>
      </c>
      <c r="G447" t="s">
        <v>65</v>
      </c>
      <c r="H447" t="s">
        <v>72</v>
      </c>
      <c r="I447" t="s">
        <v>66</v>
      </c>
      <c r="J447" t="s">
        <v>59</v>
      </c>
      <c r="K447">
        <v>10</v>
      </c>
      <c r="L447">
        <v>560.12</v>
      </c>
      <c r="M447">
        <v>0</v>
      </c>
    </row>
    <row r="448" spans="1:13" x14ac:dyDescent="0.25">
      <c r="A448" t="s">
        <v>1862</v>
      </c>
      <c r="B448" t="s">
        <v>1863</v>
      </c>
      <c r="C448" t="s">
        <v>1864</v>
      </c>
      <c r="D448" t="s">
        <v>1865</v>
      </c>
      <c r="E448" t="s">
        <v>39</v>
      </c>
      <c r="F448" t="s">
        <v>56</v>
      </c>
      <c r="G448" t="s">
        <v>190</v>
      </c>
      <c r="H448" t="s">
        <v>32</v>
      </c>
      <c r="I448" t="s">
        <v>33</v>
      </c>
      <c r="J448" t="s">
        <v>59</v>
      </c>
      <c r="K448">
        <v>3</v>
      </c>
      <c r="L448">
        <v>1192.46</v>
      </c>
      <c r="M448">
        <v>0.1</v>
      </c>
    </row>
    <row r="449" spans="1:13" x14ac:dyDescent="0.25">
      <c r="A449" t="s">
        <v>1866</v>
      </c>
      <c r="B449" t="s">
        <v>1867</v>
      </c>
      <c r="C449" t="s">
        <v>1868</v>
      </c>
      <c r="D449" t="s">
        <v>1869</v>
      </c>
      <c r="E449" t="s">
        <v>64</v>
      </c>
      <c r="F449" t="s">
        <v>84</v>
      </c>
      <c r="G449" t="s">
        <v>412</v>
      </c>
      <c r="H449" t="s">
        <v>32</v>
      </c>
      <c r="I449" t="s">
        <v>43</v>
      </c>
      <c r="J449" t="s">
        <v>126</v>
      </c>
      <c r="K449">
        <v>7</v>
      </c>
      <c r="L449">
        <v>1321.49</v>
      </c>
      <c r="M449">
        <v>0.1</v>
      </c>
    </row>
    <row r="450" spans="1:13" x14ac:dyDescent="0.25">
      <c r="A450" t="s">
        <v>1870</v>
      </c>
      <c r="B450" t="s">
        <v>1871</v>
      </c>
      <c r="C450" t="s">
        <v>1872</v>
      </c>
      <c r="D450" t="s">
        <v>1873</v>
      </c>
      <c r="E450" t="s">
        <v>29</v>
      </c>
      <c r="F450" t="s">
        <v>40</v>
      </c>
      <c r="G450" t="s">
        <v>144</v>
      </c>
      <c r="H450" t="s">
        <v>58</v>
      </c>
      <c r="I450" t="s">
        <v>33</v>
      </c>
      <c r="J450" t="s">
        <v>73</v>
      </c>
      <c r="K450">
        <v>10</v>
      </c>
      <c r="L450">
        <v>489.19</v>
      </c>
      <c r="M450">
        <v>0</v>
      </c>
    </row>
    <row r="451" spans="1:13" x14ac:dyDescent="0.25">
      <c r="A451" t="s">
        <v>1874</v>
      </c>
      <c r="B451" t="s">
        <v>1875</v>
      </c>
      <c r="C451" t="s">
        <v>1876</v>
      </c>
      <c r="D451" t="s">
        <v>1877</v>
      </c>
      <c r="E451" t="s">
        <v>149</v>
      </c>
      <c r="F451" t="s">
        <v>49</v>
      </c>
      <c r="G451" t="s">
        <v>259</v>
      </c>
      <c r="H451" t="s">
        <v>42</v>
      </c>
      <c r="I451" t="s">
        <v>66</v>
      </c>
      <c r="J451" t="s">
        <v>34</v>
      </c>
      <c r="K451">
        <v>2</v>
      </c>
      <c r="L451">
        <v>869.25</v>
      </c>
      <c r="M451">
        <v>0</v>
      </c>
    </row>
    <row r="452" spans="1:13" x14ac:dyDescent="0.25">
      <c r="A452" t="s">
        <v>1878</v>
      </c>
      <c r="B452" t="s">
        <v>1879</v>
      </c>
      <c r="C452" t="s">
        <v>1880</v>
      </c>
      <c r="D452" t="s">
        <v>1881</v>
      </c>
      <c r="E452" t="s">
        <v>200</v>
      </c>
      <c r="F452" t="s">
        <v>40</v>
      </c>
      <c r="G452" t="s">
        <v>144</v>
      </c>
      <c r="H452" t="s">
        <v>42</v>
      </c>
      <c r="I452" t="s">
        <v>33</v>
      </c>
      <c r="J452" t="s">
        <v>34</v>
      </c>
      <c r="K452">
        <v>5</v>
      </c>
      <c r="L452">
        <v>829.01</v>
      </c>
      <c r="M452">
        <v>0</v>
      </c>
    </row>
    <row r="453" spans="1:13" x14ac:dyDescent="0.25">
      <c r="A453" t="s">
        <v>1882</v>
      </c>
      <c r="B453" t="s">
        <v>1883</v>
      </c>
      <c r="C453" t="s">
        <v>1884</v>
      </c>
      <c r="D453" t="s">
        <v>1885</v>
      </c>
      <c r="E453" t="s">
        <v>39</v>
      </c>
      <c r="F453" t="s">
        <v>49</v>
      </c>
      <c r="G453" t="s">
        <v>226</v>
      </c>
      <c r="H453" t="s">
        <v>72</v>
      </c>
      <c r="I453" t="s">
        <v>43</v>
      </c>
      <c r="J453" t="s">
        <v>126</v>
      </c>
      <c r="K453">
        <v>4</v>
      </c>
      <c r="L453">
        <v>983.59</v>
      </c>
      <c r="M453">
        <v>0.15</v>
      </c>
    </row>
    <row r="454" spans="1:13" x14ac:dyDescent="0.25">
      <c r="A454" t="s">
        <v>1886</v>
      </c>
      <c r="B454" t="s">
        <v>1887</v>
      </c>
      <c r="C454" t="s">
        <v>1888</v>
      </c>
      <c r="D454" t="s">
        <v>1889</v>
      </c>
      <c r="E454" t="s">
        <v>83</v>
      </c>
      <c r="F454" t="s">
        <v>56</v>
      </c>
      <c r="G454" t="s">
        <v>101</v>
      </c>
      <c r="H454" t="s">
        <v>58</v>
      </c>
      <c r="I454" t="s">
        <v>43</v>
      </c>
      <c r="J454" t="s">
        <v>59</v>
      </c>
      <c r="K454">
        <v>7</v>
      </c>
      <c r="L454">
        <v>1012.55</v>
      </c>
      <c r="M454">
        <v>0.05</v>
      </c>
    </row>
    <row r="455" spans="1:13" x14ac:dyDescent="0.25">
      <c r="A455" t="s">
        <v>1890</v>
      </c>
      <c r="B455" t="s">
        <v>1891</v>
      </c>
      <c r="C455" t="s">
        <v>1892</v>
      </c>
      <c r="D455" t="s">
        <v>1893</v>
      </c>
      <c r="E455" t="s">
        <v>29</v>
      </c>
      <c r="F455" t="s">
        <v>30</v>
      </c>
      <c r="G455" t="s">
        <v>65</v>
      </c>
      <c r="H455" t="s">
        <v>72</v>
      </c>
      <c r="I455" t="s">
        <v>96</v>
      </c>
      <c r="J455" t="s">
        <v>126</v>
      </c>
      <c r="K455">
        <v>8</v>
      </c>
      <c r="L455">
        <v>930.09</v>
      </c>
      <c r="M455">
        <v>0.15</v>
      </c>
    </row>
    <row r="456" spans="1:13" x14ac:dyDescent="0.25">
      <c r="A456" t="s">
        <v>1894</v>
      </c>
      <c r="B456" t="s">
        <v>1895</v>
      </c>
      <c r="C456" t="s">
        <v>1896</v>
      </c>
      <c r="D456" t="s">
        <v>1897</v>
      </c>
      <c r="E456" t="s">
        <v>48</v>
      </c>
      <c r="F456" t="s">
        <v>56</v>
      </c>
      <c r="G456" t="s">
        <v>101</v>
      </c>
      <c r="H456" t="s">
        <v>72</v>
      </c>
      <c r="I456" t="s">
        <v>66</v>
      </c>
      <c r="J456" t="s">
        <v>126</v>
      </c>
      <c r="K456">
        <v>4</v>
      </c>
      <c r="L456">
        <v>1113.28</v>
      </c>
      <c r="M456">
        <v>0.15</v>
      </c>
    </row>
    <row r="457" spans="1:13" x14ac:dyDescent="0.25">
      <c r="A457" t="s">
        <v>1898</v>
      </c>
      <c r="B457" t="s">
        <v>1899</v>
      </c>
      <c r="C457" t="s">
        <v>1900</v>
      </c>
      <c r="D457" t="s">
        <v>1901</v>
      </c>
      <c r="E457" t="s">
        <v>200</v>
      </c>
      <c r="F457" t="s">
        <v>49</v>
      </c>
      <c r="G457" t="s">
        <v>117</v>
      </c>
      <c r="H457" t="s">
        <v>72</v>
      </c>
      <c r="I457" t="s">
        <v>33</v>
      </c>
      <c r="J457" t="s">
        <v>59</v>
      </c>
      <c r="K457">
        <v>9</v>
      </c>
      <c r="L457">
        <v>507.84</v>
      </c>
      <c r="M457">
        <v>0</v>
      </c>
    </row>
    <row r="458" spans="1:13" x14ac:dyDescent="0.25">
      <c r="A458" t="s">
        <v>1902</v>
      </c>
      <c r="B458" t="s">
        <v>1903</v>
      </c>
      <c r="C458" t="s">
        <v>1904</v>
      </c>
      <c r="D458" t="s">
        <v>1905</v>
      </c>
      <c r="E458" t="s">
        <v>64</v>
      </c>
      <c r="F458" t="s">
        <v>49</v>
      </c>
      <c r="G458" t="s">
        <v>259</v>
      </c>
      <c r="H458" t="s">
        <v>58</v>
      </c>
      <c r="I458" t="s">
        <v>43</v>
      </c>
      <c r="J458" t="s">
        <v>126</v>
      </c>
      <c r="K458">
        <v>9</v>
      </c>
      <c r="L458">
        <v>1360.47</v>
      </c>
      <c r="M458">
        <v>0</v>
      </c>
    </row>
    <row r="459" spans="1:13" x14ac:dyDescent="0.25">
      <c r="A459" t="s">
        <v>1906</v>
      </c>
      <c r="B459" t="s">
        <v>1907</v>
      </c>
      <c r="C459" t="s">
        <v>1908</v>
      </c>
      <c r="D459" t="s">
        <v>1909</v>
      </c>
      <c r="E459" t="s">
        <v>29</v>
      </c>
      <c r="F459" t="s">
        <v>56</v>
      </c>
      <c r="G459" t="s">
        <v>57</v>
      </c>
      <c r="H459" t="s">
        <v>42</v>
      </c>
      <c r="I459" t="s">
        <v>66</v>
      </c>
      <c r="J459" t="s">
        <v>59</v>
      </c>
      <c r="K459">
        <v>1</v>
      </c>
      <c r="L459">
        <v>987.32</v>
      </c>
      <c r="M459">
        <v>0</v>
      </c>
    </row>
    <row r="460" spans="1:13" x14ac:dyDescent="0.25">
      <c r="A460" t="s">
        <v>1910</v>
      </c>
      <c r="B460" t="s">
        <v>1911</v>
      </c>
      <c r="C460" t="s">
        <v>1912</v>
      </c>
      <c r="D460" t="s">
        <v>1913</v>
      </c>
      <c r="E460" t="s">
        <v>149</v>
      </c>
      <c r="F460" t="s">
        <v>30</v>
      </c>
      <c r="G460" t="s">
        <v>195</v>
      </c>
      <c r="H460" t="s">
        <v>42</v>
      </c>
      <c r="I460" t="s">
        <v>33</v>
      </c>
      <c r="J460" t="s">
        <v>126</v>
      </c>
      <c r="K460">
        <v>2</v>
      </c>
      <c r="L460">
        <v>770.18</v>
      </c>
      <c r="M460">
        <v>0.05</v>
      </c>
    </row>
    <row r="461" spans="1:13" x14ac:dyDescent="0.25">
      <c r="A461" t="s">
        <v>1914</v>
      </c>
      <c r="B461" t="s">
        <v>1915</v>
      </c>
      <c r="C461" t="s">
        <v>1916</v>
      </c>
      <c r="D461" t="s">
        <v>1917</v>
      </c>
      <c r="E461" t="s">
        <v>78</v>
      </c>
      <c r="F461" t="s">
        <v>56</v>
      </c>
      <c r="G461" t="s">
        <v>101</v>
      </c>
      <c r="H461" t="s">
        <v>58</v>
      </c>
      <c r="I461" t="s">
        <v>96</v>
      </c>
      <c r="J461" t="s">
        <v>34</v>
      </c>
      <c r="K461">
        <v>9</v>
      </c>
      <c r="L461">
        <v>382.38</v>
      </c>
      <c r="M461">
        <v>0.05</v>
      </c>
    </row>
    <row r="462" spans="1:13" x14ac:dyDescent="0.25">
      <c r="A462" t="s">
        <v>1918</v>
      </c>
      <c r="B462" t="s">
        <v>1919</v>
      </c>
      <c r="C462" t="s">
        <v>1920</v>
      </c>
      <c r="D462" t="s">
        <v>1921</v>
      </c>
      <c r="E462" t="s">
        <v>71</v>
      </c>
      <c r="F462" t="s">
        <v>84</v>
      </c>
      <c r="G462" t="s">
        <v>412</v>
      </c>
      <c r="H462" t="s">
        <v>32</v>
      </c>
      <c r="I462" t="s">
        <v>66</v>
      </c>
      <c r="J462" t="s">
        <v>34</v>
      </c>
      <c r="K462">
        <v>9</v>
      </c>
      <c r="L462">
        <v>365.76</v>
      </c>
      <c r="M462">
        <v>0.05</v>
      </c>
    </row>
    <row r="463" spans="1:13" x14ac:dyDescent="0.25">
      <c r="A463" t="s">
        <v>1922</v>
      </c>
      <c r="B463" t="s">
        <v>1923</v>
      </c>
      <c r="C463" t="s">
        <v>1924</v>
      </c>
      <c r="D463" t="s">
        <v>1925</v>
      </c>
      <c r="E463" t="s">
        <v>48</v>
      </c>
      <c r="F463" t="s">
        <v>84</v>
      </c>
      <c r="G463" t="s">
        <v>264</v>
      </c>
      <c r="H463" t="s">
        <v>42</v>
      </c>
      <c r="I463" t="s">
        <v>33</v>
      </c>
      <c r="J463" t="s">
        <v>73</v>
      </c>
      <c r="K463">
        <v>2</v>
      </c>
      <c r="L463">
        <v>990.54</v>
      </c>
      <c r="M463">
        <v>0.2</v>
      </c>
    </row>
    <row r="464" spans="1:13" x14ac:dyDescent="0.25">
      <c r="A464" t="s">
        <v>1926</v>
      </c>
      <c r="B464" t="s">
        <v>1927</v>
      </c>
      <c r="C464" t="s">
        <v>1928</v>
      </c>
      <c r="D464" t="s">
        <v>1929</v>
      </c>
      <c r="E464" t="s">
        <v>149</v>
      </c>
      <c r="F464" t="s">
        <v>84</v>
      </c>
      <c r="G464" t="s">
        <v>90</v>
      </c>
      <c r="H464" t="s">
        <v>72</v>
      </c>
      <c r="I464" t="s">
        <v>43</v>
      </c>
      <c r="J464" t="s">
        <v>73</v>
      </c>
      <c r="K464">
        <v>9</v>
      </c>
      <c r="L464">
        <v>503.99</v>
      </c>
      <c r="M464">
        <v>0</v>
      </c>
    </row>
    <row r="465" spans="1:13" x14ac:dyDescent="0.25">
      <c r="A465" t="s">
        <v>1930</v>
      </c>
      <c r="B465" t="s">
        <v>1931</v>
      </c>
      <c r="C465" t="s">
        <v>1932</v>
      </c>
      <c r="D465" t="s">
        <v>1933</v>
      </c>
      <c r="E465" t="s">
        <v>78</v>
      </c>
      <c r="F465" t="s">
        <v>30</v>
      </c>
      <c r="G465" t="s">
        <v>195</v>
      </c>
      <c r="H465" t="s">
        <v>72</v>
      </c>
      <c r="I465" t="s">
        <v>66</v>
      </c>
      <c r="J465" t="s">
        <v>126</v>
      </c>
      <c r="K465">
        <v>3</v>
      </c>
      <c r="L465">
        <v>1493.59</v>
      </c>
      <c r="M465">
        <v>0.2</v>
      </c>
    </row>
    <row r="466" spans="1:13" x14ac:dyDescent="0.25">
      <c r="A466" t="s">
        <v>1934</v>
      </c>
      <c r="B466" t="s">
        <v>1935</v>
      </c>
      <c r="C466" t="s">
        <v>1936</v>
      </c>
      <c r="D466" t="s">
        <v>1937</v>
      </c>
      <c r="E466" t="s">
        <v>48</v>
      </c>
      <c r="F466" t="s">
        <v>84</v>
      </c>
      <c r="G466" t="s">
        <v>85</v>
      </c>
      <c r="H466" t="s">
        <v>42</v>
      </c>
      <c r="I466" t="s">
        <v>66</v>
      </c>
      <c r="J466" t="s">
        <v>34</v>
      </c>
      <c r="K466">
        <v>6</v>
      </c>
      <c r="L466">
        <v>1094.71</v>
      </c>
      <c r="M466">
        <v>0.1</v>
      </c>
    </row>
    <row r="467" spans="1:13" x14ac:dyDescent="0.25">
      <c r="A467" t="s">
        <v>1938</v>
      </c>
      <c r="B467" t="s">
        <v>1939</v>
      </c>
      <c r="C467" t="s">
        <v>1940</v>
      </c>
      <c r="D467" t="s">
        <v>1941</v>
      </c>
      <c r="E467" t="s">
        <v>39</v>
      </c>
      <c r="F467" t="s">
        <v>56</v>
      </c>
      <c r="G467" t="s">
        <v>95</v>
      </c>
      <c r="H467" t="s">
        <v>58</v>
      </c>
      <c r="I467" t="s">
        <v>33</v>
      </c>
      <c r="J467" t="s">
        <v>73</v>
      </c>
      <c r="K467">
        <v>10</v>
      </c>
      <c r="L467">
        <v>289.35000000000002</v>
      </c>
      <c r="M467">
        <v>0.15</v>
      </c>
    </row>
    <row r="468" spans="1:13" x14ac:dyDescent="0.25">
      <c r="A468" t="s">
        <v>1942</v>
      </c>
      <c r="B468" t="s">
        <v>1943</v>
      </c>
      <c r="C468" t="s">
        <v>1944</v>
      </c>
      <c r="D468" t="s">
        <v>1945</v>
      </c>
      <c r="E468" t="s">
        <v>64</v>
      </c>
      <c r="F468" t="s">
        <v>84</v>
      </c>
      <c r="G468" t="s">
        <v>205</v>
      </c>
      <c r="H468" t="s">
        <v>42</v>
      </c>
      <c r="I468" t="s">
        <v>66</v>
      </c>
      <c r="J468" t="s">
        <v>73</v>
      </c>
      <c r="K468">
        <v>8</v>
      </c>
      <c r="L468">
        <v>1036.8900000000001</v>
      </c>
      <c r="M468">
        <v>0</v>
      </c>
    </row>
    <row r="469" spans="1:13" x14ac:dyDescent="0.25">
      <c r="A469" t="s">
        <v>1946</v>
      </c>
      <c r="B469" t="s">
        <v>1947</v>
      </c>
      <c r="C469" t="s">
        <v>1948</v>
      </c>
      <c r="D469" t="s">
        <v>1949</v>
      </c>
      <c r="E469" t="s">
        <v>48</v>
      </c>
      <c r="F469" t="s">
        <v>30</v>
      </c>
      <c r="G469" t="s">
        <v>31</v>
      </c>
      <c r="H469" t="s">
        <v>42</v>
      </c>
      <c r="I469" t="s">
        <v>43</v>
      </c>
      <c r="J469" t="s">
        <v>73</v>
      </c>
      <c r="K469">
        <v>1</v>
      </c>
      <c r="L469">
        <v>62.86</v>
      </c>
      <c r="M469">
        <v>0.05</v>
      </c>
    </row>
    <row r="470" spans="1:13" x14ac:dyDescent="0.25">
      <c r="A470" t="s">
        <v>1950</v>
      </c>
      <c r="B470" t="s">
        <v>1951</v>
      </c>
      <c r="C470" t="s">
        <v>1952</v>
      </c>
      <c r="D470" t="s">
        <v>1953</v>
      </c>
      <c r="E470" t="s">
        <v>200</v>
      </c>
      <c r="F470" t="s">
        <v>40</v>
      </c>
      <c r="G470" t="s">
        <v>565</v>
      </c>
      <c r="H470" t="s">
        <v>42</v>
      </c>
      <c r="I470" t="s">
        <v>96</v>
      </c>
      <c r="J470" t="s">
        <v>126</v>
      </c>
      <c r="K470">
        <v>8</v>
      </c>
      <c r="L470">
        <v>1036.48</v>
      </c>
      <c r="M470">
        <v>0</v>
      </c>
    </row>
    <row r="471" spans="1:13" x14ac:dyDescent="0.25">
      <c r="A471" t="s">
        <v>1954</v>
      </c>
      <c r="B471" t="s">
        <v>1955</v>
      </c>
      <c r="C471" t="s">
        <v>1956</v>
      </c>
      <c r="D471" t="s">
        <v>1957</v>
      </c>
      <c r="E471" t="s">
        <v>149</v>
      </c>
      <c r="F471" t="s">
        <v>40</v>
      </c>
      <c r="G471" t="s">
        <v>41</v>
      </c>
      <c r="H471" t="s">
        <v>32</v>
      </c>
      <c r="I471" t="s">
        <v>33</v>
      </c>
      <c r="J471" t="s">
        <v>126</v>
      </c>
      <c r="K471">
        <v>9</v>
      </c>
      <c r="L471">
        <v>896.8</v>
      </c>
      <c r="M471">
        <v>0.2</v>
      </c>
    </row>
    <row r="472" spans="1:13" x14ac:dyDescent="0.25">
      <c r="A472" t="s">
        <v>1958</v>
      </c>
      <c r="B472" t="s">
        <v>1959</v>
      </c>
      <c r="C472" t="s">
        <v>1960</v>
      </c>
      <c r="D472" t="s">
        <v>1961</v>
      </c>
      <c r="E472" t="s">
        <v>39</v>
      </c>
      <c r="F472" t="s">
        <v>40</v>
      </c>
      <c r="G472" t="s">
        <v>41</v>
      </c>
      <c r="H472" t="s">
        <v>42</v>
      </c>
      <c r="I472" t="s">
        <v>33</v>
      </c>
      <c r="J472" t="s">
        <v>126</v>
      </c>
      <c r="K472">
        <v>1</v>
      </c>
      <c r="L472">
        <v>602.48</v>
      </c>
      <c r="M472">
        <v>0.15</v>
      </c>
    </row>
    <row r="473" spans="1:13" x14ac:dyDescent="0.25">
      <c r="A473" t="s">
        <v>1962</v>
      </c>
      <c r="B473" t="s">
        <v>1963</v>
      </c>
      <c r="C473" t="s">
        <v>1964</v>
      </c>
      <c r="D473" t="s">
        <v>1965</v>
      </c>
      <c r="E473" t="s">
        <v>29</v>
      </c>
      <c r="F473" t="s">
        <v>84</v>
      </c>
      <c r="G473" t="s">
        <v>264</v>
      </c>
      <c r="H473" t="s">
        <v>32</v>
      </c>
      <c r="I473" t="s">
        <v>33</v>
      </c>
      <c r="J473" t="s">
        <v>73</v>
      </c>
      <c r="K473">
        <v>5</v>
      </c>
      <c r="L473">
        <v>262.23</v>
      </c>
      <c r="M473">
        <v>0.15</v>
      </c>
    </row>
    <row r="474" spans="1:13" x14ac:dyDescent="0.25">
      <c r="A474" t="s">
        <v>1966</v>
      </c>
      <c r="B474" t="s">
        <v>1967</v>
      </c>
      <c r="C474" t="s">
        <v>1968</v>
      </c>
      <c r="D474" t="s">
        <v>1969</v>
      </c>
      <c r="E474" t="s">
        <v>78</v>
      </c>
      <c r="F474" t="s">
        <v>56</v>
      </c>
      <c r="G474" t="s">
        <v>95</v>
      </c>
      <c r="H474" t="s">
        <v>42</v>
      </c>
      <c r="I474" t="s">
        <v>96</v>
      </c>
      <c r="J474" t="s">
        <v>59</v>
      </c>
      <c r="K474">
        <v>9</v>
      </c>
      <c r="L474">
        <v>1171.42</v>
      </c>
      <c r="M474">
        <v>0</v>
      </c>
    </row>
    <row r="475" spans="1:13" x14ac:dyDescent="0.25">
      <c r="A475" t="s">
        <v>1970</v>
      </c>
      <c r="B475" t="s">
        <v>1971</v>
      </c>
      <c r="C475" t="s">
        <v>1972</v>
      </c>
      <c r="D475" t="s">
        <v>1973</v>
      </c>
      <c r="E475" t="s">
        <v>83</v>
      </c>
      <c r="F475" t="s">
        <v>30</v>
      </c>
      <c r="G475" t="s">
        <v>195</v>
      </c>
      <c r="H475" t="s">
        <v>72</v>
      </c>
      <c r="I475" t="s">
        <v>51</v>
      </c>
      <c r="J475" t="s">
        <v>126</v>
      </c>
      <c r="K475">
        <v>6</v>
      </c>
      <c r="L475">
        <v>148.91999999999999</v>
      </c>
      <c r="M475">
        <v>0.2</v>
      </c>
    </row>
    <row r="476" spans="1:13" x14ac:dyDescent="0.25">
      <c r="A476" t="s">
        <v>1974</v>
      </c>
      <c r="B476" t="s">
        <v>1975</v>
      </c>
      <c r="C476" t="s">
        <v>1976</v>
      </c>
      <c r="D476" t="s">
        <v>1977</v>
      </c>
      <c r="E476" t="s">
        <v>71</v>
      </c>
      <c r="F476" t="s">
        <v>56</v>
      </c>
      <c r="G476" t="s">
        <v>111</v>
      </c>
      <c r="H476" t="s">
        <v>72</v>
      </c>
      <c r="I476" t="s">
        <v>96</v>
      </c>
      <c r="J476" t="s">
        <v>34</v>
      </c>
      <c r="K476">
        <v>9</v>
      </c>
      <c r="L476">
        <v>1065.31</v>
      </c>
      <c r="M476">
        <v>0.15</v>
      </c>
    </row>
    <row r="477" spans="1:13" x14ac:dyDescent="0.25">
      <c r="A477" t="s">
        <v>1978</v>
      </c>
      <c r="B477" t="s">
        <v>1979</v>
      </c>
      <c r="C477" t="s">
        <v>1980</v>
      </c>
      <c r="D477" t="s">
        <v>1981</v>
      </c>
      <c r="E477" t="s">
        <v>48</v>
      </c>
      <c r="F477" t="s">
        <v>30</v>
      </c>
      <c r="G477" t="s">
        <v>31</v>
      </c>
      <c r="H477" t="s">
        <v>58</v>
      </c>
      <c r="I477" t="s">
        <v>66</v>
      </c>
      <c r="J477" t="s">
        <v>34</v>
      </c>
      <c r="K477">
        <v>1</v>
      </c>
      <c r="L477">
        <v>280.62</v>
      </c>
      <c r="M477">
        <v>0.1</v>
      </c>
    </row>
    <row r="478" spans="1:13" x14ac:dyDescent="0.25">
      <c r="A478" t="s">
        <v>1982</v>
      </c>
      <c r="B478" t="s">
        <v>1983</v>
      </c>
      <c r="C478" t="s">
        <v>1984</v>
      </c>
      <c r="D478" t="s">
        <v>1985</v>
      </c>
      <c r="E478" t="s">
        <v>48</v>
      </c>
      <c r="F478" t="s">
        <v>30</v>
      </c>
      <c r="G478" t="s">
        <v>269</v>
      </c>
      <c r="H478" t="s">
        <v>42</v>
      </c>
      <c r="I478" t="s">
        <v>96</v>
      </c>
      <c r="J478" t="s">
        <v>34</v>
      </c>
      <c r="K478">
        <v>5</v>
      </c>
      <c r="L478">
        <v>939.5</v>
      </c>
      <c r="M478">
        <v>0</v>
      </c>
    </row>
    <row r="479" spans="1:13" x14ac:dyDescent="0.25">
      <c r="A479" t="s">
        <v>1986</v>
      </c>
      <c r="B479" t="s">
        <v>1987</v>
      </c>
      <c r="C479" t="s">
        <v>1988</v>
      </c>
      <c r="D479" t="s">
        <v>1989</v>
      </c>
      <c r="E479" t="s">
        <v>200</v>
      </c>
      <c r="F479" t="s">
        <v>30</v>
      </c>
      <c r="G479" t="s">
        <v>31</v>
      </c>
      <c r="H479" t="s">
        <v>42</v>
      </c>
      <c r="I479" t="s">
        <v>96</v>
      </c>
      <c r="J479" t="s">
        <v>126</v>
      </c>
      <c r="K479">
        <v>8</v>
      </c>
      <c r="L479">
        <v>889.46</v>
      </c>
      <c r="M479">
        <v>0.1</v>
      </c>
    </row>
    <row r="480" spans="1:13" x14ac:dyDescent="0.25">
      <c r="A480" t="s">
        <v>1990</v>
      </c>
      <c r="B480" t="s">
        <v>1991</v>
      </c>
      <c r="C480" t="s">
        <v>1992</v>
      </c>
      <c r="D480" t="s">
        <v>1993</v>
      </c>
      <c r="E480" t="s">
        <v>78</v>
      </c>
      <c r="F480" t="s">
        <v>84</v>
      </c>
      <c r="G480" t="s">
        <v>90</v>
      </c>
      <c r="H480" t="s">
        <v>72</v>
      </c>
      <c r="I480" t="s">
        <v>43</v>
      </c>
      <c r="J480" t="s">
        <v>126</v>
      </c>
      <c r="K480">
        <v>4</v>
      </c>
      <c r="L480">
        <v>948.52</v>
      </c>
      <c r="M480">
        <v>0</v>
      </c>
    </row>
    <row r="481" spans="1:13" x14ac:dyDescent="0.25">
      <c r="A481" t="s">
        <v>1994</v>
      </c>
      <c r="B481" t="s">
        <v>1995</v>
      </c>
      <c r="C481" t="s">
        <v>1996</v>
      </c>
      <c r="D481" t="s">
        <v>1997</v>
      </c>
      <c r="E481" t="s">
        <v>64</v>
      </c>
      <c r="F481" t="s">
        <v>40</v>
      </c>
      <c r="G481" t="s">
        <v>41</v>
      </c>
      <c r="H481" t="s">
        <v>32</v>
      </c>
      <c r="I481" t="s">
        <v>96</v>
      </c>
      <c r="J481" t="s">
        <v>73</v>
      </c>
      <c r="K481">
        <v>2</v>
      </c>
      <c r="L481">
        <v>458.19</v>
      </c>
      <c r="M481">
        <v>0</v>
      </c>
    </row>
    <row r="482" spans="1:13" x14ac:dyDescent="0.25">
      <c r="A482" t="s">
        <v>1998</v>
      </c>
      <c r="B482" t="s">
        <v>1999</v>
      </c>
      <c r="C482" t="s">
        <v>2000</v>
      </c>
      <c r="D482" t="s">
        <v>2001</v>
      </c>
      <c r="E482" t="s">
        <v>83</v>
      </c>
      <c r="F482" t="s">
        <v>40</v>
      </c>
      <c r="G482" t="s">
        <v>41</v>
      </c>
      <c r="H482" t="s">
        <v>58</v>
      </c>
      <c r="I482" t="s">
        <v>51</v>
      </c>
      <c r="J482" t="s">
        <v>126</v>
      </c>
      <c r="K482">
        <v>8</v>
      </c>
      <c r="L482">
        <v>278.47000000000003</v>
      </c>
      <c r="M482">
        <v>0.2</v>
      </c>
    </row>
    <row r="483" spans="1:13" x14ac:dyDescent="0.25">
      <c r="A483" t="s">
        <v>2002</v>
      </c>
      <c r="B483" t="s">
        <v>2003</v>
      </c>
      <c r="C483" t="s">
        <v>2004</v>
      </c>
      <c r="D483" t="s">
        <v>2005</v>
      </c>
      <c r="E483" t="s">
        <v>149</v>
      </c>
      <c r="F483" t="s">
        <v>56</v>
      </c>
      <c r="G483" t="s">
        <v>57</v>
      </c>
      <c r="H483" t="s">
        <v>42</v>
      </c>
      <c r="I483" t="s">
        <v>43</v>
      </c>
      <c r="J483" t="s">
        <v>126</v>
      </c>
      <c r="K483">
        <v>2</v>
      </c>
      <c r="L483">
        <v>1267.31</v>
      </c>
      <c r="M483">
        <v>0.05</v>
      </c>
    </row>
    <row r="484" spans="1:13" x14ac:dyDescent="0.25">
      <c r="A484" t="s">
        <v>2006</v>
      </c>
      <c r="B484" t="s">
        <v>2007</v>
      </c>
      <c r="C484" t="s">
        <v>2008</v>
      </c>
      <c r="D484" t="s">
        <v>2009</v>
      </c>
      <c r="E484" t="s">
        <v>78</v>
      </c>
      <c r="F484" t="s">
        <v>30</v>
      </c>
      <c r="G484" t="s">
        <v>31</v>
      </c>
      <c r="H484" t="s">
        <v>32</v>
      </c>
      <c r="I484" t="s">
        <v>96</v>
      </c>
      <c r="J484" t="s">
        <v>59</v>
      </c>
      <c r="K484">
        <v>2</v>
      </c>
      <c r="L484">
        <v>923.9</v>
      </c>
      <c r="M484">
        <v>0.15</v>
      </c>
    </row>
    <row r="485" spans="1:13" x14ac:dyDescent="0.25">
      <c r="A485" t="s">
        <v>2010</v>
      </c>
      <c r="B485" t="s">
        <v>2011</v>
      </c>
      <c r="C485" t="s">
        <v>2012</v>
      </c>
      <c r="D485" t="s">
        <v>2013</v>
      </c>
      <c r="E485" t="s">
        <v>78</v>
      </c>
      <c r="F485" t="s">
        <v>40</v>
      </c>
      <c r="G485" t="s">
        <v>41</v>
      </c>
      <c r="H485" t="s">
        <v>42</v>
      </c>
      <c r="I485" t="s">
        <v>33</v>
      </c>
      <c r="J485" t="s">
        <v>34</v>
      </c>
      <c r="K485">
        <v>3</v>
      </c>
      <c r="L485">
        <v>540.47</v>
      </c>
      <c r="M485">
        <v>0.15</v>
      </c>
    </row>
    <row r="486" spans="1:13" x14ac:dyDescent="0.25">
      <c r="A486" t="s">
        <v>2014</v>
      </c>
      <c r="B486" t="s">
        <v>2015</v>
      </c>
      <c r="C486" t="s">
        <v>2016</v>
      </c>
      <c r="D486" t="s">
        <v>2017</v>
      </c>
      <c r="E486" t="s">
        <v>29</v>
      </c>
      <c r="F486" t="s">
        <v>30</v>
      </c>
      <c r="G486" t="s">
        <v>269</v>
      </c>
      <c r="H486" t="s">
        <v>32</v>
      </c>
      <c r="I486" t="s">
        <v>43</v>
      </c>
      <c r="J486" t="s">
        <v>34</v>
      </c>
      <c r="K486">
        <v>8</v>
      </c>
      <c r="L486">
        <v>190.54</v>
      </c>
      <c r="M486">
        <v>0.2</v>
      </c>
    </row>
    <row r="487" spans="1:13" x14ac:dyDescent="0.25">
      <c r="A487" t="s">
        <v>2018</v>
      </c>
      <c r="B487" t="s">
        <v>2019</v>
      </c>
      <c r="C487" t="s">
        <v>2020</v>
      </c>
      <c r="D487" t="s">
        <v>2021</v>
      </c>
      <c r="E487" t="s">
        <v>78</v>
      </c>
      <c r="F487" t="s">
        <v>30</v>
      </c>
      <c r="G487" t="s">
        <v>269</v>
      </c>
      <c r="H487" t="s">
        <v>32</v>
      </c>
      <c r="I487" t="s">
        <v>66</v>
      </c>
      <c r="J487" t="s">
        <v>59</v>
      </c>
      <c r="K487">
        <v>5</v>
      </c>
      <c r="L487">
        <v>966.32</v>
      </c>
      <c r="M487">
        <v>0.05</v>
      </c>
    </row>
    <row r="488" spans="1:13" x14ac:dyDescent="0.25">
      <c r="A488" t="s">
        <v>2022</v>
      </c>
      <c r="B488" t="s">
        <v>2023</v>
      </c>
      <c r="C488" t="s">
        <v>2024</v>
      </c>
      <c r="D488" t="s">
        <v>2025</v>
      </c>
      <c r="E488" t="s">
        <v>64</v>
      </c>
      <c r="F488" t="s">
        <v>56</v>
      </c>
      <c r="G488" t="s">
        <v>190</v>
      </c>
      <c r="H488" t="s">
        <v>32</v>
      </c>
      <c r="I488" t="s">
        <v>43</v>
      </c>
      <c r="J488" t="s">
        <v>73</v>
      </c>
      <c r="K488">
        <v>10</v>
      </c>
      <c r="L488">
        <v>521.91999999999996</v>
      </c>
      <c r="M488">
        <v>0.15</v>
      </c>
    </row>
    <row r="489" spans="1:13" x14ac:dyDescent="0.25">
      <c r="A489" t="s">
        <v>2026</v>
      </c>
      <c r="B489" t="s">
        <v>2027</v>
      </c>
      <c r="C489" t="s">
        <v>2028</v>
      </c>
      <c r="D489" t="s">
        <v>2029</v>
      </c>
      <c r="E489" t="s">
        <v>200</v>
      </c>
      <c r="F489" t="s">
        <v>56</v>
      </c>
      <c r="G489" t="s">
        <v>95</v>
      </c>
      <c r="H489" t="s">
        <v>58</v>
      </c>
      <c r="I489" t="s">
        <v>96</v>
      </c>
      <c r="J489" t="s">
        <v>34</v>
      </c>
      <c r="K489">
        <v>8</v>
      </c>
      <c r="L489">
        <v>730.02</v>
      </c>
      <c r="M489">
        <v>0.15</v>
      </c>
    </row>
    <row r="490" spans="1:13" x14ac:dyDescent="0.25">
      <c r="A490" t="s">
        <v>2030</v>
      </c>
      <c r="B490" t="s">
        <v>2031</v>
      </c>
      <c r="C490" t="s">
        <v>2032</v>
      </c>
      <c r="D490" t="s">
        <v>2033</v>
      </c>
      <c r="E490" t="s">
        <v>71</v>
      </c>
      <c r="F490" t="s">
        <v>40</v>
      </c>
      <c r="G490" t="s">
        <v>41</v>
      </c>
      <c r="H490" t="s">
        <v>58</v>
      </c>
      <c r="I490" t="s">
        <v>66</v>
      </c>
      <c r="J490" t="s">
        <v>126</v>
      </c>
      <c r="K490">
        <v>10</v>
      </c>
      <c r="L490">
        <v>42.8</v>
      </c>
      <c r="M490">
        <v>0.2</v>
      </c>
    </row>
    <row r="491" spans="1:13" x14ac:dyDescent="0.25">
      <c r="A491" t="s">
        <v>2034</v>
      </c>
      <c r="B491" t="s">
        <v>2035</v>
      </c>
      <c r="C491" t="s">
        <v>2036</v>
      </c>
      <c r="D491" t="s">
        <v>2037</v>
      </c>
      <c r="E491" t="s">
        <v>149</v>
      </c>
      <c r="F491" t="s">
        <v>40</v>
      </c>
      <c r="G491" t="s">
        <v>106</v>
      </c>
      <c r="H491" t="s">
        <v>32</v>
      </c>
      <c r="I491" t="s">
        <v>66</v>
      </c>
      <c r="J491" t="s">
        <v>59</v>
      </c>
      <c r="K491">
        <v>7</v>
      </c>
      <c r="L491">
        <v>862.91</v>
      </c>
      <c r="M491">
        <v>0</v>
      </c>
    </row>
    <row r="492" spans="1:13" x14ac:dyDescent="0.25">
      <c r="A492" t="s">
        <v>2038</v>
      </c>
      <c r="B492" t="s">
        <v>2039</v>
      </c>
      <c r="C492" t="s">
        <v>2040</v>
      </c>
      <c r="D492" t="s">
        <v>2041</v>
      </c>
      <c r="E492" t="s">
        <v>200</v>
      </c>
      <c r="F492" t="s">
        <v>30</v>
      </c>
      <c r="G492" t="s">
        <v>65</v>
      </c>
      <c r="H492" t="s">
        <v>58</v>
      </c>
      <c r="I492" t="s">
        <v>43</v>
      </c>
      <c r="J492" t="s">
        <v>126</v>
      </c>
      <c r="K492">
        <v>5</v>
      </c>
      <c r="L492">
        <v>686.08</v>
      </c>
      <c r="M492">
        <v>0</v>
      </c>
    </row>
    <row r="493" spans="1:13" x14ac:dyDescent="0.25">
      <c r="A493" t="s">
        <v>2042</v>
      </c>
      <c r="B493" t="s">
        <v>2043</v>
      </c>
      <c r="C493" t="s">
        <v>2044</v>
      </c>
      <c r="D493" t="s">
        <v>2045</v>
      </c>
      <c r="E493" t="s">
        <v>116</v>
      </c>
      <c r="F493" t="s">
        <v>49</v>
      </c>
      <c r="G493" t="s">
        <v>259</v>
      </c>
      <c r="H493" t="s">
        <v>72</v>
      </c>
      <c r="I493" t="s">
        <v>43</v>
      </c>
      <c r="J493" t="s">
        <v>59</v>
      </c>
      <c r="K493">
        <v>8</v>
      </c>
      <c r="L493">
        <v>52.03</v>
      </c>
      <c r="M493">
        <v>0.15</v>
      </c>
    </row>
    <row r="494" spans="1:13" x14ac:dyDescent="0.25">
      <c r="A494" t="s">
        <v>2046</v>
      </c>
      <c r="B494" t="s">
        <v>2047</v>
      </c>
      <c r="C494" t="s">
        <v>2048</v>
      </c>
      <c r="D494" t="s">
        <v>2049</v>
      </c>
      <c r="E494" t="s">
        <v>71</v>
      </c>
      <c r="F494" t="s">
        <v>30</v>
      </c>
      <c r="G494" t="s">
        <v>269</v>
      </c>
      <c r="H494" t="s">
        <v>72</v>
      </c>
      <c r="I494" t="s">
        <v>43</v>
      </c>
      <c r="J494" t="s">
        <v>126</v>
      </c>
      <c r="K494">
        <v>9</v>
      </c>
      <c r="L494">
        <v>1235.8800000000001</v>
      </c>
      <c r="M494">
        <v>0.2</v>
      </c>
    </row>
    <row r="495" spans="1:13" x14ac:dyDescent="0.25">
      <c r="A495" t="s">
        <v>2050</v>
      </c>
      <c r="B495" t="s">
        <v>2051</v>
      </c>
      <c r="C495" t="s">
        <v>2052</v>
      </c>
      <c r="D495" t="s">
        <v>2053</v>
      </c>
      <c r="E495" t="s">
        <v>78</v>
      </c>
      <c r="F495" t="s">
        <v>56</v>
      </c>
      <c r="G495" t="s">
        <v>101</v>
      </c>
      <c r="H495" t="s">
        <v>32</v>
      </c>
      <c r="I495" t="s">
        <v>66</v>
      </c>
      <c r="J495" t="s">
        <v>34</v>
      </c>
      <c r="K495">
        <v>1</v>
      </c>
      <c r="L495">
        <v>476.81</v>
      </c>
      <c r="M495">
        <v>0.2</v>
      </c>
    </row>
    <row r="496" spans="1:13" x14ac:dyDescent="0.25">
      <c r="A496" t="s">
        <v>2054</v>
      </c>
      <c r="B496" t="s">
        <v>2055</v>
      </c>
      <c r="C496" t="s">
        <v>2056</v>
      </c>
      <c r="D496" t="s">
        <v>2057</v>
      </c>
      <c r="E496" t="s">
        <v>29</v>
      </c>
      <c r="F496" t="s">
        <v>56</v>
      </c>
      <c r="G496" t="s">
        <v>111</v>
      </c>
      <c r="H496" t="s">
        <v>72</v>
      </c>
      <c r="I496" t="s">
        <v>43</v>
      </c>
      <c r="J496" t="s">
        <v>59</v>
      </c>
      <c r="K496">
        <v>4</v>
      </c>
      <c r="L496">
        <v>1141.3599999999999</v>
      </c>
      <c r="M496">
        <v>0.05</v>
      </c>
    </row>
    <row r="497" spans="1:13" x14ac:dyDescent="0.25">
      <c r="A497" t="s">
        <v>2058</v>
      </c>
      <c r="B497" t="s">
        <v>2059</v>
      </c>
      <c r="C497" t="s">
        <v>2060</v>
      </c>
      <c r="D497" t="s">
        <v>2061</v>
      </c>
      <c r="E497" t="s">
        <v>200</v>
      </c>
      <c r="F497" t="s">
        <v>56</v>
      </c>
      <c r="G497" t="s">
        <v>190</v>
      </c>
      <c r="H497" t="s">
        <v>32</v>
      </c>
      <c r="I497" t="s">
        <v>33</v>
      </c>
      <c r="J497" t="s">
        <v>126</v>
      </c>
      <c r="K497">
        <v>5</v>
      </c>
      <c r="L497">
        <v>236.74</v>
      </c>
      <c r="M497">
        <v>0</v>
      </c>
    </row>
    <row r="498" spans="1:13" x14ac:dyDescent="0.25">
      <c r="A498" t="s">
        <v>2062</v>
      </c>
      <c r="B498" t="s">
        <v>2063</v>
      </c>
      <c r="C498" t="s">
        <v>2064</v>
      </c>
      <c r="D498" t="s">
        <v>2065</v>
      </c>
      <c r="E498" t="s">
        <v>71</v>
      </c>
      <c r="F498" t="s">
        <v>84</v>
      </c>
      <c r="G498" t="s">
        <v>85</v>
      </c>
      <c r="H498" t="s">
        <v>72</v>
      </c>
      <c r="I498" t="s">
        <v>43</v>
      </c>
      <c r="J498" t="s">
        <v>126</v>
      </c>
      <c r="K498">
        <v>5</v>
      </c>
      <c r="L498">
        <v>1415.77</v>
      </c>
      <c r="M498">
        <v>0.15</v>
      </c>
    </row>
    <row r="499" spans="1:13" x14ac:dyDescent="0.25">
      <c r="A499" t="s">
        <v>2066</v>
      </c>
      <c r="B499" t="s">
        <v>2067</v>
      </c>
      <c r="C499" t="s">
        <v>2068</v>
      </c>
      <c r="D499" t="s">
        <v>2069</v>
      </c>
      <c r="E499" t="s">
        <v>200</v>
      </c>
      <c r="F499" t="s">
        <v>56</v>
      </c>
      <c r="G499" t="s">
        <v>95</v>
      </c>
      <c r="H499" t="s">
        <v>42</v>
      </c>
      <c r="I499" t="s">
        <v>51</v>
      </c>
      <c r="J499" t="s">
        <v>126</v>
      </c>
      <c r="K499">
        <v>1</v>
      </c>
      <c r="L499">
        <v>58.05</v>
      </c>
      <c r="M499">
        <v>0</v>
      </c>
    </row>
    <row r="500" spans="1:13" x14ac:dyDescent="0.25">
      <c r="A500" t="s">
        <v>2070</v>
      </c>
      <c r="B500" t="s">
        <v>2071</v>
      </c>
      <c r="C500" t="s">
        <v>2072</v>
      </c>
      <c r="D500" t="s">
        <v>2073</v>
      </c>
      <c r="E500" t="s">
        <v>83</v>
      </c>
      <c r="F500" t="s">
        <v>40</v>
      </c>
      <c r="G500" t="s">
        <v>565</v>
      </c>
      <c r="H500" t="s">
        <v>72</v>
      </c>
      <c r="I500" t="s">
        <v>33</v>
      </c>
      <c r="J500" t="s">
        <v>126</v>
      </c>
      <c r="K500">
        <v>5</v>
      </c>
      <c r="L500">
        <v>930.23</v>
      </c>
      <c r="M500">
        <v>0.05</v>
      </c>
    </row>
    <row r="501" spans="1:13" x14ac:dyDescent="0.25">
      <c r="A501" t="s">
        <v>2074</v>
      </c>
      <c r="B501" t="s">
        <v>2075</v>
      </c>
      <c r="C501" t="s">
        <v>2076</v>
      </c>
      <c r="D501" t="s">
        <v>2077</v>
      </c>
      <c r="E501" t="s">
        <v>200</v>
      </c>
      <c r="F501" t="s">
        <v>56</v>
      </c>
      <c r="G501" t="s">
        <v>57</v>
      </c>
      <c r="H501" t="s">
        <v>72</v>
      </c>
      <c r="I501" t="s">
        <v>43</v>
      </c>
      <c r="J501" t="s">
        <v>73</v>
      </c>
      <c r="K501">
        <v>8</v>
      </c>
      <c r="L501">
        <v>475.93</v>
      </c>
      <c r="M501">
        <v>0.1</v>
      </c>
    </row>
    <row r="502" spans="1:13" x14ac:dyDescent="0.25">
      <c r="A502" t="s">
        <v>2078</v>
      </c>
      <c r="B502" t="s">
        <v>2079</v>
      </c>
      <c r="C502" t="s">
        <v>2080</v>
      </c>
      <c r="D502" t="s">
        <v>2081</v>
      </c>
      <c r="E502" t="s">
        <v>48</v>
      </c>
      <c r="F502" t="s">
        <v>84</v>
      </c>
      <c r="G502" t="s">
        <v>412</v>
      </c>
      <c r="H502" t="s">
        <v>42</v>
      </c>
      <c r="I502" t="s">
        <v>51</v>
      </c>
      <c r="J502" t="s">
        <v>59</v>
      </c>
      <c r="K502">
        <v>1</v>
      </c>
      <c r="L502">
        <v>688.13</v>
      </c>
      <c r="M502">
        <v>0</v>
      </c>
    </row>
    <row r="503" spans="1:13" x14ac:dyDescent="0.25">
      <c r="A503" t="s">
        <v>2082</v>
      </c>
      <c r="B503" t="s">
        <v>2083</v>
      </c>
      <c r="C503" t="s">
        <v>2084</v>
      </c>
      <c r="D503" t="s">
        <v>2085</v>
      </c>
      <c r="E503" t="s">
        <v>71</v>
      </c>
      <c r="F503" t="s">
        <v>40</v>
      </c>
      <c r="G503" t="s">
        <v>41</v>
      </c>
      <c r="H503" t="s">
        <v>32</v>
      </c>
      <c r="I503" t="s">
        <v>66</v>
      </c>
      <c r="J503" t="s">
        <v>126</v>
      </c>
      <c r="K503">
        <v>2</v>
      </c>
      <c r="L503">
        <v>204.18</v>
      </c>
      <c r="M503">
        <v>0.1</v>
      </c>
    </row>
    <row r="504" spans="1:13" x14ac:dyDescent="0.25">
      <c r="A504" t="s">
        <v>2086</v>
      </c>
      <c r="B504" t="s">
        <v>2087</v>
      </c>
      <c r="C504" t="s">
        <v>2088</v>
      </c>
      <c r="D504" t="s">
        <v>2089</v>
      </c>
      <c r="E504" t="s">
        <v>83</v>
      </c>
      <c r="F504" t="s">
        <v>49</v>
      </c>
      <c r="G504" t="s">
        <v>286</v>
      </c>
      <c r="H504" t="s">
        <v>42</v>
      </c>
      <c r="I504" t="s">
        <v>96</v>
      </c>
      <c r="J504" t="s">
        <v>126</v>
      </c>
      <c r="K504">
        <v>9</v>
      </c>
      <c r="L504">
        <v>937</v>
      </c>
      <c r="M504">
        <v>0</v>
      </c>
    </row>
    <row r="505" spans="1:13" x14ac:dyDescent="0.25">
      <c r="A505" t="s">
        <v>2090</v>
      </c>
      <c r="B505" t="s">
        <v>2091</v>
      </c>
      <c r="C505" t="s">
        <v>2092</v>
      </c>
      <c r="D505" t="s">
        <v>2093</v>
      </c>
      <c r="E505" t="s">
        <v>149</v>
      </c>
      <c r="F505" t="s">
        <v>49</v>
      </c>
      <c r="G505" t="s">
        <v>259</v>
      </c>
      <c r="H505" t="s">
        <v>72</v>
      </c>
      <c r="I505" t="s">
        <v>43</v>
      </c>
      <c r="J505" t="s">
        <v>126</v>
      </c>
      <c r="K505">
        <v>9</v>
      </c>
      <c r="L505">
        <v>1184.18</v>
      </c>
      <c r="M505">
        <v>0.2</v>
      </c>
    </row>
    <row r="506" spans="1:13" x14ac:dyDescent="0.25">
      <c r="A506" t="s">
        <v>2094</v>
      </c>
      <c r="B506" t="s">
        <v>2095</v>
      </c>
      <c r="C506" t="s">
        <v>2096</v>
      </c>
      <c r="D506" t="s">
        <v>2097</v>
      </c>
      <c r="E506" t="s">
        <v>83</v>
      </c>
      <c r="F506" t="s">
        <v>49</v>
      </c>
      <c r="G506" t="s">
        <v>50</v>
      </c>
      <c r="H506" t="s">
        <v>58</v>
      </c>
      <c r="I506" t="s">
        <v>96</v>
      </c>
      <c r="J506" t="s">
        <v>126</v>
      </c>
      <c r="K506">
        <v>8</v>
      </c>
      <c r="L506">
        <v>839.31</v>
      </c>
      <c r="M506">
        <v>0</v>
      </c>
    </row>
    <row r="507" spans="1:13" x14ac:dyDescent="0.25">
      <c r="A507" t="s">
        <v>2098</v>
      </c>
      <c r="B507" t="s">
        <v>2099</v>
      </c>
      <c r="C507" t="s">
        <v>2100</v>
      </c>
      <c r="D507" t="s">
        <v>2101</v>
      </c>
      <c r="E507" t="s">
        <v>83</v>
      </c>
      <c r="F507" t="s">
        <v>49</v>
      </c>
      <c r="G507" t="s">
        <v>50</v>
      </c>
      <c r="H507" t="s">
        <v>72</v>
      </c>
      <c r="I507" t="s">
        <v>43</v>
      </c>
      <c r="J507" t="s">
        <v>126</v>
      </c>
      <c r="K507">
        <v>1</v>
      </c>
      <c r="L507">
        <v>749.03</v>
      </c>
      <c r="M507">
        <v>0</v>
      </c>
    </row>
    <row r="508" spans="1:13" x14ac:dyDescent="0.25">
      <c r="A508" t="s">
        <v>2102</v>
      </c>
      <c r="B508" t="s">
        <v>2103</v>
      </c>
      <c r="C508" t="s">
        <v>2104</v>
      </c>
      <c r="D508" t="s">
        <v>2105</v>
      </c>
      <c r="E508" t="s">
        <v>78</v>
      </c>
      <c r="F508" t="s">
        <v>84</v>
      </c>
      <c r="G508" t="s">
        <v>264</v>
      </c>
      <c r="H508" t="s">
        <v>72</v>
      </c>
      <c r="I508" t="s">
        <v>66</v>
      </c>
      <c r="J508" t="s">
        <v>59</v>
      </c>
      <c r="K508">
        <v>8</v>
      </c>
      <c r="L508">
        <v>929.12</v>
      </c>
      <c r="M508">
        <v>0</v>
      </c>
    </row>
    <row r="509" spans="1:13" x14ac:dyDescent="0.25">
      <c r="A509" t="s">
        <v>2106</v>
      </c>
      <c r="B509" t="s">
        <v>2107</v>
      </c>
      <c r="C509" t="s">
        <v>2108</v>
      </c>
      <c r="D509" t="s">
        <v>2109</v>
      </c>
      <c r="E509" t="s">
        <v>149</v>
      </c>
      <c r="F509" t="s">
        <v>84</v>
      </c>
      <c r="G509" t="s">
        <v>205</v>
      </c>
      <c r="H509" t="s">
        <v>42</v>
      </c>
      <c r="I509" t="s">
        <v>43</v>
      </c>
      <c r="J509" t="s">
        <v>59</v>
      </c>
      <c r="K509">
        <v>10</v>
      </c>
      <c r="L509">
        <v>880.35</v>
      </c>
      <c r="M509">
        <v>0.15</v>
      </c>
    </row>
    <row r="510" spans="1:13" x14ac:dyDescent="0.25">
      <c r="A510" t="s">
        <v>2110</v>
      </c>
      <c r="B510" t="s">
        <v>2111</v>
      </c>
      <c r="C510" t="s">
        <v>2112</v>
      </c>
      <c r="D510" t="s">
        <v>2113</v>
      </c>
      <c r="E510" t="s">
        <v>64</v>
      </c>
      <c r="F510" t="s">
        <v>40</v>
      </c>
      <c r="G510" t="s">
        <v>315</v>
      </c>
      <c r="H510" t="s">
        <v>72</v>
      </c>
      <c r="I510" t="s">
        <v>96</v>
      </c>
      <c r="J510" t="s">
        <v>34</v>
      </c>
      <c r="K510">
        <v>5</v>
      </c>
      <c r="L510">
        <v>177.9</v>
      </c>
      <c r="M510">
        <v>0</v>
      </c>
    </row>
    <row r="511" spans="1:13" x14ac:dyDescent="0.25">
      <c r="A511" t="s">
        <v>2114</v>
      </c>
      <c r="B511" t="s">
        <v>2115</v>
      </c>
      <c r="C511" t="s">
        <v>2116</v>
      </c>
      <c r="D511" t="s">
        <v>2117</v>
      </c>
      <c r="E511" t="s">
        <v>149</v>
      </c>
      <c r="F511" t="s">
        <v>49</v>
      </c>
      <c r="G511" t="s">
        <v>226</v>
      </c>
      <c r="H511" t="s">
        <v>72</v>
      </c>
      <c r="I511" t="s">
        <v>43</v>
      </c>
      <c r="J511" t="s">
        <v>34</v>
      </c>
      <c r="K511">
        <v>3</v>
      </c>
      <c r="L511">
        <v>824.5</v>
      </c>
      <c r="M511">
        <v>0.1</v>
      </c>
    </row>
    <row r="512" spans="1:13" x14ac:dyDescent="0.25">
      <c r="A512" t="s">
        <v>2118</v>
      </c>
      <c r="B512" t="s">
        <v>2119</v>
      </c>
      <c r="C512" t="s">
        <v>2120</v>
      </c>
      <c r="D512" t="s">
        <v>2121</v>
      </c>
      <c r="E512" t="s">
        <v>48</v>
      </c>
      <c r="F512" t="s">
        <v>30</v>
      </c>
      <c r="G512" t="s">
        <v>269</v>
      </c>
      <c r="H512" t="s">
        <v>42</v>
      </c>
      <c r="I512" t="s">
        <v>96</v>
      </c>
      <c r="J512" t="s">
        <v>73</v>
      </c>
      <c r="K512">
        <v>1</v>
      </c>
      <c r="L512">
        <v>121.54</v>
      </c>
      <c r="M512">
        <v>0</v>
      </c>
    </row>
    <row r="513" spans="1:13" x14ac:dyDescent="0.25">
      <c r="A513" t="s">
        <v>2122</v>
      </c>
      <c r="B513" t="s">
        <v>2123</v>
      </c>
      <c r="C513" t="s">
        <v>2124</v>
      </c>
      <c r="D513" t="s">
        <v>2125</v>
      </c>
      <c r="E513" t="s">
        <v>149</v>
      </c>
      <c r="F513" t="s">
        <v>49</v>
      </c>
      <c r="G513" t="s">
        <v>259</v>
      </c>
      <c r="H513" t="s">
        <v>42</v>
      </c>
      <c r="I513" t="s">
        <v>33</v>
      </c>
      <c r="J513" t="s">
        <v>34</v>
      </c>
      <c r="K513">
        <v>10</v>
      </c>
      <c r="L513">
        <v>1396.51</v>
      </c>
      <c r="M513">
        <v>0</v>
      </c>
    </row>
    <row r="514" spans="1:13" x14ac:dyDescent="0.25">
      <c r="A514" t="s">
        <v>2126</v>
      </c>
      <c r="B514" t="s">
        <v>2127</v>
      </c>
      <c r="C514" t="s">
        <v>2128</v>
      </c>
      <c r="D514" t="s">
        <v>2129</v>
      </c>
      <c r="E514" t="s">
        <v>39</v>
      </c>
      <c r="F514" t="s">
        <v>30</v>
      </c>
      <c r="G514" t="s">
        <v>195</v>
      </c>
      <c r="H514" t="s">
        <v>72</v>
      </c>
      <c r="I514" t="s">
        <v>33</v>
      </c>
      <c r="J514" t="s">
        <v>59</v>
      </c>
      <c r="K514">
        <v>10</v>
      </c>
      <c r="L514">
        <v>912.79</v>
      </c>
      <c r="M514">
        <v>0.1</v>
      </c>
    </row>
    <row r="515" spans="1:13" x14ac:dyDescent="0.25">
      <c r="A515" t="s">
        <v>2130</v>
      </c>
      <c r="B515" t="s">
        <v>2131</v>
      </c>
      <c r="C515" t="s">
        <v>2132</v>
      </c>
      <c r="D515" t="s">
        <v>2133</v>
      </c>
      <c r="E515" t="s">
        <v>64</v>
      </c>
      <c r="F515" t="s">
        <v>56</v>
      </c>
      <c r="G515" t="s">
        <v>111</v>
      </c>
      <c r="H515" t="s">
        <v>42</v>
      </c>
      <c r="I515" t="s">
        <v>51</v>
      </c>
      <c r="J515" t="s">
        <v>73</v>
      </c>
      <c r="K515">
        <v>6</v>
      </c>
      <c r="L515">
        <v>732.65</v>
      </c>
      <c r="M515">
        <v>0</v>
      </c>
    </row>
    <row r="516" spans="1:13" x14ac:dyDescent="0.25">
      <c r="A516" t="s">
        <v>2134</v>
      </c>
      <c r="B516" t="s">
        <v>2135</v>
      </c>
      <c r="C516" t="s">
        <v>2136</v>
      </c>
      <c r="D516" t="s">
        <v>2137</v>
      </c>
      <c r="E516" t="s">
        <v>116</v>
      </c>
      <c r="F516" t="s">
        <v>40</v>
      </c>
      <c r="G516" t="s">
        <v>41</v>
      </c>
      <c r="H516" t="s">
        <v>32</v>
      </c>
      <c r="I516" t="s">
        <v>33</v>
      </c>
      <c r="J516" t="s">
        <v>59</v>
      </c>
      <c r="K516">
        <v>8</v>
      </c>
      <c r="L516">
        <v>146.34</v>
      </c>
      <c r="M516">
        <v>0.2</v>
      </c>
    </row>
    <row r="517" spans="1:13" x14ac:dyDescent="0.25">
      <c r="A517" t="s">
        <v>2138</v>
      </c>
      <c r="B517" t="s">
        <v>2139</v>
      </c>
      <c r="C517" t="s">
        <v>2140</v>
      </c>
      <c r="D517" t="s">
        <v>2141</v>
      </c>
      <c r="E517" t="s">
        <v>64</v>
      </c>
      <c r="F517" t="s">
        <v>49</v>
      </c>
      <c r="G517" t="s">
        <v>226</v>
      </c>
      <c r="H517" t="s">
        <v>58</v>
      </c>
      <c r="I517" t="s">
        <v>96</v>
      </c>
      <c r="J517" t="s">
        <v>59</v>
      </c>
      <c r="K517">
        <v>8</v>
      </c>
      <c r="L517">
        <v>776.3</v>
      </c>
      <c r="M517">
        <v>0.15</v>
      </c>
    </row>
    <row r="518" spans="1:13" x14ac:dyDescent="0.25">
      <c r="A518" t="s">
        <v>2142</v>
      </c>
      <c r="B518" t="s">
        <v>2143</v>
      </c>
      <c r="C518" t="s">
        <v>2144</v>
      </c>
      <c r="D518" t="s">
        <v>2145</v>
      </c>
      <c r="E518" t="s">
        <v>83</v>
      </c>
      <c r="F518" t="s">
        <v>84</v>
      </c>
      <c r="G518" t="s">
        <v>90</v>
      </c>
      <c r="H518" t="s">
        <v>72</v>
      </c>
      <c r="I518" t="s">
        <v>33</v>
      </c>
      <c r="J518" t="s">
        <v>126</v>
      </c>
      <c r="K518">
        <v>8</v>
      </c>
      <c r="L518">
        <v>401.76</v>
      </c>
      <c r="M518">
        <v>0.15</v>
      </c>
    </row>
    <row r="519" spans="1:13" x14ac:dyDescent="0.25">
      <c r="A519" t="s">
        <v>2146</v>
      </c>
      <c r="B519" t="s">
        <v>2147</v>
      </c>
      <c r="C519" t="s">
        <v>2148</v>
      </c>
      <c r="D519" t="s">
        <v>2149</v>
      </c>
      <c r="E519" t="s">
        <v>64</v>
      </c>
      <c r="F519" t="s">
        <v>84</v>
      </c>
      <c r="G519" t="s">
        <v>264</v>
      </c>
      <c r="H519" t="s">
        <v>58</v>
      </c>
      <c r="I519" t="s">
        <v>66</v>
      </c>
      <c r="J519" t="s">
        <v>73</v>
      </c>
      <c r="K519">
        <v>9</v>
      </c>
      <c r="L519">
        <v>137.53</v>
      </c>
      <c r="M519">
        <v>0</v>
      </c>
    </row>
    <row r="520" spans="1:13" x14ac:dyDescent="0.25">
      <c r="A520" t="s">
        <v>2150</v>
      </c>
      <c r="B520" t="s">
        <v>2151</v>
      </c>
      <c r="C520" t="s">
        <v>2152</v>
      </c>
      <c r="D520" t="s">
        <v>2153</v>
      </c>
      <c r="E520" t="s">
        <v>29</v>
      </c>
      <c r="F520" t="s">
        <v>56</v>
      </c>
      <c r="G520" t="s">
        <v>101</v>
      </c>
      <c r="H520" t="s">
        <v>72</v>
      </c>
      <c r="I520" t="s">
        <v>96</v>
      </c>
      <c r="J520" t="s">
        <v>59</v>
      </c>
      <c r="K520">
        <v>10</v>
      </c>
      <c r="L520">
        <v>911.67</v>
      </c>
      <c r="M520">
        <v>0.2</v>
      </c>
    </row>
    <row r="521" spans="1:13" x14ac:dyDescent="0.25">
      <c r="A521" t="s">
        <v>2154</v>
      </c>
      <c r="B521" t="s">
        <v>2155</v>
      </c>
      <c r="C521" t="s">
        <v>2156</v>
      </c>
      <c r="D521" t="s">
        <v>2157</v>
      </c>
      <c r="E521" t="s">
        <v>200</v>
      </c>
      <c r="F521" t="s">
        <v>30</v>
      </c>
      <c r="G521" t="s">
        <v>139</v>
      </c>
      <c r="H521" t="s">
        <v>72</v>
      </c>
      <c r="I521" t="s">
        <v>33</v>
      </c>
      <c r="J521" t="s">
        <v>73</v>
      </c>
      <c r="K521">
        <v>6</v>
      </c>
      <c r="L521">
        <v>1295.0899999999999</v>
      </c>
      <c r="M521">
        <v>0</v>
      </c>
    </row>
    <row r="522" spans="1:13" x14ac:dyDescent="0.25">
      <c r="A522" t="s">
        <v>2158</v>
      </c>
      <c r="B522" t="s">
        <v>2159</v>
      </c>
      <c r="C522" t="s">
        <v>2160</v>
      </c>
      <c r="D522" t="s">
        <v>2161</v>
      </c>
      <c r="E522" t="s">
        <v>200</v>
      </c>
      <c r="F522" t="s">
        <v>30</v>
      </c>
      <c r="G522" t="s">
        <v>31</v>
      </c>
      <c r="H522" t="s">
        <v>58</v>
      </c>
      <c r="I522" t="s">
        <v>51</v>
      </c>
      <c r="J522" t="s">
        <v>126</v>
      </c>
      <c r="K522">
        <v>6</v>
      </c>
      <c r="L522">
        <v>872.97</v>
      </c>
      <c r="M522">
        <v>0</v>
      </c>
    </row>
    <row r="523" spans="1:13" x14ac:dyDescent="0.25">
      <c r="A523" t="s">
        <v>2162</v>
      </c>
      <c r="B523" t="s">
        <v>2163</v>
      </c>
      <c r="C523" t="s">
        <v>2164</v>
      </c>
      <c r="D523" t="s">
        <v>2165</v>
      </c>
      <c r="E523" t="s">
        <v>29</v>
      </c>
      <c r="F523" t="s">
        <v>49</v>
      </c>
      <c r="G523" t="s">
        <v>259</v>
      </c>
      <c r="H523" t="s">
        <v>58</v>
      </c>
      <c r="I523" t="s">
        <v>43</v>
      </c>
      <c r="J523" t="s">
        <v>34</v>
      </c>
      <c r="K523">
        <v>7</v>
      </c>
      <c r="L523">
        <v>361.99</v>
      </c>
      <c r="M523">
        <v>0.1</v>
      </c>
    </row>
    <row r="524" spans="1:13" x14ac:dyDescent="0.25">
      <c r="A524" t="s">
        <v>2166</v>
      </c>
      <c r="B524" t="s">
        <v>2167</v>
      </c>
      <c r="C524" t="s">
        <v>2168</v>
      </c>
      <c r="D524" t="s">
        <v>2169</v>
      </c>
      <c r="E524" t="s">
        <v>71</v>
      </c>
      <c r="F524" t="s">
        <v>40</v>
      </c>
      <c r="G524" t="s">
        <v>144</v>
      </c>
      <c r="H524" t="s">
        <v>58</v>
      </c>
      <c r="I524" t="s">
        <v>96</v>
      </c>
      <c r="J524" t="s">
        <v>59</v>
      </c>
      <c r="K524">
        <v>9</v>
      </c>
      <c r="L524">
        <v>159.59</v>
      </c>
      <c r="M524">
        <v>0.2</v>
      </c>
    </row>
    <row r="525" spans="1:13" x14ac:dyDescent="0.25">
      <c r="A525" t="s">
        <v>2170</v>
      </c>
      <c r="B525" t="s">
        <v>2171</v>
      </c>
      <c r="C525" t="s">
        <v>2172</v>
      </c>
      <c r="D525" t="s">
        <v>2173</v>
      </c>
      <c r="E525" t="s">
        <v>116</v>
      </c>
      <c r="F525" t="s">
        <v>84</v>
      </c>
      <c r="G525" t="s">
        <v>90</v>
      </c>
      <c r="H525" t="s">
        <v>72</v>
      </c>
      <c r="I525" t="s">
        <v>33</v>
      </c>
      <c r="J525" t="s">
        <v>59</v>
      </c>
      <c r="K525">
        <v>4</v>
      </c>
      <c r="L525">
        <v>595.86</v>
      </c>
      <c r="M525">
        <v>0.2</v>
      </c>
    </row>
    <row r="526" spans="1:13" x14ac:dyDescent="0.25">
      <c r="A526" t="s">
        <v>2174</v>
      </c>
      <c r="B526" t="s">
        <v>2175</v>
      </c>
      <c r="C526" t="s">
        <v>2176</v>
      </c>
      <c r="D526" t="s">
        <v>2177</v>
      </c>
      <c r="E526" t="s">
        <v>78</v>
      </c>
      <c r="F526" t="s">
        <v>56</v>
      </c>
      <c r="G526" t="s">
        <v>101</v>
      </c>
      <c r="H526" t="s">
        <v>32</v>
      </c>
      <c r="I526" t="s">
        <v>33</v>
      </c>
      <c r="J526" t="s">
        <v>126</v>
      </c>
      <c r="K526">
        <v>1</v>
      </c>
      <c r="L526">
        <v>1250.06</v>
      </c>
      <c r="M526">
        <v>0.1</v>
      </c>
    </row>
    <row r="527" spans="1:13" x14ac:dyDescent="0.25">
      <c r="A527" t="s">
        <v>2178</v>
      </c>
      <c r="B527" t="s">
        <v>2179</v>
      </c>
      <c r="C527" t="s">
        <v>2180</v>
      </c>
      <c r="D527" t="s">
        <v>2181</v>
      </c>
      <c r="E527" t="s">
        <v>29</v>
      </c>
      <c r="F527" t="s">
        <v>84</v>
      </c>
      <c r="G527" t="s">
        <v>85</v>
      </c>
      <c r="H527" t="s">
        <v>32</v>
      </c>
      <c r="I527" t="s">
        <v>33</v>
      </c>
      <c r="J527" t="s">
        <v>73</v>
      </c>
      <c r="K527">
        <v>10</v>
      </c>
      <c r="L527">
        <v>65.55</v>
      </c>
      <c r="M527">
        <v>0</v>
      </c>
    </row>
    <row r="528" spans="1:13" x14ac:dyDescent="0.25">
      <c r="A528" t="s">
        <v>2182</v>
      </c>
      <c r="B528" t="s">
        <v>2183</v>
      </c>
      <c r="C528" t="s">
        <v>2184</v>
      </c>
      <c r="D528" t="s">
        <v>2185</v>
      </c>
      <c r="E528" t="s">
        <v>116</v>
      </c>
      <c r="F528" t="s">
        <v>56</v>
      </c>
      <c r="G528" t="s">
        <v>111</v>
      </c>
      <c r="H528" t="s">
        <v>32</v>
      </c>
      <c r="I528" t="s">
        <v>43</v>
      </c>
      <c r="J528" t="s">
        <v>59</v>
      </c>
      <c r="K528">
        <v>10</v>
      </c>
      <c r="L528">
        <v>207.91</v>
      </c>
      <c r="M528">
        <v>0</v>
      </c>
    </row>
    <row r="529" spans="1:13" x14ac:dyDescent="0.25">
      <c r="A529" t="s">
        <v>2186</v>
      </c>
      <c r="B529" t="s">
        <v>2187</v>
      </c>
      <c r="C529" t="s">
        <v>2188</v>
      </c>
      <c r="D529" t="s">
        <v>2189</v>
      </c>
      <c r="E529" t="s">
        <v>116</v>
      </c>
      <c r="F529" t="s">
        <v>49</v>
      </c>
      <c r="G529" t="s">
        <v>50</v>
      </c>
      <c r="H529" t="s">
        <v>72</v>
      </c>
      <c r="I529" t="s">
        <v>51</v>
      </c>
      <c r="J529" t="s">
        <v>59</v>
      </c>
      <c r="K529">
        <v>6</v>
      </c>
      <c r="L529">
        <v>1157.5</v>
      </c>
      <c r="M529">
        <v>0.05</v>
      </c>
    </row>
    <row r="530" spans="1:13" x14ac:dyDescent="0.25">
      <c r="A530" t="s">
        <v>2190</v>
      </c>
      <c r="B530" t="s">
        <v>2191</v>
      </c>
      <c r="C530" t="s">
        <v>2192</v>
      </c>
      <c r="D530" t="s">
        <v>2193</v>
      </c>
      <c r="E530" t="s">
        <v>64</v>
      </c>
      <c r="F530" t="s">
        <v>84</v>
      </c>
      <c r="G530" t="s">
        <v>412</v>
      </c>
      <c r="H530" t="s">
        <v>72</v>
      </c>
      <c r="I530" t="s">
        <v>33</v>
      </c>
      <c r="J530" t="s">
        <v>34</v>
      </c>
      <c r="K530">
        <v>2</v>
      </c>
      <c r="L530">
        <v>279.23</v>
      </c>
      <c r="M530">
        <v>0.1</v>
      </c>
    </row>
    <row r="531" spans="1:13" x14ac:dyDescent="0.25">
      <c r="A531" t="s">
        <v>2194</v>
      </c>
      <c r="B531" t="s">
        <v>2195</v>
      </c>
      <c r="C531" t="s">
        <v>2196</v>
      </c>
      <c r="D531" t="s">
        <v>2197</v>
      </c>
      <c r="E531" t="s">
        <v>48</v>
      </c>
      <c r="F531" t="s">
        <v>40</v>
      </c>
      <c r="G531" t="s">
        <v>565</v>
      </c>
      <c r="H531" t="s">
        <v>58</v>
      </c>
      <c r="I531" t="s">
        <v>51</v>
      </c>
      <c r="J531" t="s">
        <v>126</v>
      </c>
      <c r="K531">
        <v>2</v>
      </c>
      <c r="L531">
        <v>339.3</v>
      </c>
      <c r="M531">
        <v>0.1</v>
      </c>
    </row>
    <row r="532" spans="1:13" x14ac:dyDescent="0.25">
      <c r="A532" t="s">
        <v>2198</v>
      </c>
      <c r="B532" t="s">
        <v>2199</v>
      </c>
      <c r="C532" t="s">
        <v>2200</v>
      </c>
      <c r="D532" t="s">
        <v>2201</v>
      </c>
      <c r="E532" t="s">
        <v>29</v>
      </c>
      <c r="F532" t="s">
        <v>49</v>
      </c>
      <c r="G532" t="s">
        <v>117</v>
      </c>
      <c r="H532" t="s">
        <v>32</v>
      </c>
      <c r="I532" t="s">
        <v>51</v>
      </c>
      <c r="J532" t="s">
        <v>34</v>
      </c>
      <c r="K532">
        <v>3</v>
      </c>
      <c r="L532">
        <v>1346.32</v>
      </c>
      <c r="M532">
        <v>0.2</v>
      </c>
    </row>
    <row r="533" spans="1:13" x14ac:dyDescent="0.25">
      <c r="A533" t="s">
        <v>2202</v>
      </c>
      <c r="B533" t="s">
        <v>2203</v>
      </c>
      <c r="C533" t="s">
        <v>2204</v>
      </c>
      <c r="D533" t="s">
        <v>2205</v>
      </c>
      <c r="E533" t="s">
        <v>149</v>
      </c>
      <c r="F533" t="s">
        <v>40</v>
      </c>
      <c r="G533" t="s">
        <v>144</v>
      </c>
      <c r="H533" t="s">
        <v>42</v>
      </c>
      <c r="I533" t="s">
        <v>96</v>
      </c>
      <c r="J533" t="s">
        <v>126</v>
      </c>
      <c r="K533">
        <v>8</v>
      </c>
      <c r="L533">
        <v>780.34</v>
      </c>
      <c r="M533">
        <v>0.1</v>
      </c>
    </row>
    <row r="534" spans="1:13" x14ac:dyDescent="0.25">
      <c r="A534" t="s">
        <v>2206</v>
      </c>
      <c r="B534" t="s">
        <v>2207</v>
      </c>
      <c r="C534" t="s">
        <v>2208</v>
      </c>
      <c r="D534" t="s">
        <v>2209</v>
      </c>
      <c r="E534" t="s">
        <v>200</v>
      </c>
      <c r="F534" t="s">
        <v>56</v>
      </c>
      <c r="G534" t="s">
        <v>111</v>
      </c>
      <c r="H534" t="s">
        <v>58</v>
      </c>
      <c r="I534" t="s">
        <v>96</v>
      </c>
      <c r="J534" t="s">
        <v>126</v>
      </c>
      <c r="K534">
        <v>6</v>
      </c>
      <c r="L534">
        <v>809.93</v>
      </c>
      <c r="M534">
        <v>0.05</v>
      </c>
    </row>
    <row r="535" spans="1:13" x14ac:dyDescent="0.25">
      <c r="A535" t="s">
        <v>2210</v>
      </c>
      <c r="B535" t="s">
        <v>2211</v>
      </c>
      <c r="C535" t="s">
        <v>2212</v>
      </c>
      <c r="D535" t="s">
        <v>2213</v>
      </c>
      <c r="E535" t="s">
        <v>78</v>
      </c>
      <c r="F535" t="s">
        <v>84</v>
      </c>
      <c r="G535" t="s">
        <v>205</v>
      </c>
      <c r="H535" t="s">
        <v>72</v>
      </c>
      <c r="I535" t="s">
        <v>43</v>
      </c>
      <c r="J535" t="s">
        <v>126</v>
      </c>
      <c r="K535">
        <v>5</v>
      </c>
      <c r="L535">
        <v>1264.1500000000001</v>
      </c>
      <c r="M535">
        <v>0.2</v>
      </c>
    </row>
    <row r="536" spans="1:13" x14ac:dyDescent="0.25">
      <c r="A536" t="s">
        <v>2214</v>
      </c>
      <c r="B536" t="s">
        <v>2215</v>
      </c>
      <c r="C536" t="s">
        <v>2216</v>
      </c>
      <c r="D536" t="s">
        <v>2217</v>
      </c>
      <c r="E536" t="s">
        <v>149</v>
      </c>
      <c r="F536" t="s">
        <v>56</v>
      </c>
      <c r="G536" t="s">
        <v>190</v>
      </c>
      <c r="H536" t="s">
        <v>72</v>
      </c>
      <c r="I536" t="s">
        <v>43</v>
      </c>
      <c r="J536" t="s">
        <v>126</v>
      </c>
      <c r="K536">
        <v>8</v>
      </c>
      <c r="L536">
        <v>737.46</v>
      </c>
      <c r="M536">
        <v>0.2</v>
      </c>
    </row>
    <row r="537" spans="1:13" x14ac:dyDescent="0.25">
      <c r="A537" t="s">
        <v>2218</v>
      </c>
      <c r="B537" t="s">
        <v>2219</v>
      </c>
      <c r="C537" t="s">
        <v>2220</v>
      </c>
      <c r="D537" t="s">
        <v>2221</v>
      </c>
      <c r="E537" t="s">
        <v>39</v>
      </c>
      <c r="F537" t="s">
        <v>49</v>
      </c>
      <c r="G537" t="s">
        <v>226</v>
      </c>
      <c r="H537" t="s">
        <v>58</v>
      </c>
      <c r="I537" t="s">
        <v>96</v>
      </c>
      <c r="J537" t="s">
        <v>34</v>
      </c>
      <c r="K537">
        <v>9</v>
      </c>
      <c r="L537">
        <v>108.54</v>
      </c>
      <c r="M537">
        <v>0.2</v>
      </c>
    </row>
    <row r="538" spans="1:13" x14ac:dyDescent="0.25">
      <c r="A538" t="s">
        <v>2222</v>
      </c>
      <c r="B538" t="s">
        <v>2223</v>
      </c>
      <c r="C538" t="s">
        <v>2224</v>
      </c>
      <c r="D538" t="s">
        <v>2225</v>
      </c>
      <c r="E538" t="s">
        <v>71</v>
      </c>
      <c r="F538" t="s">
        <v>56</v>
      </c>
      <c r="G538" t="s">
        <v>57</v>
      </c>
      <c r="H538" t="s">
        <v>72</v>
      </c>
      <c r="I538" t="s">
        <v>33</v>
      </c>
      <c r="J538" t="s">
        <v>73</v>
      </c>
      <c r="K538">
        <v>9</v>
      </c>
      <c r="L538">
        <v>190.51</v>
      </c>
      <c r="M538">
        <v>0.1</v>
      </c>
    </row>
    <row r="539" spans="1:13" x14ac:dyDescent="0.25">
      <c r="A539" t="s">
        <v>2226</v>
      </c>
      <c r="B539" t="s">
        <v>2227</v>
      </c>
      <c r="C539" t="s">
        <v>2228</v>
      </c>
      <c r="D539" t="s">
        <v>2229</v>
      </c>
      <c r="E539" t="s">
        <v>200</v>
      </c>
      <c r="F539" t="s">
        <v>56</v>
      </c>
      <c r="G539" t="s">
        <v>57</v>
      </c>
      <c r="H539" t="s">
        <v>72</v>
      </c>
      <c r="I539" t="s">
        <v>43</v>
      </c>
      <c r="J539" t="s">
        <v>126</v>
      </c>
      <c r="K539">
        <v>10</v>
      </c>
      <c r="L539">
        <v>1362.16</v>
      </c>
      <c r="M539">
        <v>0</v>
      </c>
    </row>
    <row r="540" spans="1:13" x14ac:dyDescent="0.25">
      <c r="A540" t="s">
        <v>2230</v>
      </c>
      <c r="B540" t="s">
        <v>2231</v>
      </c>
      <c r="C540" t="s">
        <v>2232</v>
      </c>
      <c r="D540" t="s">
        <v>2233</v>
      </c>
      <c r="E540" t="s">
        <v>29</v>
      </c>
      <c r="F540" t="s">
        <v>56</v>
      </c>
      <c r="G540" t="s">
        <v>57</v>
      </c>
      <c r="H540" t="s">
        <v>32</v>
      </c>
      <c r="I540" t="s">
        <v>51</v>
      </c>
      <c r="J540" t="s">
        <v>34</v>
      </c>
      <c r="K540">
        <v>10</v>
      </c>
      <c r="L540">
        <v>922.67</v>
      </c>
      <c r="M540">
        <v>0</v>
      </c>
    </row>
    <row r="541" spans="1:13" x14ac:dyDescent="0.25">
      <c r="A541" t="s">
        <v>2234</v>
      </c>
      <c r="B541" t="s">
        <v>2235</v>
      </c>
      <c r="C541" t="s">
        <v>2236</v>
      </c>
      <c r="D541" t="s">
        <v>2237</v>
      </c>
      <c r="E541" t="s">
        <v>39</v>
      </c>
      <c r="F541" t="s">
        <v>49</v>
      </c>
      <c r="G541" t="s">
        <v>50</v>
      </c>
      <c r="H541" t="s">
        <v>32</v>
      </c>
      <c r="I541" t="s">
        <v>33</v>
      </c>
      <c r="J541" t="s">
        <v>73</v>
      </c>
      <c r="K541">
        <v>7</v>
      </c>
      <c r="L541">
        <v>1220.1099999999999</v>
      </c>
      <c r="M541">
        <v>0.05</v>
      </c>
    </row>
    <row r="542" spans="1:13" x14ac:dyDescent="0.25">
      <c r="A542" t="s">
        <v>2238</v>
      </c>
      <c r="B542" t="s">
        <v>2239</v>
      </c>
      <c r="C542" t="s">
        <v>2240</v>
      </c>
      <c r="D542" t="s">
        <v>2241</v>
      </c>
      <c r="E542" t="s">
        <v>48</v>
      </c>
      <c r="F542" t="s">
        <v>84</v>
      </c>
      <c r="G542" t="s">
        <v>205</v>
      </c>
      <c r="H542" t="s">
        <v>72</v>
      </c>
      <c r="I542" t="s">
        <v>66</v>
      </c>
      <c r="J542" t="s">
        <v>73</v>
      </c>
      <c r="K542">
        <v>3</v>
      </c>
      <c r="L542">
        <v>194.31</v>
      </c>
      <c r="M542">
        <v>0.1</v>
      </c>
    </row>
    <row r="543" spans="1:13" x14ac:dyDescent="0.25">
      <c r="A543" t="s">
        <v>2242</v>
      </c>
      <c r="B543" t="s">
        <v>2243</v>
      </c>
      <c r="C543" t="s">
        <v>2244</v>
      </c>
      <c r="D543" t="s">
        <v>2245</v>
      </c>
      <c r="E543" t="s">
        <v>48</v>
      </c>
      <c r="F543" t="s">
        <v>56</v>
      </c>
      <c r="G543" t="s">
        <v>111</v>
      </c>
      <c r="H543" t="s">
        <v>42</v>
      </c>
      <c r="I543" t="s">
        <v>51</v>
      </c>
      <c r="J543" t="s">
        <v>126</v>
      </c>
      <c r="K543">
        <v>3</v>
      </c>
      <c r="L543">
        <v>573.54999999999995</v>
      </c>
      <c r="M543">
        <v>0</v>
      </c>
    </row>
    <row r="544" spans="1:13" x14ac:dyDescent="0.25">
      <c r="A544" t="s">
        <v>2246</v>
      </c>
      <c r="B544" t="s">
        <v>2247</v>
      </c>
      <c r="C544" t="s">
        <v>2248</v>
      </c>
      <c r="D544" t="s">
        <v>2249</v>
      </c>
      <c r="E544" t="s">
        <v>83</v>
      </c>
      <c r="F544" t="s">
        <v>84</v>
      </c>
      <c r="G544" t="s">
        <v>264</v>
      </c>
      <c r="H544" t="s">
        <v>72</v>
      </c>
      <c r="I544" t="s">
        <v>43</v>
      </c>
      <c r="J544" t="s">
        <v>73</v>
      </c>
      <c r="K544">
        <v>8</v>
      </c>
      <c r="L544">
        <v>1044.8499999999999</v>
      </c>
      <c r="M544">
        <v>0.2</v>
      </c>
    </row>
    <row r="545" spans="1:13" x14ac:dyDescent="0.25">
      <c r="A545" t="s">
        <v>2250</v>
      </c>
      <c r="B545" t="s">
        <v>2251</v>
      </c>
      <c r="C545" t="s">
        <v>2252</v>
      </c>
      <c r="D545" t="s">
        <v>2253</v>
      </c>
      <c r="E545" t="s">
        <v>149</v>
      </c>
      <c r="F545" t="s">
        <v>30</v>
      </c>
      <c r="G545" t="s">
        <v>31</v>
      </c>
      <c r="H545" t="s">
        <v>72</v>
      </c>
      <c r="I545" t="s">
        <v>96</v>
      </c>
      <c r="J545" t="s">
        <v>126</v>
      </c>
      <c r="K545">
        <v>1</v>
      </c>
      <c r="L545">
        <v>921.65</v>
      </c>
      <c r="M545">
        <v>0.15</v>
      </c>
    </row>
    <row r="546" spans="1:13" x14ac:dyDescent="0.25">
      <c r="A546" t="s">
        <v>2254</v>
      </c>
      <c r="B546" t="s">
        <v>2255</v>
      </c>
      <c r="C546" t="s">
        <v>2256</v>
      </c>
      <c r="D546" t="s">
        <v>2257</v>
      </c>
      <c r="E546" t="s">
        <v>64</v>
      </c>
      <c r="F546" t="s">
        <v>40</v>
      </c>
      <c r="G546" t="s">
        <v>106</v>
      </c>
      <c r="H546" t="s">
        <v>58</v>
      </c>
      <c r="I546" t="s">
        <v>33</v>
      </c>
      <c r="J546" t="s">
        <v>73</v>
      </c>
      <c r="K546">
        <v>9</v>
      </c>
      <c r="L546">
        <v>299.98</v>
      </c>
      <c r="M546">
        <v>0</v>
      </c>
    </row>
    <row r="547" spans="1:13" x14ac:dyDescent="0.25">
      <c r="A547" t="s">
        <v>2258</v>
      </c>
      <c r="B547" t="s">
        <v>2259</v>
      </c>
      <c r="C547" t="s">
        <v>2260</v>
      </c>
      <c r="D547" t="s">
        <v>2261</v>
      </c>
      <c r="E547" t="s">
        <v>29</v>
      </c>
      <c r="F547" t="s">
        <v>56</v>
      </c>
      <c r="G547" t="s">
        <v>95</v>
      </c>
      <c r="H547" t="s">
        <v>42</v>
      </c>
      <c r="I547" t="s">
        <v>96</v>
      </c>
      <c r="J547" t="s">
        <v>73</v>
      </c>
      <c r="K547">
        <v>3</v>
      </c>
      <c r="L547">
        <v>182.33</v>
      </c>
      <c r="M547">
        <v>0.2</v>
      </c>
    </row>
    <row r="548" spans="1:13" x14ac:dyDescent="0.25">
      <c r="A548" t="s">
        <v>2262</v>
      </c>
      <c r="B548" t="s">
        <v>2263</v>
      </c>
      <c r="C548" t="s">
        <v>2264</v>
      </c>
      <c r="D548" t="s">
        <v>2265</v>
      </c>
      <c r="E548" t="s">
        <v>71</v>
      </c>
      <c r="F548" t="s">
        <v>84</v>
      </c>
      <c r="G548" t="s">
        <v>85</v>
      </c>
      <c r="H548" t="s">
        <v>42</v>
      </c>
      <c r="I548" t="s">
        <v>51</v>
      </c>
      <c r="J548" t="s">
        <v>126</v>
      </c>
      <c r="K548">
        <v>6</v>
      </c>
      <c r="L548">
        <v>660.49</v>
      </c>
      <c r="M548">
        <v>0.15</v>
      </c>
    </row>
    <row r="549" spans="1:13" x14ac:dyDescent="0.25">
      <c r="A549" t="s">
        <v>2266</v>
      </c>
      <c r="B549" t="s">
        <v>2267</v>
      </c>
      <c r="C549" t="s">
        <v>2268</v>
      </c>
      <c r="D549" t="s">
        <v>2269</v>
      </c>
      <c r="E549" t="s">
        <v>64</v>
      </c>
      <c r="F549" t="s">
        <v>49</v>
      </c>
      <c r="G549" t="s">
        <v>259</v>
      </c>
      <c r="H549" t="s">
        <v>42</v>
      </c>
      <c r="I549" t="s">
        <v>33</v>
      </c>
      <c r="J549" t="s">
        <v>59</v>
      </c>
      <c r="K549">
        <v>4</v>
      </c>
      <c r="L549">
        <v>187.36</v>
      </c>
      <c r="M549">
        <v>0.2</v>
      </c>
    </row>
    <row r="550" spans="1:13" x14ac:dyDescent="0.25">
      <c r="A550" t="s">
        <v>2270</v>
      </c>
      <c r="B550" t="s">
        <v>2271</v>
      </c>
      <c r="C550" t="s">
        <v>2272</v>
      </c>
      <c r="D550" t="s">
        <v>2273</v>
      </c>
      <c r="E550" t="s">
        <v>71</v>
      </c>
      <c r="F550" t="s">
        <v>30</v>
      </c>
      <c r="G550" t="s">
        <v>269</v>
      </c>
      <c r="H550" t="s">
        <v>42</v>
      </c>
      <c r="I550" t="s">
        <v>43</v>
      </c>
      <c r="J550" t="s">
        <v>34</v>
      </c>
      <c r="K550">
        <v>2</v>
      </c>
      <c r="L550">
        <v>499.31</v>
      </c>
      <c r="M550">
        <v>0</v>
      </c>
    </row>
    <row r="551" spans="1:13" x14ac:dyDescent="0.25">
      <c r="A551" t="s">
        <v>2274</v>
      </c>
      <c r="B551" t="s">
        <v>2275</v>
      </c>
      <c r="C551" t="s">
        <v>2276</v>
      </c>
      <c r="D551" t="s">
        <v>2277</v>
      </c>
      <c r="E551" t="s">
        <v>200</v>
      </c>
      <c r="F551" t="s">
        <v>56</v>
      </c>
      <c r="G551" t="s">
        <v>57</v>
      </c>
      <c r="H551" t="s">
        <v>72</v>
      </c>
      <c r="I551" t="s">
        <v>96</v>
      </c>
      <c r="J551" t="s">
        <v>59</v>
      </c>
      <c r="K551">
        <v>10</v>
      </c>
      <c r="L551">
        <v>230.24</v>
      </c>
      <c r="M551">
        <v>0.1</v>
      </c>
    </row>
    <row r="552" spans="1:13" x14ac:dyDescent="0.25">
      <c r="A552" t="s">
        <v>2278</v>
      </c>
      <c r="B552" t="s">
        <v>2279</v>
      </c>
      <c r="C552" t="s">
        <v>2280</v>
      </c>
      <c r="D552" t="s">
        <v>2281</v>
      </c>
      <c r="E552" t="s">
        <v>71</v>
      </c>
      <c r="F552" t="s">
        <v>84</v>
      </c>
      <c r="G552" t="s">
        <v>85</v>
      </c>
      <c r="H552" t="s">
        <v>32</v>
      </c>
      <c r="I552" t="s">
        <v>66</v>
      </c>
      <c r="J552" t="s">
        <v>73</v>
      </c>
      <c r="K552">
        <v>1</v>
      </c>
      <c r="L552">
        <v>513.79999999999995</v>
      </c>
      <c r="M552">
        <v>0.2</v>
      </c>
    </row>
    <row r="553" spans="1:13" x14ac:dyDescent="0.25">
      <c r="A553" t="s">
        <v>2282</v>
      </c>
      <c r="B553" t="s">
        <v>2283</v>
      </c>
      <c r="C553" t="s">
        <v>2284</v>
      </c>
      <c r="D553" t="s">
        <v>2285</v>
      </c>
      <c r="E553" t="s">
        <v>48</v>
      </c>
      <c r="F553" t="s">
        <v>84</v>
      </c>
      <c r="G553" t="s">
        <v>85</v>
      </c>
      <c r="H553" t="s">
        <v>72</v>
      </c>
      <c r="I553" t="s">
        <v>33</v>
      </c>
      <c r="J553" t="s">
        <v>73</v>
      </c>
      <c r="K553">
        <v>10</v>
      </c>
      <c r="L553">
        <v>1331.32</v>
      </c>
      <c r="M553">
        <v>0</v>
      </c>
    </row>
    <row r="554" spans="1:13" x14ac:dyDescent="0.25">
      <c r="A554" t="s">
        <v>2286</v>
      </c>
      <c r="B554" t="s">
        <v>2287</v>
      </c>
      <c r="C554" t="s">
        <v>2288</v>
      </c>
      <c r="D554" t="s">
        <v>2289</v>
      </c>
      <c r="E554" t="s">
        <v>39</v>
      </c>
      <c r="F554" t="s">
        <v>40</v>
      </c>
      <c r="G554" t="s">
        <v>565</v>
      </c>
      <c r="H554" t="s">
        <v>42</v>
      </c>
      <c r="I554" t="s">
        <v>43</v>
      </c>
      <c r="J554" t="s">
        <v>73</v>
      </c>
      <c r="K554">
        <v>5</v>
      </c>
      <c r="L554">
        <v>1257.93</v>
      </c>
      <c r="M554">
        <v>0</v>
      </c>
    </row>
    <row r="555" spans="1:13" x14ac:dyDescent="0.25">
      <c r="A555" t="s">
        <v>2290</v>
      </c>
      <c r="B555" t="s">
        <v>2291</v>
      </c>
      <c r="C555" t="s">
        <v>2292</v>
      </c>
      <c r="D555" t="s">
        <v>2293</v>
      </c>
      <c r="E555" t="s">
        <v>83</v>
      </c>
      <c r="F555" t="s">
        <v>30</v>
      </c>
      <c r="G555" t="s">
        <v>139</v>
      </c>
      <c r="H555" t="s">
        <v>32</v>
      </c>
      <c r="I555" t="s">
        <v>96</v>
      </c>
      <c r="J555" t="s">
        <v>126</v>
      </c>
      <c r="K555">
        <v>7</v>
      </c>
      <c r="L555">
        <v>1348.9</v>
      </c>
      <c r="M555">
        <v>0</v>
      </c>
    </row>
    <row r="556" spans="1:13" x14ac:dyDescent="0.25">
      <c r="A556" t="s">
        <v>2294</v>
      </c>
      <c r="B556" t="s">
        <v>2295</v>
      </c>
      <c r="C556" t="s">
        <v>2296</v>
      </c>
      <c r="D556" t="s">
        <v>2297</v>
      </c>
      <c r="E556" t="s">
        <v>116</v>
      </c>
      <c r="F556" t="s">
        <v>49</v>
      </c>
      <c r="G556" t="s">
        <v>226</v>
      </c>
      <c r="H556" t="s">
        <v>42</v>
      </c>
      <c r="I556" t="s">
        <v>43</v>
      </c>
      <c r="J556" t="s">
        <v>73</v>
      </c>
      <c r="K556">
        <v>9</v>
      </c>
      <c r="L556">
        <v>372.16</v>
      </c>
      <c r="M556">
        <v>0</v>
      </c>
    </row>
    <row r="557" spans="1:13" x14ac:dyDescent="0.25">
      <c r="A557" t="s">
        <v>2298</v>
      </c>
      <c r="B557" t="s">
        <v>2299</v>
      </c>
      <c r="C557" t="s">
        <v>2300</v>
      </c>
      <c r="D557" t="s">
        <v>2301</v>
      </c>
      <c r="E557" t="s">
        <v>116</v>
      </c>
      <c r="F557" t="s">
        <v>56</v>
      </c>
      <c r="G557" t="s">
        <v>57</v>
      </c>
      <c r="H557" t="s">
        <v>42</v>
      </c>
      <c r="I557" t="s">
        <v>33</v>
      </c>
      <c r="J557" t="s">
        <v>126</v>
      </c>
      <c r="K557">
        <v>3</v>
      </c>
      <c r="L557">
        <v>1008.52</v>
      </c>
      <c r="M557">
        <v>0.2</v>
      </c>
    </row>
    <row r="558" spans="1:13" x14ac:dyDescent="0.25">
      <c r="A558" t="s">
        <v>2302</v>
      </c>
      <c r="B558" t="s">
        <v>2303</v>
      </c>
      <c r="C558" t="s">
        <v>2304</v>
      </c>
      <c r="D558" t="s">
        <v>2305</v>
      </c>
      <c r="E558" t="s">
        <v>149</v>
      </c>
      <c r="F558" t="s">
        <v>30</v>
      </c>
      <c r="G558" t="s">
        <v>65</v>
      </c>
      <c r="H558" t="s">
        <v>32</v>
      </c>
      <c r="I558" t="s">
        <v>96</v>
      </c>
      <c r="J558" t="s">
        <v>59</v>
      </c>
      <c r="K558">
        <v>1</v>
      </c>
      <c r="L558">
        <v>945.81</v>
      </c>
      <c r="M558">
        <v>0.2</v>
      </c>
    </row>
    <row r="559" spans="1:13" x14ac:dyDescent="0.25">
      <c r="A559" t="s">
        <v>2306</v>
      </c>
      <c r="B559" t="s">
        <v>2307</v>
      </c>
      <c r="C559" t="s">
        <v>2308</v>
      </c>
      <c r="D559" t="s">
        <v>2309</v>
      </c>
      <c r="E559" t="s">
        <v>29</v>
      </c>
      <c r="F559" t="s">
        <v>40</v>
      </c>
      <c r="G559" t="s">
        <v>41</v>
      </c>
      <c r="H559" t="s">
        <v>32</v>
      </c>
      <c r="I559" t="s">
        <v>33</v>
      </c>
      <c r="J559" t="s">
        <v>59</v>
      </c>
      <c r="K559">
        <v>4</v>
      </c>
      <c r="L559">
        <v>869.22</v>
      </c>
      <c r="M559">
        <v>0.2</v>
      </c>
    </row>
    <row r="560" spans="1:13" x14ac:dyDescent="0.25">
      <c r="A560" t="s">
        <v>2310</v>
      </c>
      <c r="B560" t="s">
        <v>2311</v>
      </c>
      <c r="C560" t="s">
        <v>2312</v>
      </c>
      <c r="D560" t="s">
        <v>2313</v>
      </c>
      <c r="E560" t="s">
        <v>64</v>
      </c>
      <c r="F560" t="s">
        <v>56</v>
      </c>
      <c r="G560" t="s">
        <v>57</v>
      </c>
      <c r="H560" t="s">
        <v>58</v>
      </c>
      <c r="I560" t="s">
        <v>66</v>
      </c>
      <c r="J560" t="s">
        <v>73</v>
      </c>
      <c r="K560">
        <v>10</v>
      </c>
      <c r="L560">
        <v>557.9</v>
      </c>
      <c r="M560">
        <v>0</v>
      </c>
    </row>
    <row r="561" spans="1:13" x14ac:dyDescent="0.25">
      <c r="A561" t="s">
        <v>2314</v>
      </c>
      <c r="B561" t="s">
        <v>2315</v>
      </c>
      <c r="C561" t="s">
        <v>2316</v>
      </c>
      <c r="D561" t="s">
        <v>2317</v>
      </c>
      <c r="E561" t="s">
        <v>78</v>
      </c>
      <c r="F561" t="s">
        <v>30</v>
      </c>
      <c r="G561" t="s">
        <v>31</v>
      </c>
      <c r="H561" t="s">
        <v>32</v>
      </c>
      <c r="I561" t="s">
        <v>96</v>
      </c>
      <c r="J561" t="s">
        <v>73</v>
      </c>
      <c r="K561">
        <v>4</v>
      </c>
      <c r="L561">
        <v>1472.16</v>
      </c>
      <c r="M561">
        <v>0.15</v>
      </c>
    </row>
    <row r="562" spans="1:13" x14ac:dyDescent="0.25">
      <c r="A562" t="s">
        <v>2318</v>
      </c>
      <c r="B562" t="s">
        <v>2319</v>
      </c>
      <c r="C562" t="s">
        <v>2320</v>
      </c>
      <c r="D562" t="s">
        <v>2321</v>
      </c>
      <c r="E562" t="s">
        <v>29</v>
      </c>
      <c r="F562" t="s">
        <v>40</v>
      </c>
      <c r="G562" t="s">
        <v>565</v>
      </c>
      <c r="H562" t="s">
        <v>58</v>
      </c>
      <c r="I562" t="s">
        <v>96</v>
      </c>
      <c r="J562" t="s">
        <v>34</v>
      </c>
      <c r="K562">
        <v>2</v>
      </c>
      <c r="L562">
        <v>426.56</v>
      </c>
      <c r="M562">
        <v>0.05</v>
      </c>
    </row>
    <row r="563" spans="1:13" x14ac:dyDescent="0.25">
      <c r="A563" t="s">
        <v>2322</v>
      </c>
      <c r="B563" t="s">
        <v>2323</v>
      </c>
      <c r="C563" t="s">
        <v>2324</v>
      </c>
      <c r="D563" t="s">
        <v>2325</v>
      </c>
      <c r="E563" t="s">
        <v>78</v>
      </c>
      <c r="F563" t="s">
        <v>40</v>
      </c>
      <c r="G563" t="s">
        <v>315</v>
      </c>
      <c r="H563" t="s">
        <v>32</v>
      </c>
      <c r="I563" t="s">
        <v>43</v>
      </c>
      <c r="J563" t="s">
        <v>34</v>
      </c>
      <c r="K563">
        <v>6</v>
      </c>
      <c r="L563">
        <v>686.19</v>
      </c>
      <c r="M563">
        <v>0.2</v>
      </c>
    </row>
    <row r="564" spans="1:13" x14ac:dyDescent="0.25">
      <c r="A564" t="s">
        <v>2326</v>
      </c>
      <c r="B564" t="s">
        <v>2327</v>
      </c>
      <c r="C564" t="s">
        <v>2328</v>
      </c>
      <c r="D564" t="s">
        <v>2329</v>
      </c>
      <c r="E564" t="s">
        <v>48</v>
      </c>
      <c r="F564" t="s">
        <v>84</v>
      </c>
      <c r="G564" t="s">
        <v>205</v>
      </c>
      <c r="H564" t="s">
        <v>72</v>
      </c>
      <c r="I564" t="s">
        <v>96</v>
      </c>
      <c r="J564" t="s">
        <v>73</v>
      </c>
      <c r="K564">
        <v>5</v>
      </c>
      <c r="L564">
        <v>177.41</v>
      </c>
      <c r="M564">
        <v>0</v>
      </c>
    </row>
    <row r="565" spans="1:13" x14ac:dyDescent="0.25">
      <c r="A565" t="s">
        <v>2330</v>
      </c>
      <c r="B565" t="s">
        <v>2331</v>
      </c>
      <c r="C565" t="s">
        <v>2332</v>
      </c>
      <c r="D565" t="s">
        <v>2333</v>
      </c>
      <c r="E565" t="s">
        <v>29</v>
      </c>
      <c r="F565" t="s">
        <v>49</v>
      </c>
      <c r="G565" t="s">
        <v>259</v>
      </c>
      <c r="H565" t="s">
        <v>42</v>
      </c>
      <c r="I565" t="s">
        <v>96</v>
      </c>
      <c r="J565" t="s">
        <v>126</v>
      </c>
      <c r="K565">
        <v>8</v>
      </c>
      <c r="L565">
        <v>1398.61</v>
      </c>
      <c r="M565">
        <v>0.05</v>
      </c>
    </row>
    <row r="566" spans="1:13" x14ac:dyDescent="0.25">
      <c r="A566" t="s">
        <v>2334</v>
      </c>
      <c r="B566" t="s">
        <v>2335</v>
      </c>
      <c r="C566" t="s">
        <v>2336</v>
      </c>
      <c r="D566" t="s">
        <v>2337</v>
      </c>
      <c r="E566" t="s">
        <v>39</v>
      </c>
      <c r="F566" t="s">
        <v>40</v>
      </c>
      <c r="G566" t="s">
        <v>315</v>
      </c>
      <c r="H566" t="s">
        <v>58</v>
      </c>
      <c r="I566" t="s">
        <v>96</v>
      </c>
      <c r="J566" t="s">
        <v>34</v>
      </c>
      <c r="K566">
        <v>6</v>
      </c>
      <c r="L566">
        <v>626.36</v>
      </c>
      <c r="M566">
        <v>0.2</v>
      </c>
    </row>
    <row r="567" spans="1:13" x14ac:dyDescent="0.25">
      <c r="A567" t="s">
        <v>2338</v>
      </c>
      <c r="B567" t="s">
        <v>2339</v>
      </c>
      <c r="C567" t="s">
        <v>2340</v>
      </c>
      <c r="D567" t="s">
        <v>2341</v>
      </c>
      <c r="E567" t="s">
        <v>29</v>
      </c>
      <c r="F567" t="s">
        <v>30</v>
      </c>
      <c r="G567" t="s">
        <v>65</v>
      </c>
      <c r="H567" t="s">
        <v>32</v>
      </c>
      <c r="I567" t="s">
        <v>43</v>
      </c>
      <c r="J567" t="s">
        <v>59</v>
      </c>
      <c r="K567">
        <v>6</v>
      </c>
      <c r="L567">
        <v>351.77</v>
      </c>
      <c r="M567">
        <v>0.05</v>
      </c>
    </row>
    <row r="568" spans="1:13" x14ac:dyDescent="0.25">
      <c r="A568" t="s">
        <v>2342</v>
      </c>
      <c r="B568" t="s">
        <v>2343</v>
      </c>
      <c r="C568" t="s">
        <v>2344</v>
      </c>
      <c r="D568" t="s">
        <v>2345</v>
      </c>
      <c r="E568" t="s">
        <v>48</v>
      </c>
      <c r="F568" t="s">
        <v>40</v>
      </c>
      <c r="G568" t="s">
        <v>315</v>
      </c>
      <c r="H568" t="s">
        <v>72</v>
      </c>
      <c r="I568" t="s">
        <v>43</v>
      </c>
      <c r="J568" t="s">
        <v>73</v>
      </c>
      <c r="K568">
        <v>3</v>
      </c>
      <c r="L568">
        <v>285.69</v>
      </c>
      <c r="M568">
        <v>0.2</v>
      </c>
    </row>
    <row r="569" spans="1:13" x14ac:dyDescent="0.25">
      <c r="A569" t="s">
        <v>2346</v>
      </c>
      <c r="B569" t="s">
        <v>2347</v>
      </c>
      <c r="C569" t="s">
        <v>2348</v>
      </c>
      <c r="D569" t="s">
        <v>2349</v>
      </c>
      <c r="E569" t="s">
        <v>48</v>
      </c>
      <c r="F569" t="s">
        <v>49</v>
      </c>
      <c r="G569" t="s">
        <v>50</v>
      </c>
      <c r="H569" t="s">
        <v>32</v>
      </c>
      <c r="I569" t="s">
        <v>66</v>
      </c>
      <c r="J569" t="s">
        <v>59</v>
      </c>
      <c r="K569">
        <v>4</v>
      </c>
      <c r="L569">
        <v>563.96</v>
      </c>
      <c r="M569">
        <v>0.15</v>
      </c>
    </row>
    <row r="570" spans="1:13" x14ac:dyDescent="0.25">
      <c r="A570" t="s">
        <v>2350</v>
      </c>
      <c r="B570" t="s">
        <v>2351</v>
      </c>
      <c r="C570" t="s">
        <v>2352</v>
      </c>
      <c r="D570" t="s">
        <v>2353</v>
      </c>
      <c r="E570" t="s">
        <v>48</v>
      </c>
      <c r="F570" t="s">
        <v>40</v>
      </c>
      <c r="G570" t="s">
        <v>315</v>
      </c>
      <c r="H570" t="s">
        <v>42</v>
      </c>
      <c r="I570" t="s">
        <v>43</v>
      </c>
      <c r="J570" t="s">
        <v>34</v>
      </c>
      <c r="K570">
        <v>1</v>
      </c>
      <c r="L570">
        <v>195.41</v>
      </c>
      <c r="M570">
        <v>0.1</v>
      </c>
    </row>
    <row r="571" spans="1:13" x14ac:dyDescent="0.25">
      <c r="A571" t="s">
        <v>2354</v>
      </c>
      <c r="B571" t="s">
        <v>2355</v>
      </c>
      <c r="C571" t="s">
        <v>2356</v>
      </c>
      <c r="D571" t="s">
        <v>2357</v>
      </c>
      <c r="E571" t="s">
        <v>78</v>
      </c>
      <c r="F571" t="s">
        <v>40</v>
      </c>
      <c r="G571" t="s">
        <v>315</v>
      </c>
      <c r="H571" t="s">
        <v>58</v>
      </c>
      <c r="I571" t="s">
        <v>33</v>
      </c>
      <c r="J571" t="s">
        <v>73</v>
      </c>
      <c r="K571">
        <v>5</v>
      </c>
      <c r="L571">
        <v>976.16</v>
      </c>
      <c r="M571">
        <v>0.1</v>
      </c>
    </row>
    <row r="572" spans="1:13" x14ac:dyDescent="0.25">
      <c r="A572" t="s">
        <v>2358</v>
      </c>
      <c r="B572" t="s">
        <v>2359</v>
      </c>
      <c r="C572" t="s">
        <v>2360</v>
      </c>
      <c r="D572" t="s">
        <v>2361</v>
      </c>
      <c r="E572" t="s">
        <v>116</v>
      </c>
      <c r="F572" t="s">
        <v>49</v>
      </c>
      <c r="G572" t="s">
        <v>117</v>
      </c>
      <c r="H572" t="s">
        <v>58</v>
      </c>
      <c r="I572" t="s">
        <v>51</v>
      </c>
      <c r="J572" t="s">
        <v>34</v>
      </c>
      <c r="K572">
        <v>9</v>
      </c>
      <c r="L572">
        <v>222.04</v>
      </c>
      <c r="M572">
        <v>0</v>
      </c>
    </row>
    <row r="573" spans="1:13" x14ac:dyDescent="0.25">
      <c r="A573" t="s">
        <v>2362</v>
      </c>
      <c r="B573" t="s">
        <v>2363</v>
      </c>
      <c r="C573" t="s">
        <v>2364</v>
      </c>
      <c r="D573" t="s">
        <v>2365</v>
      </c>
      <c r="E573" t="s">
        <v>116</v>
      </c>
      <c r="F573" t="s">
        <v>84</v>
      </c>
      <c r="G573" t="s">
        <v>205</v>
      </c>
      <c r="H573" t="s">
        <v>72</v>
      </c>
      <c r="I573" t="s">
        <v>66</v>
      </c>
      <c r="J573" t="s">
        <v>73</v>
      </c>
      <c r="K573">
        <v>4</v>
      </c>
      <c r="L573">
        <v>918.1</v>
      </c>
      <c r="M573">
        <v>0.15</v>
      </c>
    </row>
    <row r="574" spans="1:13" x14ac:dyDescent="0.25">
      <c r="A574" t="s">
        <v>2366</v>
      </c>
      <c r="B574" t="s">
        <v>2367</v>
      </c>
      <c r="C574" t="s">
        <v>2368</v>
      </c>
      <c r="D574" t="s">
        <v>2369</v>
      </c>
      <c r="E574" t="s">
        <v>200</v>
      </c>
      <c r="F574" t="s">
        <v>56</v>
      </c>
      <c r="G574" t="s">
        <v>111</v>
      </c>
      <c r="H574" t="s">
        <v>32</v>
      </c>
      <c r="I574" t="s">
        <v>66</v>
      </c>
      <c r="J574" t="s">
        <v>34</v>
      </c>
      <c r="K574">
        <v>8</v>
      </c>
      <c r="L574">
        <v>600.72</v>
      </c>
      <c r="M574">
        <v>0.05</v>
      </c>
    </row>
    <row r="575" spans="1:13" x14ac:dyDescent="0.25">
      <c r="A575" t="s">
        <v>2370</v>
      </c>
      <c r="B575" t="s">
        <v>2371</v>
      </c>
      <c r="C575" t="s">
        <v>2372</v>
      </c>
      <c r="D575" t="s">
        <v>2373</v>
      </c>
      <c r="E575" t="s">
        <v>64</v>
      </c>
      <c r="F575" t="s">
        <v>84</v>
      </c>
      <c r="G575" t="s">
        <v>412</v>
      </c>
      <c r="H575" t="s">
        <v>32</v>
      </c>
      <c r="I575" t="s">
        <v>43</v>
      </c>
      <c r="J575" t="s">
        <v>34</v>
      </c>
      <c r="K575">
        <v>8</v>
      </c>
      <c r="L575">
        <v>536.76</v>
      </c>
      <c r="M575">
        <v>0.15</v>
      </c>
    </row>
    <row r="576" spans="1:13" x14ac:dyDescent="0.25">
      <c r="A576" t="s">
        <v>2374</v>
      </c>
      <c r="B576" t="s">
        <v>2375</v>
      </c>
      <c r="C576" t="s">
        <v>2376</v>
      </c>
      <c r="D576" t="s">
        <v>2377</v>
      </c>
      <c r="E576" t="s">
        <v>149</v>
      </c>
      <c r="F576" t="s">
        <v>49</v>
      </c>
      <c r="G576" t="s">
        <v>286</v>
      </c>
      <c r="H576" t="s">
        <v>72</v>
      </c>
      <c r="I576" t="s">
        <v>43</v>
      </c>
      <c r="J576" t="s">
        <v>59</v>
      </c>
      <c r="K576">
        <v>10</v>
      </c>
      <c r="L576">
        <v>1255.73</v>
      </c>
      <c r="M576">
        <v>0</v>
      </c>
    </row>
    <row r="577" spans="1:13" x14ac:dyDescent="0.25">
      <c r="A577" t="s">
        <v>2378</v>
      </c>
      <c r="B577" t="s">
        <v>2379</v>
      </c>
      <c r="C577" t="s">
        <v>1024</v>
      </c>
      <c r="D577" t="s">
        <v>2380</v>
      </c>
      <c r="E577" t="s">
        <v>83</v>
      </c>
      <c r="F577" t="s">
        <v>49</v>
      </c>
      <c r="G577" t="s">
        <v>117</v>
      </c>
      <c r="H577" t="s">
        <v>72</v>
      </c>
      <c r="I577" t="s">
        <v>33</v>
      </c>
      <c r="J577" t="s">
        <v>34</v>
      </c>
      <c r="K577">
        <v>5</v>
      </c>
      <c r="L577">
        <v>24.83</v>
      </c>
      <c r="M577">
        <v>0.1</v>
      </c>
    </row>
    <row r="578" spans="1:13" x14ac:dyDescent="0.25">
      <c r="A578" t="s">
        <v>2381</v>
      </c>
      <c r="B578" t="s">
        <v>2382</v>
      </c>
      <c r="C578" t="s">
        <v>2383</v>
      </c>
      <c r="D578" t="s">
        <v>2384</v>
      </c>
      <c r="E578" t="s">
        <v>149</v>
      </c>
      <c r="F578" t="s">
        <v>84</v>
      </c>
      <c r="G578" t="s">
        <v>90</v>
      </c>
      <c r="H578" t="s">
        <v>58</v>
      </c>
      <c r="I578" t="s">
        <v>96</v>
      </c>
      <c r="J578" t="s">
        <v>34</v>
      </c>
      <c r="K578">
        <v>5</v>
      </c>
      <c r="L578">
        <v>743.52</v>
      </c>
      <c r="M578">
        <v>0.15</v>
      </c>
    </row>
    <row r="579" spans="1:13" x14ac:dyDescent="0.25">
      <c r="A579" t="s">
        <v>2385</v>
      </c>
      <c r="B579" t="s">
        <v>2386</v>
      </c>
      <c r="C579" t="s">
        <v>2387</v>
      </c>
      <c r="D579" t="s">
        <v>2388</v>
      </c>
      <c r="E579" t="s">
        <v>29</v>
      </c>
      <c r="F579" t="s">
        <v>84</v>
      </c>
      <c r="G579" t="s">
        <v>264</v>
      </c>
      <c r="H579" t="s">
        <v>72</v>
      </c>
      <c r="I579" t="s">
        <v>96</v>
      </c>
      <c r="J579" t="s">
        <v>73</v>
      </c>
      <c r="K579">
        <v>5</v>
      </c>
      <c r="L579">
        <v>199.4</v>
      </c>
      <c r="M579">
        <v>0.1</v>
      </c>
    </row>
    <row r="580" spans="1:13" x14ac:dyDescent="0.25">
      <c r="A580" t="s">
        <v>2389</v>
      </c>
      <c r="B580" t="s">
        <v>2390</v>
      </c>
      <c r="C580" t="s">
        <v>2391</v>
      </c>
      <c r="D580" t="s">
        <v>2392</v>
      </c>
      <c r="E580" t="s">
        <v>116</v>
      </c>
      <c r="F580" t="s">
        <v>40</v>
      </c>
      <c r="G580" t="s">
        <v>315</v>
      </c>
      <c r="H580" t="s">
        <v>58</v>
      </c>
      <c r="I580" t="s">
        <v>96</v>
      </c>
      <c r="J580" t="s">
        <v>126</v>
      </c>
      <c r="K580">
        <v>10</v>
      </c>
      <c r="L580">
        <v>877.88</v>
      </c>
      <c r="M580">
        <v>0.1</v>
      </c>
    </row>
    <row r="581" spans="1:13" x14ac:dyDescent="0.25">
      <c r="A581" t="s">
        <v>2393</v>
      </c>
      <c r="B581" t="s">
        <v>2394</v>
      </c>
      <c r="C581" t="s">
        <v>2395</v>
      </c>
      <c r="D581" t="s">
        <v>2396</v>
      </c>
      <c r="E581" t="s">
        <v>64</v>
      </c>
      <c r="F581" t="s">
        <v>84</v>
      </c>
      <c r="G581" t="s">
        <v>85</v>
      </c>
      <c r="H581" t="s">
        <v>42</v>
      </c>
      <c r="I581" t="s">
        <v>43</v>
      </c>
      <c r="J581" t="s">
        <v>59</v>
      </c>
      <c r="K581">
        <v>3</v>
      </c>
      <c r="L581">
        <v>878.76</v>
      </c>
      <c r="M581">
        <v>0.05</v>
      </c>
    </row>
    <row r="582" spans="1:13" x14ac:dyDescent="0.25">
      <c r="A582" t="s">
        <v>2397</v>
      </c>
      <c r="B582" t="s">
        <v>2398</v>
      </c>
      <c r="C582" t="s">
        <v>2399</v>
      </c>
      <c r="D582" t="s">
        <v>2400</v>
      </c>
      <c r="E582" t="s">
        <v>149</v>
      </c>
      <c r="F582" t="s">
        <v>84</v>
      </c>
      <c r="G582" t="s">
        <v>205</v>
      </c>
      <c r="H582" t="s">
        <v>32</v>
      </c>
      <c r="I582" t="s">
        <v>33</v>
      </c>
      <c r="J582" t="s">
        <v>73</v>
      </c>
      <c r="K582">
        <v>9</v>
      </c>
      <c r="L582">
        <v>445.44</v>
      </c>
      <c r="M582">
        <v>0.2</v>
      </c>
    </row>
    <row r="583" spans="1:13" x14ac:dyDescent="0.25">
      <c r="A583" t="s">
        <v>2401</v>
      </c>
      <c r="B583" t="s">
        <v>2402</v>
      </c>
      <c r="C583" t="s">
        <v>2403</v>
      </c>
      <c r="D583" t="s">
        <v>2404</v>
      </c>
      <c r="E583" t="s">
        <v>48</v>
      </c>
      <c r="F583" t="s">
        <v>40</v>
      </c>
      <c r="G583" t="s">
        <v>315</v>
      </c>
      <c r="H583" t="s">
        <v>58</v>
      </c>
      <c r="I583" t="s">
        <v>51</v>
      </c>
      <c r="J583" t="s">
        <v>59</v>
      </c>
      <c r="K583">
        <v>5</v>
      </c>
      <c r="L583">
        <v>1310.58</v>
      </c>
      <c r="M583">
        <v>0.05</v>
      </c>
    </row>
    <row r="584" spans="1:13" x14ac:dyDescent="0.25">
      <c r="A584" t="s">
        <v>2405</v>
      </c>
      <c r="B584" t="s">
        <v>2406</v>
      </c>
      <c r="C584" t="s">
        <v>2407</v>
      </c>
      <c r="D584" t="s">
        <v>2408</v>
      </c>
      <c r="E584" t="s">
        <v>29</v>
      </c>
      <c r="F584" t="s">
        <v>84</v>
      </c>
      <c r="G584" t="s">
        <v>264</v>
      </c>
      <c r="H584" t="s">
        <v>72</v>
      </c>
      <c r="I584" t="s">
        <v>43</v>
      </c>
      <c r="J584" t="s">
        <v>73</v>
      </c>
      <c r="K584">
        <v>3</v>
      </c>
      <c r="L584">
        <v>626.80999999999995</v>
      </c>
      <c r="M584">
        <v>0</v>
      </c>
    </row>
    <row r="585" spans="1:13" x14ac:dyDescent="0.25">
      <c r="A585" t="s">
        <v>2409</v>
      </c>
      <c r="B585" t="s">
        <v>2410</v>
      </c>
      <c r="C585" t="s">
        <v>2411</v>
      </c>
      <c r="D585" t="s">
        <v>2412</v>
      </c>
      <c r="E585" t="s">
        <v>78</v>
      </c>
      <c r="F585" t="s">
        <v>40</v>
      </c>
      <c r="G585" t="s">
        <v>41</v>
      </c>
      <c r="H585" t="s">
        <v>42</v>
      </c>
      <c r="I585" t="s">
        <v>51</v>
      </c>
      <c r="J585" t="s">
        <v>126</v>
      </c>
      <c r="K585">
        <v>2</v>
      </c>
      <c r="L585">
        <v>1057.8599999999999</v>
      </c>
      <c r="M585">
        <v>0.1</v>
      </c>
    </row>
    <row r="586" spans="1:13" x14ac:dyDescent="0.25">
      <c r="A586" t="s">
        <v>2413</v>
      </c>
      <c r="B586" t="s">
        <v>2414</v>
      </c>
      <c r="C586" t="s">
        <v>2415</v>
      </c>
      <c r="D586" t="s">
        <v>2416</v>
      </c>
      <c r="E586" t="s">
        <v>29</v>
      </c>
      <c r="F586" t="s">
        <v>84</v>
      </c>
      <c r="G586" t="s">
        <v>85</v>
      </c>
      <c r="H586" t="s">
        <v>58</v>
      </c>
      <c r="I586" t="s">
        <v>43</v>
      </c>
      <c r="J586" t="s">
        <v>59</v>
      </c>
      <c r="K586">
        <v>10</v>
      </c>
      <c r="L586">
        <v>1228.3</v>
      </c>
      <c r="M586">
        <v>0.15</v>
      </c>
    </row>
    <row r="587" spans="1:13" x14ac:dyDescent="0.25">
      <c r="A587" t="s">
        <v>2417</v>
      </c>
      <c r="B587" t="s">
        <v>2418</v>
      </c>
      <c r="C587" t="s">
        <v>2419</v>
      </c>
      <c r="D587" t="s">
        <v>2420</v>
      </c>
      <c r="E587" t="s">
        <v>48</v>
      </c>
      <c r="F587" t="s">
        <v>30</v>
      </c>
      <c r="G587" t="s">
        <v>65</v>
      </c>
      <c r="H587" t="s">
        <v>42</v>
      </c>
      <c r="I587" t="s">
        <v>51</v>
      </c>
      <c r="J587" t="s">
        <v>126</v>
      </c>
      <c r="K587">
        <v>3</v>
      </c>
      <c r="L587">
        <v>201.14</v>
      </c>
      <c r="M587">
        <v>0</v>
      </c>
    </row>
    <row r="588" spans="1:13" x14ac:dyDescent="0.25">
      <c r="A588" t="s">
        <v>2421</v>
      </c>
      <c r="B588" t="s">
        <v>2422</v>
      </c>
      <c r="C588" t="s">
        <v>2423</v>
      </c>
      <c r="D588" t="s">
        <v>2424</v>
      </c>
      <c r="E588" t="s">
        <v>39</v>
      </c>
      <c r="F588" t="s">
        <v>56</v>
      </c>
      <c r="G588" t="s">
        <v>101</v>
      </c>
      <c r="H588" t="s">
        <v>32</v>
      </c>
      <c r="I588" t="s">
        <v>96</v>
      </c>
      <c r="J588" t="s">
        <v>126</v>
      </c>
      <c r="K588">
        <v>9</v>
      </c>
      <c r="L588">
        <v>1192.69</v>
      </c>
      <c r="M588">
        <v>0.15</v>
      </c>
    </row>
    <row r="589" spans="1:13" x14ac:dyDescent="0.25">
      <c r="A589" t="s">
        <v>2425</v>
      </c>
      <c r="B589" t="s">
        <v>2426</v>
      </c>
      <c r="C589" t="s">
        <v>2427</v>
      </c>
      <c r="D589" t="s">
        <v>2428</v>
      </c>
      <c r="E589" t="s">
        <v>64</v>
      </c>
      <c r="F589" t="s">
        <v>56</v>
      </c>
      <c r="G589" t="s">
        <v>101</v>
      </c>
      <c r="H589" t="s">
        <v>72</v>
      </c>
      <c r="I589" t="s">
        <v>43</v>
      </c>
      <c r="J589" t="s">
        <v>59</v>
      </c>
      <c r="K589">
        <v>4</v>
      </c>
      <c r="L589">
        <v>1381.35</v>
      </c>
      <c r="M589">
        <v>0.15</v>
      </c>
    </row>
    <row r="590" spans="1:13" x14ac:dyDescent="0.25">
      <c r="A590" t="s">
        <v>2429</v>
      </c>
      <c r="B590" t="s">
        <v>2430</v>
      </c>
      <c r="C590" t="s">
        <v>2431</v>
      </c>
      <c r="D590" t="s">
        <v>2432</v>
      </c>
      <c r="E590" t="s">
        <v>29</v>
      </c>
      <c r="F590" t="s">
        <v>40</v>
      </c>
      <c r="G590" t="s">
        <v>315</v>
      </c>
      <c r="H590" t="s">
        <v>72</v>
      </c>
      <c r="I590" t="s">
        <v>33</v>
      </c>
      <c r="J590" t="s">
        <v>126</v>
      </c>
      <c r="K590">
        <v>9</v>
      </c>
      <c r="L590">
        <v>538.02</v>
      </c>
      <c r="M590">
        <v>0.2</v>
      </c>
    </row>
    <row r="591" spans="1:13" x14ac:dyDescent="0.25">
      <c r="A591" t="s">
        <v>2433</v>
      </c>
      <c r="B591" t="s">
        <v>2434</v>
      </c>
      <c r="C591" t="s">
        <v>2435</v>
      </c>
      <c r="D591" t="s">
        <v>2436</v>
      </c>
      <c r="E591" t="s">
        <v>39</v>
      </c>
      <c r="F591" t="s">
        <v>30</v>
      </c>
      <c r="G591" t="s">
        <v>65</v>
      </c>
      <c r="H591" t="s">
        <v>32</v>
      </c>
      <c r="I591" t="s">
        <v>43</v>
      </c>
      <c r="J591" t="s">
        <v>34</v>
      </c>
      <c r="K591">
        <v>9</v>
      </c>
      <c r="L591">
        <v>270.08</v>
      </c>
      <c r="M591">
        <v>0</v>
      </c>
    </row>
    <row r="592" spans="1:13" x14ac:dyDescent="0.25">
      <c r="A592" t="s">
        <v>2437</v>
      </c>
      <c r="B592" t="s">
        <v>2438</v>
      </c>
      <c r="C592" t="s">
        <v>2439</v>
      </c>
      <c r="D592" t="s">
        <v>2440</v>
      </c>
      <c r="E592" t="s">
        <v>200</v>
      </c>
      <c r="F592" t="s">
        <v>56</v>
      </c>
      <c r="G592" t="s">
        <v>95</v>
      </c>
      <c r="H592" t="s">
        <v>72</v>
      </c>
      <c r="I592" t="s">
        <v>33</v>
      </c>
      <c r="J592" t="s">
        <v>73</v>
      </c>
      <c r="K592">
        <v>7</v>
      </c>
      <c r="L592">
        <v>1254.5899999999999</v>
      </c>
      <c r="M592">
        <v>0.1</v>
      </c>
    </row>
    <row r="593" spans="1:13" x14ac:dyDescent="0.25">
      <c r="A593" t="s">
        <v>2441</v>
      </c>
      <c r="B593" t="s">
        <v>2442</v>
      </c>
      <c r="C593" t="s">
        <v>2443</v>
      </c>
      <c r="D593" t="s">
        <v>2444</v>
      </c>
      <c r="E593" t="s">
        <v>200</v>
      </c>
      <c r="F593" t="s">
        <v>56</v>
      </c>
      <c r="G593" t="s">
        <v>111</v>
      </c>
      <c r="H593" t="s">
        <v>58</v>
      </c>
      <c r="I593" t="s">
        <v>33</v>
      </c>
      <c r="J593" t="s">
        <v>126</v>
      </c>
      <c r="K593">
        <v>6</v>
      </c>
      <c r="L593">
        <v>216.83</v>
      </c>
      <c r="M593">
        <v>0.2</v>
      </c>
    </row>
    <row r="594" spans="1:13" x14ac:dyDescent="0.25">
      <c r="A594" t="s">
        <v>2445</v>
      </c>
      <c r="B594" t="s">
        <v>2446</v>
      </c>
      <c r="C594" t="s">
        <v>2447</v>
      </c>
      <c r="D594" t="s">
        <v>2448</v>
      </c>
      <c r="E594" t="s">
        <v>149</v>
      </c>
      <c r="F594" t="s">
        <v>84</v>
      </c>
      <c r="G594" t="s">
        <v>264</v>
      </c>
      <c r="H594" t="s">
        <v>42</v>
      </c>
      <c r="I594" t="s">
        <v>43</v>
      </c>
      <c r="J594" t="s">
        <v>34</v>
      </c>
      <c r="K594">
        <v>5</v>
      </c>
      <c r="L594">
        <v>906.58</v>
      </c>
      <c r="M594">
        <v>0.2</v>
      </c>
    </row>
    <row r="595" spans="1:13" x14ac:dyDescent="0.25">
      <c r="A595" t="s">
        <v>2449</v>
      </c>
      <c r="B595" t="s">
        <v>2450</v>
      </c>
      <c r="C595" t="s">
        <v>2451</v>
      </c>
      <c r="D595" t="s">
        <v>2452</v>
      </c>
      <c r="E595" t="s">
        <v>116</v>
      </c>
      <c r="F595" t="s">
        <v>49</v>
      </c>
      <c r="G595" t="s">
        <v>50</v>
      </c>
      <c r="H595" t="s">
        <v>32</v>
      </c>
      <c r="I595" t="s">
        <v>96</v>
      </c>
      <c r="J595" t="s">
        <v>34</v>
      </c>
      <c r="K595">
        <v>8</v>
      </c>
      <c r="L595">
        <v>281.26</v>
      </c>
      <c r="M595">
        <v>0.2</v>
      </c>
    </row>
    <row r="596" spans="1:13" x14ac:dyDescent="0.25">
      <c r="A596" t="s">
        <v>2453</v>
      </c>
      <c r="B596" t="s">
        <v>2454</v>
      </c>
      <c r="C596" t="s">
        <v>2455</v>
      </c>
      <c r="D596" t="s">
        <v>2456</v>
      </c>
      <c r="E596" t="s">
        <v>116</v>
      </c>
      <c r="F596" t="s">
        <v>30</v>
      </c>
      <c r="G596" t="s">
        <v>195</v>
      </c>
      <c r="H596" t="s">
        <v>72</v>
      </c>
      <c r="I596" t="s">
        <v>51</v>
      </c>
      <c r="J596" t="s">
        <v>59</v>
      </c>
      <c r="K596">
        <v>10</v>
      </c>
      <c r="L596">
        <v>609.92999999999995</v>
      </c>
      <c r="M596">
        <v>0</v>
      </c>
    </row>
    <row r="597" spans="1:13" x14ac:dyDescent="0.25">
      <c r="A597" t="s">
        <v>2457</v>
      </c>
      <c r="B597" t="s">
        <v>2458</v>
      </c>
      <c r="C597" t="s">
        <v>2459</v>
      </c>
      <c r="D597" t="s">
        <v>2460</v>
      </c>
      <c r="E597" t="s">
        <v>149</v>
      </c>
      <c r="F597" t="s">
        <v>56</v>
      </c>
      <c r="G597" t="s">
        <v>95</v>
      </c>
      <c r="H597" t="s">
        <v>58</v>
      </c>
      <c r="I597" t="s">
        <v>96</v>
      </c>
      <c r="J597" t="s">
        <v>59</v>
      </c>
      <c r="K597">
        <v>8</v>
      </c>
      <c r="L597">
        <v>1259.5899999999999</v>
      </c>
      <c r="M597">
        <v>0.05</v>
      </c>
    </row>
    <row r="598" spans="1:13" x14ac:dyDescent="0.25">
      <c r="A598" t="s">
        <v>2461</v>
      </c>
      <c r="B598" t="s">
        <v>2462</v>
      </c>
      <c r="C598" t="s">
        <v>2463</v>
      </c>
      <c r="D598" t="s">
        <v>2464</v>
      </c>
      <c r="E598" t="s">
        <v>200</v>
      </c>
      <c r="F598" t="s">
        <v>40</v>
      </c>
      <c r="G598" t="s">
        <v>315</v>
      </c>
      <c r="H598" t="s">
        <v>32</v>
      </c>
      <c r="I598" t="s">
        <v>66</v>
      </c>
      <c r="J598" t="s">
        <v>34</v>
      </c>
      <c r="K598">
        <v>8</v>
      </c>
      <c r="L598">
        <v>233.85</v>
      </c>
      <c r="M598">
        <v>0</v>
      </c>
    </row>
    <row r="599" spans="1:13" x14ac:dyDescent="0.25">
      <c r="A599" t="s">
        <v>2465</v>
      </c>
      <c r="B599" t="s">
        <v>2466</v>
      </c>
      <c r="C599" t="s">
        <v>2467</v>
      </c>
      <c r="D599" t="s">
        <v>2468</v>
      </c>
      <c r="E599" t="s">
        <v>64</v>
      </c>
      <c r="F599" t="s">
        <v>56</v>
      </c>
      <c r="G599" t="s">
        <v>101</v>
      </c>
      <c r="H599" t="s">
        <v>32</v>
      </c>
      <c r="I599" t="s">
        <v>43</v>
      </c>
      <c r="J599" t="s">
        <v>34</v>
      </c>
      <c r="K599">
        <v>8</v>
      </c>
      <c r="L599">
        <v>1248.01</v>
      </c>
      <c r="M599">
        <v>0.2</v>
      </c>
    </row>
    <row r="600" spans="1:13" x14ac:dyDescent="0.25">
      <c r="A600" t="s">
        <v>2469</v>
      </c>
      <c r="B600" t="s">
        <v>2470</v>
      </c>
      <c r="C600" t="s">
        <v>2471</v>
      </c>
      <c r="D600" t="s">
        <v>2472</v>
      </c>
      <c r="E600" t="s">
        <v>29</v>
      </c>
      <c r="F600" t="s">
        <v>40</v>
      </c>
      <c r="G600" t="s">
        <v>41</v>
      </c>
      <c r="H600" t="s">
        <v>42</v>
      </c>
      <c r="I600" t="s">
        <v>96</v>
      </c>
      <c r="J600" t="s">
        <v>73</v>
      </c>
      <c r="K600">
        <v>2</v>
      </c>
      <c r="L600">
        <v>158.06</v>
      </c>
      <c r="M600">
        <v>0.2</v>
      </c>
    </row>
    <row r="601" spans="1:13" x14ac:dyDescent="0.25">
      <c r="A601" t="s">
        <v>2473</v>
      </c>
      <c r="B601" t="s">
        <v>2474</v>
      </c>
      <c r="C601" t="s">
        <v>2475</v>
      </c>
      <c r="D601" t="s">
        <v>2476</v>
      </c>
      <c r="E601" t="s">
        <v>78</v>
      </c>
      <c r="F601" t="s">
        <v>84</v>
      </c>
      <c r="G601" t="s">
        <v>90</v>
      </c>
      <c r="H601" t="s">
        <v>32</v>
      </c>
      <c r="I601" t="s">
        <v>51</v>
      </c>
      <c r="J601" t="s">
        <v>34</v>
      </c>
      <c r="K601">
        <v>9</v>
      </c>
      <c r="L601">
        <v>525.27</v>
      </c>
      <c r="M601">
        <v>0.15</v>
      </c>
    </row>
    <row r="602" spans="1:13" x14ac:dyDescent="0.25">
      <c r="A602" t="s">
        <v>2477</v>
      </c>
      <c r="B602" t="s">
        <v>2478</v>
      </c>
      <c r="C602" t="s">
        <v>2479</v>
      </c>
      <c r="D602" t="s">
        <v>2480</v>
      </c>
      <c r="E602" t="s">
        <v>149</v>
      </c>
      <c r="F602" t="s">
        <v>49</v>
      </c>
      <c r="G602" t="s">
        <v>226</v>
      </c>
      <c r="H602" t="s">
        <v>58</v>
      </c>
      <c r="I602" t="s">
        <v>43</v>
      </c>
      <c r="J602" t="s">
        <v>34</v>
      </c>
      <c r="K602">
        <v>3</v>
      </c>
      <c r="L602">
        <v>68.430000000000007</v>
      </c>
      <c r="M602">
        <v>0.15</v>
      </c>
    </row>
    <row r="603" spans="1:13" x14ac:dyDescent="0.25">
      <c r="A603" t="s">
        <v>2481</v>
      </c>
      <c r="B603" t="s">
        <v>2482</v>
      </c>
      <c r="C603" t="s">
        <v>2483</v>
      </c>
      <c r="D603" t="s">
        <v>2484</v>
      </c>
      <c r="E603" t="s">
        <v>149</v>
      </c>
      <c r="F603" t="s">
        <v>49</v>
      </c>
      <c r="G603" t="s">
        <v>117</v>
      </c>
      <c r="H603" t="s">
        <v>42</v>
      </c>
      <c r="I603" t="s">
        <v>96</v>
      </c>
      <c r="J603" t="s">
        <v>73</v>
      </c>
      <c r="K603">
        <v>8</v>
      </c>
      <c r="L603">
        <v>859.75</v>
      </c>
      <c r="M603">
        <v>0.2</v>
      </c>
    </row>
    <row r="604" spans="1:13" x14ac:dyDescent="0.25">
      <c r="A604" t="s">
        <v>2485</v>
      </c>
      <c r="B604" t="s">
        <v>2486</v>
      </c>
      <c r="C604" t="s">
        <v>2487</v>
      </c>
      <c r="D604" t="s">
        <v>2488</v>
      </c>
      <c r="E604" t="s">
        <v>83</v>
      </c>
      <c r="F604" t="s">
        <v>49</v>
      </c>
      <c r="G604" t="s">
        <v>259</v>
      </c>
      <c r="H604" t="s">
        <v>32</v>
      </c>
      <c r="I604" t="s">
        <v>51</v>
      </c>
      <c r="J604" t="s">
        <v>126</v>
      </c>
      <c r="K604">
        <v>5</v>
      </c>
      <c r="L604">
        <v>1019.58</v>
      </c>
      <c r="M604">
        <v>0.05</v>
      </c>
    </row>
    <row r="605" spans="1:13" x14ac:dyDescent="0.25">
      <c r="A605" t="s">
        <v>2489</v>
      </c>
      <c r="B605" t="s">
        <v>2490</v>
      </c>
      <c r="C605" t="s">
        <v>2491</v>
      </c>
      <c r="D605" t="s">
        <v>2492</v>
      </c>
      <c r="E605" t="s">
        <v>83</v>
      </c>
      <c r="F605" t="s">
        <v>56</v>
      </c>
      <c r="G605" t="s">
        <v>190</v>
      </c>
      <c r="H605" t="s">
        <v>58</v>
      </c>
      <c r="I605" t="s">
        <v>96</v>
      </c>
      <c r="J605" t="s">
        <v>59</v>
      </c>
      <c r="K605">
        <v>7</v>
      </c>
      <c r="L605">
        <v>580.15</v>
      </c>
      <c r="M605">
        <v>0.05</v>
      </c>
    </row>
    <row r="606" spans="1:13" x14ac:dyDescent="0.25">
      <c r="A606" t="s">
        <v>2493</v>
      </c>
      <c r="B606" t="s">
        <v>2494</v>
      </c>
      <c r="C606" t="s">
        <v>2495</v>
      </c>
      <c r="D606" t="s">
        <v>2496</v>
      </c>
      <c r="E606" t="s">
        <v>39</v>
      </c>
      <c r="F606" t="s">
        <v>84</v>
      </c>
      <c r="G606" t="s">
        <v>90</v>
      </c>
      <c r="H606" t="s">
        <v>32</v>
      </c>
      <c r="I606" t="s">
        <v>66</v>
      </c>
      <c r="J606" t="s">
        <v>73</v>
      </c>
      <c r="K606">
        <v>2</v>
      </c>
      <c r="L606">
        <v>141.13999999999999</v>
      </c>
      <c r="M606">
        <v>0.05</v>
      </c>
    </row>
    <row r="607" spans="1:13" x14ac:dyDescent="0.25">
      <c r="A607" t="s">
        <v>2497</v>
      </c>
      <c r="B607" t="s">
        <v>2498</v>
      </c>
      <c r="C607" t="s">
        <v>2499</v>
      </c>
      <c r="D607" t="s">
        <v>2500</v>
      </c>
      <c r="E607" t="s">
        <v>200</v>
      </c>
      <c r="F607" t="s">
        <v>49</v>
      </c>
      <c r="G607" t="s">
        <v>259</v>
      </c>
      <c r="H607" t="s">
        <v>32</v>
      </c>
      <c r="I607" t="s">
        <v>96</v>
      </c>
      <c r="J607" t="s">
        <v>126</v>
      </c>
      <c r="K607">
        <v>7</v>
      </c>
      <c r="L607">
        <v>779.42</v>
      </c>
      <c r="M607">
        <v>0.05</v>
      </c>
    </row>
    <row r="608" spans="1:13" x14ac:dyDescent="0.25">
      <c r="A608" t="s">
        <v>2501</v>
      </c>
      <c r="B608" t="s">
        <v>2502</v>
      </c>
      <c r="C608" t="s">
        <v>2503</v>
      </c>
      <c r="D608" t="s">
        <v>2504</v>
      </c>
      <c r="E608" t="s">
        <v>71</v>
      </c>
      <c r="F608" t="s">
        <v>40</v>
      </c>
      <c r="G608" t="s">
        <v>144</v>
      </c>
      <c r="H608" t="s">
        <v>72</v>
      </c>
      <c r="I608" t="s">
        <v>66</v>
      </c>
      <c r="J608" t="s">
        <v>34</v>
      </c>
      <c r="K608">
        <v>2</v>
      </c>
      <c r="L608">
        <v>1215.3599999999999</v>
      </c>
      <c r="M608">
        <v>0.2</v>
      </c>
    </row>
    <row r="609" spans="1:13" x14ac:dyDescent="0.25">
      <c r="A609" t="s">
        <v>2505</v>
      </c>
      <c r="B609" t="s">
        <v>2506</v>
      </c>
      <c r="C609" t="s">
        <v>2507</v>
      </c>
      <c r="D609" t="s">
        <v>2508</v>
      </c>
      <c r="E609" t="s">
        <v>83</v>
      </c>
      <c r="F609" t="s">
        <v>84</v>
      </c>
      <c r="G609" t="s">
        <v>412</v>
      </c>
      <c r="H609" t="s">
        <v>32</v>
      </c>
      <c r="I609" t="s">
        <v>33</v>
      </c>
      <c r="J609" t="s">
        <v>73</v>
      </c>
      <c r="K609">
        <v>4</v>
      </c>
      <c r="L609">
        <v>1454.6</v>
      </c>
      <c r="M609">
        <v>0.1</v>
      </c>
    </row>
    <row r="610" spans="1:13" x14ac:dyDescent="0.25">
      <c r="A610" t="s">
        <v>2509</v>
      </c>
      <c r="B610" t="s">
        <v>2510</v>
      </c>
      <c r="C610" t="s">
        <v>2511</v>
      </c>
      <c r="D610" t="s">
        <v>2512</v>
      </c>
      <c r="E610" t="s">
        <v>83</v>
      </c>
      <c r="F610" t="s">
        <v>49</v>
      </c>
      <c r="G610" t="s">
        <v>286</v>
      </c>
      <c r="H610" t="s">
        <v>32</v>
      </c>
      <c r="I610" t="s">
        <v>33</v>
      </c>
      <c r="J610" t="s">
        <v>59</v>
      </c>
      <c r="K610">
        <v>2</v>
      </c>
      <c r="L610">
        <v>942.49</v>
      </c>
      <c r="M610">
        <v>0.2</v>
      </c>
    </row>
    <row r="611" spans="1:13" x14ac:dyDescent="0.25">
      <c r="A611" t="s">
        <v>2513</v>
      </c>
      <c r="B611" t="s">
        <v>2514</v>
      </c>
      <c r="C611" t="s">
        <v>2515</v>
      </c>
      <c r="D611" t="s">
        <v>2516</v>
      </c>
      <c r="E611" t="s">
        <v>78</v>
      </c>
      <c r="F611" t="s">
        <v>49</v>
      </c>
      <c r="G611" t="s">
        <v>226</v>
      </c>
      <c r="H611" t="s">
        <v>58</v>
      </c>
      <c r="I611" t="s">
        <v>33</v>
      </c>
      <c r="J611" t="s">
        <v>59</v>
      </c>
      <c r="K611">
        <v>2</v>
      </c>
      <c r="L611">
        <v>326.45999999999998</v>
      </c>
      <c r="M611">
        <v>0.2</v>
      </c>
    </row>
    <row r="612" spans="1:13" x14ac:dyDescent="0.25">
      <c r="A612" t="s">
        <v>2517</v>
      </c>
      <c r="B612" t="s">
        <v>2518</v>
      </c>
      <c r="C612" t="s">
        <v>2519</v>
      </c>
      <c r="D612" t="s">
        <v>2520</v>
      </c>
      <c r="E612" t="s">
        <v>39</v>
      </c>
      <c r="F612" t="s">
        <v>49</v>
      </c>
      <c r="G612" t="s">
        <v>226</v>
      </c>
      <c r="H612" t="s">
        <v>72</v>
      </c>
      <c r="I612" t="s">
        <v>51</v>
      </c>
      <c r="J612" t="s">
        <v>73</v>
      </c>
      <c r="K612">
        <v>9</v>
      </c>
      <c r="L612">
        <v>388.13</v>
      </c>
      <c r="M612">
        <v>0.1</v>
      </c>
    </row>
    <row r="613" spans="1:13" x14ac:dyDescent="0.25">
      <c r="A613" t="s">
        <v>2521</v>
      </c>
      <c r="B613" t="s">
        <v>2522</v>
      </c>
      <c r="C613" t="s">
        <v>2523</v>
      </c>
      <c r="D613" t="s">
        <v>2524</v>
      </c>
      <c r="E613" t="s">
        <v>200</v>
      </c>
      <c r="F613" t="s">
        <v>84</v>
      </c>
      <c r="G613" t="s">
        <v>90</v>
      </c>
      <c r="H613" t="s">
        <v>32</v>
      </c>
      <c r="I613" t="s">
        <v>33</v>
      </c>
      <c r="J613" t="s">
        <v>73</v>
      </c>
      <c r="K613">
        <v>7</v>
      </c>
      <c r="L613">
        <v>1216.27</v>
      </c>
      <c r="M613">
        <v>0.15</v>
      </c>
    </row>
    <row r="614" spans="1:13" x14ac:dyDescent="0.25">
      <c r="A614" t="s">
        <v>2525</v>
      </c>
      <c r="B614" t="s">
        <v>2526</v>
      </c>
      <c r="C614" t="s">
        <v>2527</v>
      </c>
      <c r="D614" t="s">
        <v>2528</v>
      </c>
      <c r="E614" t="s">
        <v>48</v>
      </c>
      <c r="F614" t="s">
        <v>84</v>
      </c>
      <c r="G614" t="s">
        <v>264</v>
      </c>
      <c r="H614" t="s">
        <v>72</v>
      </c>
      <c r="I614" t="s">
        <v>96</v>
      </c>
      <c r="J614" t="s">
        <v>59</v>
      </c>
      <c r="K614">
        <v>2</v>
      </c>
      <c r="L614">
        <v>624.24</v>
      </c>
      <c r="M614">
        <v>0.2</v>
      </c>
    </row>
    <row r="615" spans="1:13" x14ac:dyDescent="0.25">
      <c r="A615" t="s">
        <v>2529</v>
      </c>
      <c r="B615" t="s">
        <v>2530</v>
      </c>
      <c r="C615" t="s">
        <v>2531</v>
      </c>
      <c r="D615" t="s">
        <v>2532</v>
      </c>
      <c r="E615" t="s">
        <v>83</v>
      </c>
      <c r="F615" t="s">
        <v>30</v>
      </c>
      <c r="G615" t="s">
        <v>195</v>
      </c>
      <c r="H615" t="s">
        <v>32</v>
      </c>
      <c r="I615" t="s">
        <v>43</v>
      </c>
      <c r="J615" t="s">
        <v>59</v>
      </c>
      <c r="K615">
        <v>3</v>
      </c>
      <c r="L615">
        <v>369.15</v>
      </c>
      <c r="M615">
        <v>0</v>
      </c>
    </row>
    <row r="616" spans="1:13" x14ac:dyDescent="0.25">
      <c r="A616" t="s">
        <v>2533</v>
      </c>
      <c r="B616" t="s">
        <v>2534</v>
      </c>
      <c r="C616" t="s">
        <v>2535</v>
      </c>
      <c r="D616" t="s">
        <v>2536</v>
      </c>
      <c r="E616" t="s">
        <v>149</v>
      </c>
      <c r="F616" t="s">
        <v>56</v>
      </c>
      <c r="G616" t="s">
        <v>95</v>
      </c>
      <c r="H616" t="s">
        <v>58</v>
      </c>
      <c r="I616" t="s">
        <v>66</v>
      </c>
      <c r="J616" t="s">
        <v>73</v>
      </c>
      <c r="K616">
        <v>3</v>
      </c>
      <c r="L616">
        <v>251.65</v>
      </c>
      <c r="M616">
        <v>0</v>
      </c>
    </row>
    <row r="617" spans="1:13" x14ac:dyDescent="0.25">
      <c r="A617" t="s">
        <v>2537</v>
      </c>
      <c r="B617" t="s">
        <v>2538</v>
      </c>
      <c r="C617" t="s">
        <v>2539</v>
      </c>
      <c r="D617" t="s">
        <v>2540</v>
      </c>
      <c r="E617" t="s">
        <v>64</v>
      </c>
      <c r="F617" t="s">
        <v>56</v>
      </c>
      <c r="G617" t="s">
        <v>101</v>
      </c>
      <c r="H617" t="s">
        <v>42</v>
      </c>
      <c r="I617" t="s">
        <v>66</v>
      </c>
      <c r="J617" t="s">
        <v>126</v>
      </c>
      <c r="K617">
        <v>5</v>
      </c>
      <c r="L617">
        <v>481.15</v>
      </c>
      <c r="M617">
        <v>0</v>
      </c>
    </row>
    <row r="618" spans="1:13" x14ac:dyDescent="0.25">
      <c r="A618" t="s">
        <v>2541</v>
      </c>
      <c r="B618" t="s">
        <v>2542</v>
      </c>
      <c r="C618" t="s">
        <v>2543</v>
      </c>
      <c r="D618" t="s">
        <v>2544</v>
      </c>
      <c r="E618" t="s">
        <v>83</v>
      </c>
      <c r="F618" t="s">
        <v>40</v>
      </c>
      <c r="G618" t="s">
        <v>144</v>
      </c>
      <c r="H618" t="s">
        <v>58</v>
      </c>
      <c r="I618" t="s">
        <v>96</v>
      </c>
      <c r="J618" t="s">
        <v>126</v>
      </c>
      <c r="K618">
        <v>10</v>
      </c>
      <c r="L618">
        <v>790.11</v>
      </c>
      <c r="M618">
        <v>0.15</v>
      </c>
    </row>
    <row r="619" spans="1:13" x14ac:dyDescent="0.25">
      <c r="A619" t="s">
        <v>2545</v>
      </c>
      <c r="B619" t="s">
        <v>2546</v>
      </c>
      <c r="C619" t="s">
        <v>2547</v>
      </c>
      <c r="D619" t="s">
        <v>2548</v>
      </c>
      <c r="E619" t="s">
        <v>71</v>
      </c>
      <c r="F619" t="s">
        <v>84</v>
      </c>
      <c r="G619" t="s">
        <v>90</v>
      </c>
      <c r="H619" t="s">
        <v>72</v>
      </c>
      <c r="I619" t="s">
        <v>43</v>
      </c>
      <c r="J619" t="s">
        <v>126</v>
      </c>
      <c r="K619">
        <v>4</v>
      </c>
      <c r="L619">
        <v>1109.8</v>
      </c>
      <c r="M619">
        <v>0.1</v>
      </c>
    </row>
    <row r="620" spans="1:13" x14ac:dyDescent="0.25">
      <c r="A620" t="s">
        <v>2549</v>
      </c>
      <c r="B620" t="s">
        <v>2550</v>
      </c>
      <c r="C620" t="s">
        <v>2551</v>
      </c>
      <c r="D620" t="s">
        <v>2552</v>
      </c>
      <c r="E620" t="s">
        <v>149</v>
      </c>
      <c r="F620" t="s">
        <v>84</v>
      </c>
      <c r="G620" t="s">
        <v>90</v>
      </c>
      <c r="H620" t="s">
        <v>32</v>
      </c>
      <c r="I620" t="s">
        <v>66</v>
      </c>
      <c r="J620" t="s">
        <v>34</v>
      </c>
      <c r="K620">
        <v>9</v>
      </c>
      <c r="L620">
        <v>98.05</v>
      </c>
      <c r="M620">
        <v>0.05</v>
      </c>
    </row>
    <row r="621" spans="1:13" x14ac:dyDescent="0.25">
      <c r="A621" t="s">
        <v>2553</v>
      </c>
      <c r="B621" t="s">
        <v>2554</v>
      </c>
      <c r="C621" t="s">
        <v>2555</v>
      </c>
      <c r="D621" t="s">
        <v>2556</v>
      </c>
      <c r="E621" t="s">
        <v>48</v>
      </c>
      <c r="F621" t="s">
        <v>84</v>
      </c>
      <c r="G621" t="s">
        <v>264</v>
      </c>
      <c r="H621" t="s">
        <v>32</v>
      </c>
      <c r="I621" t="s">
        <v>51</v>
      </c>
      <c r="J621" t="s">
        <v>73</v>
      </c>
      <c r="K621">
        <v>5</v>
      </c>
      <c r="L621">
        <v>1077.77</v>
      </c>
      <c r="M621">
        <v>0</v>
      </c>
    </row>
    <row r="622" spans="1:13" x14ac:dyDescent="0.25">
      <c r="A622" t="s">
        <v>2557</v>
      </c>
      <c r="B622" t="s">
        <v>2558</v>
      </c>
      <c r="C622" t="s">
        <v>2559</v>
      </c>
      <c r="D622" t="s">
        <v>2560</v>
      </c>
      <c r="E622" t="s">
        <v>71</v>
      </c>
      <c r="F622" t="s">
        <v>56</v>
      </c>
      <c r="G622" t="s">
        <v>111</v>
      </c>
      <c r="H622" t="s">
        <v>32</v>
      </c>
      <c r="I622" t="s">
        <v>96</v>
      </c>
      <c r="J622" t="s">
        <v>59</v>
      </c>
      <c r="K622">
        <v>8</v>
      </c>
      <c r="L622">
        <v>1302.43</v>
      </c>
      <c r="M622">
        <v>0.1</v>
      </c>
    </row>
    <row r="623" spans="1:13" x14ac:dyDescent="0.25">
      <c r="A623" t="s">
        <v>2561</v>
      </c>
      <c r="B623" t="s">
        <v>2562</v>
      </c>
      <c r="C623" t="s">
        <v>2563</v>
      </c>
      <c r="D623" t="s">
        <v>2564</v>
      </c>
      <c r="E623" t="s">
        <v>39</v>
      </c>
      <c r="F623" t="s">
        <v>30</v>
      </c>
      <c r="G623" t="s">
        <v>195</v>
      </c>
      <c r="H623" t="s">
        <v>58</v>
      </c>
      <c r="I623" t="s">
        <v>51</v>
      </c>
      <c r="J623" t="s">
        <v>34</v>
      </c>
      <c r="K623">
        <v>7</v>
      </c>
      <c r="L623">
        <v>952.56</v>
      </c>
      <c r="M623">
        <v>0</v>
      </c>
    </row>
    <row r="624" spans="1:13" x14ac:dyDescent="0.25">
      <c r="A624" t="s">
        <v>2565</v>
      </c>
      <c r="B624" t="s">
        <v>2566</v>
      </c>
      <c r="C624" t="s">
        <v>2567</v>
      </c>
      <c r="D624" t="s">
        <v>2568</v>
      </c>
      <c r="E624" t="s">
        <v>149</v>
      </c>
      <c r="F624" t="s">
        <v>56</v>
      </c>
      <c r="G624" t="s">
        <v>95</v>
      </c>
      <c r="H624" t="s">
        <v>58</v>
      </c>
      <c r="I624" t="s">
        <v>96</v>
      </c>
      <c r="J624" t="s">
        <v>59</v>
      </c>
      <c r="K624">
        <v>9</v>
      </c>
      <c r="L624">
        <v>1052.25</v>
      </c>
      <c r="M624">
        <v>0</v>
      </c>
    </row>
    <row r="625" spans="1:13" x14ac:dyDescent="0.25">
      <c r="A625" t="s">
        <v>2569</v>
      </c>
      <c r="B625" t="s">
        <v>2570</v>
      </c>
      <c r="C625" t="s">
        <v>2571</v>
      </c>
      <c r="D625" t="s">
        <v>2572</v>
      </c>
      <c r="E625" t="s">
        <v>64</v>
      </c>
      <c r="F625" t="s">
        <v>30</v>
      </c>
      <c r="G625" t="s">
        <v>195</v>
      </c>
      <c r="H625" t="s">
        <v>42</v>
      </c>
      <c r="I625" t="s">
        <v>43</v>
      </c>
      <c r="J625" t="s">
        <v>59</v>
      </c>
      <c r="K625">
        <v>3</v>
      </c>
      <c r="L625">
        <v>1189.6600000000001</v>
      </c>
      <c r="M625">
        <v>0</v>
      </c>
    </row>
    <row r="626" spans="1:13" x14ac:dyDescent="0.25">
      <c r="A626" t="s">
        <v>2573</v>
      </c>
      <c r="B626" t="s">
        <v>2574</v>
      </c>
      <c r="C626" t="s">
        <v>2575</v>
      </c>
      <c r="D626" t="s">
        <v>2576</v>
      </c>
      <c r="E626" t="s">
        <v>48</v>
      </c>
      <c r="F626" t="s">
        <v>30</v>
      </c>
      <c r="G626" t="s">
        <v>139</v>
      </c>
      <c r="H626" t="s">
        <v>42</v>
      </c>
      <c r="I626" t="s">
        <v>66</v>
      </c>
      <c r="J626" t="s">
        <v>34</v>
      </c>
      <c r="K626">
        <v>3</v>
      </c>
      <c r="L626">
        <v>1074.6400000000001</v>
      </c>
      <c r="M626">
        <v>0.15</v>
      </c>
    </row>
    <row r="627" spans="1:13" x14ac:dyDescent="0.25">
      <c r="A627" t="s">
        <v>2577</v>
      </c>
      <c r="B627" t="s">
        <v>2578</v>
      </c>
      <c r="C627" t="s">
        <v>2579</v>
      </c>
      <c r="D627" t="s">
        <v>2580</v>
      </c>
      <c r="E627" t="s">
        <v>83</v>
      </c>
      <c r="F627" t="s">
        <v>84</v>
      </c>
      <c r="G627" t="s">
        <v>412</v>
      </c>
      <c r="H627" t="s">
        <v>72</v>
      </c>
      <c r="I627" t="s">
        <v>96</v>
      </c>
      <c r="J627" t="s">
        <v>34</v>
      </c>
      <c r="K627">
        <v>7</v>
      </c>
      <c r="L627">
        <v>310.02</v>
      </c>
      <c r="M627">
        <v>0.05</v>
      </c>
    </row>
    <row r="628" spans="1:13" x14ac:dyDescent="0.25">
      <c r="A628" t="s">
        <v>2581</v>
      </c>
      <c r="B628" t="s">
        <v>2582</v>
      </c>
      <c r="C628" t="s">
        <v>2583</v>
      </c>
      <c r="D628" t="s">
        <v>2584</v>
      </c>
      <c r="E628" t="s">
        <v>78</v>
      </c>
      <c r="F628" t="s">
        <v>40</v>
      </c>
      <c r="G628" t="s">
        <v>106</v>
      </c>
      <c r="H628" t="s">
        <v>58</v>
      </c>
      <c r="I628" t="s">
        <v>43</v>
      </c>
      <c r="J628" t="s">
        <v>126</v>
      </c>
      <c r="K628">
        <v>8</v>
      </c>
      <c r="L628">
        <v>1361.66</v>
      </c>
      <c r="M628">
        <v>0</v>
      </c>
    </row>
    <row r="629" spans="1:13" x14ac:dyDescent="0.25">
      <c r="A629" t="s">
        <v>2585</v>
      </c>
      <c r="B629" t="s">
        <v>2586</v>
      </c>
      <c r="C629" t="s">
        <v>2587</v>
      </c>
      <c r="D629" t="s">
        <v>2588</v>
      </c>
      <c r="E629" t="s">
        <v>29</v>
      </c>
      <c r="F629" t="s">
        <v>30</v>
      </c>
      <c r="G629" t="s">
        <v>269</v>
      </c>
      <c r="H629" t="s">
        <v>32</v>
      </c>
      <c r="I629" t="s">
        <v>51</v>
      </c>
      <c r="J629" t="s">
        <v>34</v>
      </c>
      <c r="K629">
        <v>3</v>
      </c>
      <c r="L629">
        <v>1437.68</v>
      </c>
      <c r="M629">
        <v>0.15</v>
      </c>
    </row>
    <row r="630" spans="1:13" x14ac:dyDescent="0.25">
      <c r="A630" t="s">
        <v>2589</v>
      </c>
      <c r="B630" t="s">
        <v>2590</v>
      </c>
      <c r="C630" t="s">
        <v>2591</v>
      </c>
      <c r="D630" t="s">
        <v>2592</v>
      </c>
      <c r="E630" t="s">
        <v>39</v>
      </c>
      <c r="F630" t="s">
        <v>30</v>
      </c>
      <c r="G630" t="s">
        <v>31</v>
      </c>
      <c r="H630" t="s">
        <v>42</v>
      </c>
      <c r="I630" t="s">
        <v>96</v>
      </c>
      <c r="J630" t="s">
        <v>73</v>
      </c>
      <c r="K630">
        <v>5</v>
      </c>
      <c r="L630">
        <v>1419.89</v>
      </c>
      <c r="M630">
        <v>0.05</v>
      </c>
    </row>
    <row r="631" spans="1:13" x14ac:dyDescent="0.25">
      <c r="A631" t="s">
        <v>2593</v>
      </c>
      <c r="B631" t="s">
        <v>2594</v>
      </c>
      <c r="C631" t="s">
        <v>2595</v>
      </c>
      <c r="D631" t="s">
        <v>2596</v>
      </c>
      <c r="E631" t="s">
        <v>29</v>
      </c>
      <c r="F631" t="s">
        <v>30</v>
      </c>
      <c r="G631" t="s">
        <v>195</v>
      </c>
      <c r="H631" t="s">
        <v>58</v>
      </c>
      <c r="I631" t="s">
        <v>66</v>
      </c>
      <c r="J631" t="s">
        <v>73</v>
      </c>
      <c r="K631">
        <v>3</v>
      </c>
      <c r="L631">
        <v>282.85000000000002</v>
      </c>
      <c r="M631">
        <v>0</v>
      </c>
    </row>
    <row r="632" spans="1:13" x14ac:dyDescent="0.25">
      <c r="A632" t="s">
        <v>2597</v>
      </c>
      <c r="B632" t="s">
        <v>2598</v>
      </c>
      <c r="C632" t="s">
        <v>2599</v>
      </c>
      <c r="D632" t="s">
        <v>2600</v>
      </c>
      <c r="E632" t="s">
        <v>83</v>
      </c>
      <c r="F632" t="s">
        <v>49</v>
      </c>
      <c r="G632" t="s">
        <v>117</v>
      </c>
      <c r="H632" t="s">
        <v>42</v>
      </c>
      <c r="I632" t="s">
        <v>43</v>
      </c>
      <c r="J632" t="s">
        <v>34</v>
      </c>
      <c r="K632">
        <v>3</v>
      </c>
      <c r="L632">
        <v>30.33</v>
      </c>
      <c r="M632">
        <v>0.05</v>
      </c>
    </row>
    <row r="633" spans="1:13" x14ac:dyDescent="0.25">
      <c r="A633" t="s">
        <v>2601</v>
      </c>
      <c r="B633" t="s">
        <v>2602</v>
      </c>
      <c r="C633" t="s">
        <v>2603</v>
      </c>
      <c r="D633" t="s">
        <v>2604</v>
      </c>
      <c r="E633" t="s">
        <v>116</v>
      </c>
      <c r="F633" t="s">
        <v>40</v>
      </c>
      <c r="G633" t="s">
        <v>144</v>
      </c>
      <c r="H633" t="s">
        <v>58</v>
      </c>
      <c r="I633" t="s">
        <v>33</v>
      </c>
      <c r="J633" t="s">
        <v>126</v>
      </c>
      <c r="K633">
        <v>4</v>
      </c>
      <c r="L633">
        <v>92.39</v>
      </c>
      <c r="M633">
        <v>0.1</v>
      </c>
    </row>
    <row r="634" spans="1:13" x14ac:dyDescent="0.25">
      <c r="A634" t="s">
        <v>2605</v>
      </c>
      <c r="B634" t="s">
        <v>2606</v>
      </c>
      <c r="C634" t="s">
        <v>608</v>
      </c>
      <c r="D634" t="s">
        <v>2607</v>
      </c>
      <c r="E634" t="s">
        <v>149</v>
      </c>
      <c r="F634" t="s">
        <v>84</v>
      </c>
      <c r="G634" t="s">
        <v>264</v>
      </c>
      <c r="H634" t="s">
        <v>32</v>
      </c>
      <c r="I634" t="s">
        <v>33</v>
      </c>
      <c r="J634" t="s">
        <v>73</v>
      </c>
      <c r="K634">
        <v>3</v>
      </c>
      <c r="L634">
        <v>1011.82</v>
      </c>
      <c r="M634">
        <v>0.15</v>
      </c>
    </row>
    <row r="635" spans="1:13" x14ac:dyDescent="0.25">
      <c r="A635" t="s">
        <v>2608</v>
      </c>
      <c r="B635" t="s">
        <v>2609</v>
      </c>
      <c r="C635" t="s">
        <v>2610</v>
      </c>
      <c r="D635" t="s">
        <v>2611</v>
      </c>
      <c r="E635" t="s">
        <v>71</v>
      </c>
      <c r="F635" t="s">
        <v>49</v>
      </c>
      <c r="G635" t="s">
        <v>286</v>
      </c>
      <c r="H635" t="s">
        <v>72</v>
      </c>
      <c r="I635" t="s">
        <v>66</v>
      </c>
      <c r="J635" t="s">
        <v>126</v>
      </c>
      <c r="K635">
        <v>9</v>
      </c>
      <c r="L635">
        <v>148.13</v>
      </c>
      <c r="M635">
        <v>0.1</v>
      </c>
    </row>
    <row r="636" spans="1:13" x14ac:dyDescent="0.25">
      <c r="A636" t="s">
        <v>2612</v>
      </c>
      <c r="B636" t="s">
        <v>2613</v>
      </c>
      <c r="C636" t="s">
        <v>2614</v>
      </c>
      <c r="D636" t="s">
        <v>2615</v>
      </c>
      <c r="E636" t="s">
        <v>29</v>
      </c>
      <c r="F636" t="s">
        <v>84</v>
      </c>
      <c r="G636" t="s">
        <v>264</v>
      </c>
      <c r="H636" t="s">
        <v>58</v>
      </c>
      <c r="I636" t="s">
        <v>33</v>
      </c>
      <c r="J636" t="s">
        <v>59</v>
      </c>
      <c r="K636">
        <v>5</v>
      </c>
      <c r="L636">
        <v>435.14</v>
      </c>
      <c r="M636">
        <v>0.15</v>
      </c>
    </row>
    <row r="637" spans="1:13" x14ac:dyDescent="0.25">
      <c r="A637" t="s">
        <v>2616</v>
      </c>
      <c r="B637" t="s">
        <v>2617</v>
      </c>
      <c r="C637" t="s">
        <v>2618</v>
      </c>
      <c r="D637" t="s">
        <v>2619</v>
      </c>
      <c r="E637" t="s">
        <v>200</v>
      </c>
      <c r="F637" t="s">
        <v>30</v>
      </c>
      <c r="G637" t="s">
        <v>139</v>
      </c>
      <c r="H637" t="s">
        <v>72</v>
      </c>
      <c r="I637" t="s">
        <v>43</v>
      </c>
      <c r="J637" t="s">
        <v>126</v>
      </c>
      <c r="K637">
        <v>8</v>
      </c>
      <c r="L637">
        <v>1281.75</v>
      </c>
      <c r="M637">
        <v>0</v>
      </c>
    </row>
    <row r="638" spans="1:13" x14ac:dyDescent="0.25">
      <c r="A638" t="s">
        <v>2620</v>
      </c>
      <c r="B638" t="s">
        <v>2621</v>
      </c>
      <c r="C638" t="s">
        <v>2622</v>
      </c>
      <c r="D638" t="s">
        <v>2623</v>
      </c>
      <c r="E638" t="s">
        <v>29</v>
      </c>
      <c r="F638" t="s">
        <v>30</v>
      </c>
      <c r="G638" t="s">
        <v>195</v>
      </c>
      <c r="H638" t="s">
        <v>42</v>
      </c>
      <c r="I638" t="s">
        <v>66</v>
      </c>
      <c r="J638" t="s">
        <v>34</v>
      </c>
      <c r="K638">
        <v>8</v>
      </c>
      <c r="L638">
        <v>663.1</v>
      </c>
      <c r="M638">
        <v>0</v>
      </c>
    </row>
    <row r="639" spans="1:13" x14ac:dyDescent="0.25">
      <c r="A639" t="s">
        <v>2624</v>
      </c>
      <c r="B639" t="s">
        <v>2625</v>
      </c>
      <c r="C639" t="s">
        <v>2626</v>
      </c>
      <c r="D639" t="s">
        <v>2627</v>
      </c>
      <c r="E639" t="s">
        <v>48</v>
      </c>
      <c r="F639" t="s">
        <v>56</v>
      </c>
      <c r="G639" t="s">
        <v>190</v>
      </c>
      <c r="H639" t="s">
        <v>72</v>
      </c>
      <c r="I639" t="s">
        <v>33</v>
      </c>
      <c r="J639" t="s">
        <v>59</v>
      </c>
      <c r="K639">
        <v>5</v>
      </c>
      <c r="L639">
        <v>153.96</v>
      </c>
      <c r="M639">
        <v>0</v>
      </c>
    </row>
    <row r="640" spans="1:13" x14ac:dyDescent="0.25">
      <c r="A640" t="s">
        <v>2628</v>
      </c>
      <c r="B640" t="s">
        <v>2629</v>
      </c>
      <c r="C640" t="s">
        <v>2630</v>
      </c>
      <c r="D640" t="s">
        <v>2631</v>
      </c>
      <c r="E640" t="s">
        <v>83</v>
      </c>
      <c r="F640" t="s">
        <v>56</v>
      </c>
      <c r="G640" t="s">
        <v>111</v>
      </c>
      <c r="H640" t="s">
        <v>32</v>
      </c>
      <c r="I640" t="s">
        <v>43</v>
      </c>
      <c r="J640" t="s">
        <v>34</v>
      </c>
      <c r="K640">
        <v>3</v>
      </c>
      <c r="L640">
        <v>1153.77</v>
      </c>
      <c r="M640">
        <v>0.1</v>
      </c>
    </row>
    <row r="641" spans="1:13" x14ac:dyDescent="0.25">
      <c r="A641" t="s">
        <v>2632</v>
      </c>
      <c r="B641" t="s">
        <v>2633</v>
      </c>
      <c r="C641" t="s">
        <v>2634</v>
      </c>
      <c r="D641" t="s">
        <v>2635</v>
      </c>
      <c r="E641" t="s">
        <v>29</v>
      </c>
      <c r="F641" t="s">
        <v>56</v>
      </c>
      <c r="G641" t="s">
        <v>57</v>
      </c>
      <c r="H641" t="s">
        <v>72</v>
      </c>
      <c r="I641" t="s">
        <v>51</v>
      </c>
      <c r="J641" t="s">
        <v>126</v>
      </c>
      <c r="K641">
        <v>2</v>
      </c>
      <c r="L641">
        <v>569.73</v>
      </c>
      <c r="M641">
        <v>0.05</v>
      </c>
    </row>
    <row r="642" spans="1:13" x14ac:dyDescent="0.25">
      <c r="A642" t="s">
        <v>2636</v>
      </c>
      <c r="B642" t="s">
        <v>2637</v>
      </c>
      <c r="C642" t="s">
        <v>2638</v>
      </c>
      <c r="D642" t="s">
        <v>2639</v>
      </c>
      <c r="E642" t="s">
        <v>200</v>
      </c>
      <c r="F642" t="s">
        <v>84</v>
      </c>
      <c r="G642" t="s">
        <v>90</v>
      </c>
      <c r="H642" t="s">
        <v>42</v>
      </c>
      <c r="I642" t="s">
        <v>66</v>
      </c>
      <c r="J642" t="s">
        <v>73</v>
      </c>
      <c r="K642">
        <v>6</v>
      </c>
      <c r="L642">
        <v>992.14</v>
      </c>
      <c r="M642">
        <v>0</v>
      </c>
    </row>
    <row r="643" spans="1:13" x14ac:dyDescent="0.25">
      <c r="A643" t="s">
        <v>2640</v>
      </c>
      <c r="B643" t="s">
        <v>2641</v>
      </c>
      <c r="C643" t="s">
        <v>2642</v>
      </c>
      <c r="D643" t="s">
        <v>2643</v>
      </c>
      <c r="E643" t="s">
        <v>71</v>
      </c>
      <c r="F643" t="s">
        <v>56</v>
      </c>
      <c r="G643" t="s">
        <v>101</v>
      </c>
      <c r="H643" t="s">
        <v>32</v>
      </c>
      <c r="I643" t="s">
        <v>96</v>
      </c>
      <c r="J643" t="s">
        <v>59</v>
      </c>
      <c r="K643">
        <v>10</v>
      </c>
      <c r="L643">
        <v>827.53</v>
      </c>
      <c r="M643">
        <v>0.1</v>
      </c>
    </row>
    <row r="644" spans="1:13" x14ac:dyDescent="0.25">
      <c r="A644" t="s">
        <v>2644</v>
      </c>
      <c r="B644" t="s">
        <v>2645</v>
      </c>
      <c r="C644" t="s">
        <v>2646</v>
      </c>
      <c r="D644" t="s">
        <v>2647</v>
      </c>
      <c r="E644" t="s">
        <v>64</v>
      </c>
      <c r="F644" t="s">
        <v>30</v>
      </c>
      <c r="G644" t="s">
        <v>31</v>
      </c>
      <c r="H644" t="s">
        <v>72</v>
      </c>
      <c r="I644" t="s">
        <v>51</v>
      </c>
      <c r="J644" t="s">
        <v>59</v>
      </c>
      <c r="K644">
        <v>7</v>
      </c>
      <c r="L644">
        <v>591.92999999999995</v>
      </c>
      <c r="M644">
        <v>0.05</v>
      </c>
    </row>
    <row r="645" spans="1:13" x14ac:dyDescent="0.25">
      <c r="A645" t="s">
        <v>2648</v>
      </c>
      <c r="B645" t="s">
        <v>2649</v>
      </c>
      <c r="C645" t="s">
        <v>2650</v>
      </c>
      <c r="D645" t="s">
        <v>2651</v>
      </c>
      <c r="E645" t="s">
        <v>29</v>
      </c>
      <c r="F645" t="s">
        <v>40</v>
      </c>
      <c r="G645" t="s">
        <v>106</v>
      </c>
      <c r="H645" t="s">
        <v>72</v>
      </c>
      <c r="I645" t="s">
        <v>96</v>
      </c>
      <c r="J645" t="s">
        <v>34</v>
      </c>
      <c r="K645">
        <v>2</v>
      </c>
      <c r="L645">
        <v>548.17999999999995</v>
      </c>
      <c r="M645">
        <v>0.05</v>
      </c>
    </row>
    <row r="646" spans="1:13" x14ac:dyDescent="0.25">
      <c r="A646" t="s">
        <v>2652</v>
      </c>
      <c r="B646" t="s">
        <v>2653</v>
      </c>
      <c r="C646" t="s">
        <v>2654</v>
      </c>
      <c r="D646" t="s">
        <v>2655</v>
      </c>
      <c r="E646" t="s">
        <v>83</v>
      </c>
      <c r="F646" t="s">
        <v>49</v>
      </c>
      <c r="G646" t="s">
        <v>117</v>
      </c>
      <c r="H646" t="s">
        <v>72</v>
      </c>
      <c r="I646" t="s">
        <v>96</v>
      </c>
      <c r="J646" t="s">
        <v>34</v>
      </c>
      <c r="K646">
        <v>6</v>
      </c>
      <c r="L646">
        <v>1138.3900000000001</v>
      </c>
      <c r="M646">
        <v>0.15</v>
      </c>
    </row>
    <row r="647" spans="1:13" x14ac:dyDescent="0.25">
      <c r="A647" t="s">
        <v>2656</v>
      </c>
      <c r="B647" t="s">
        <v>2657</v>
      </c>
      <c r="C647" t="s">
        <v>2658</v>
      </c>
      <c r="D647" t="s">
        <v>2659</v>
      </c>
      <c r="E647" t="s">
        <v>200</v>
      </c>
      <c r="F647" t="s">
        <v>30</v>
      </c>
      <c r="G647" t="s">
        <v>31</v>
      </c>
      <c r="H647" t="s">
        <v>32</v>
      </c>
      <c r="I647" t="s">
        <v>66</v>
      </c>
      <c r="J647" t="s">
        <v>34</v>
      </c>
      <c r="K647">
        <v>9</v>
      </c>
      <c r="L647">
        <v>1397.04</v>
      </c>
      <c r="M647">
        <v>0.2</v>
      </c>
    </row>
    <row r="648" spans="1:13" x14ac:dyDescent="0.25">
      <c r="A648" t="s">
        <v>2660</v>
      </c>
      <c r="B648" t="s">
        <v>2661</v>
      </c>
      <c r="C648" t="s">
        <v>2662</v>
      </c>
      <c r="D648" t="s">
        <v>2663</v>
      </c>
      <c r="E648" t="s">
        <v>48</v>
      </c>
      <c r="F648" t="s">
        <v>30</v>
      </c>
      <c r="G648" t="s">
        <v>65</v>
      </c>
      <c r="H648" t="s">
        <v>58</v>
      </c>
      <c r="I648" t="s">
        <v>33</v>
      </c>
      <c r="J648" t="s">
        <v>126</v>
      </c>
      <c r="K648">
        <v>9</v>
      </c>
      <c r="L648">
        <v>1264.68</v>
      </c>
      <c r="M648">
        <v>0.1</v>
      </c>
    </row>
    <row r="649" spans="1:13" x14ac:dyDescent="0.25">
      <c r="A649" t="s">
        <v>2664</v>
      </c>
      <c r="B649" t="s">
        <v>2665</v>
      </c>
      <c r="C649" t="s">
        <v>2666</v>
      </c>
      <c r="D649" t="s">
        <v>2667</v>
      </c>
      <c r="E649" t="s">
        <v>116</v>
      </c>
      <c r="F649" t="s">
        <v>40</v>
      </c>
      <c r="G649" t="s">
        <v>565</v>
      </c>
      <c r="H649" t="s">
        <v>58</v>
      </c>
      <c r="I649" t="s">
        <v>66</v>
      </c>
      <c r="J649" t="s">
        <v>59</v>
      </c>
      <c r="K649">
        <v>8</v>
      </c>
      <c r="L649">
        <v>628.33000000000004</v>
      </c>
      <c r="M649">
        <v>0.2</v>
      </c>
    </row>
    <row r="650" spans="1:13" x14ac:dyDescent="0.25">
      <c r="A650" t="s">
        <v>2668</v>
      </c>
      <c r="B650" t="s">
        <v>2669</v>
      </c>
      <c r="C650" t="s">
        <v>2670</v>
      </c>
      <c r="D650" t="s">
        <v>2671</v>
      </c>
      <c r="E650" t="s">
        <v>116</v>
      </c>
      <c r="F650" t="s">
        <v>49</v>
      </c>
      <c r="G650" t="s">
        <v>286</v>
      </c>
      <c r="H650" t="s">
        <v>32</v>
      </c>
      <c r="I650" t="s">
        <v>96</v>
      </c>
      <c r="J650" t="s">
        <v>59</v>
      </c>
      <c r="K650">
        <v>7</v>
      </c>
      <c r="L650">
        <v>1182.47</v>
      </c>
      <c r="M650">
        <v>0</v>
      </c>
    </row>
    <row r="651" spans="1:13" x14ac:dyDescent="0.25">
      <c r="A651" t="s">
        <v>2672</v>
      </c>
      <c r="B651" t="s">
        <v>2673</v>
      </c>
      <c r="C651" t="s">
        <v>2674</v>
      </c>
      <c r="D651" t="s">
        <v>2675</v>
      </c>
      <c r="E651" t="s">
        <v>200</v>
      </c>
      <c r="F651" t="s">
        <v>40</v>
      </c>
      <c r="G651" t="s">
        <v>315</v>
      </c>
      <c r="H651" t="s">
        <v>72</v>
      </c>
      <c r="I651" t="s">
        <v>51</v>
      </c>
      <c r="J651" t="s">
        <v>59</v>
      </c>
      <c r="K651">
        <v>3</v>
      </c>
      <c r="L651">
        <v>521.88</v>
      </c>
      <c r="M651">
        <v>0</v>
      </c>
    </row>
    <row r="652" spans="1:13" x14ac:dyDescent="0.25">
      <c r="A652" t="s">
        <v>2676</v>
      </c>
      <c r="B652" t="s">
        <v>2677</v>
      </c>
      <c r="C652" t="s">
        <v>2678</v>
      </c>
      <c r="D652" t="s">
        <v>2679</v>
      </c>
      <c r="E652" t="s">
        <v>64</v>
      </c>
      <c r="F652" t="s">
        <v>56</v>
      </c>
      <c r="G652" t="s">
        <v>57</v>
      </c>
      <c r="H652" t="s">
        <v>42</v>
      </c>
      <c r="I652" t="s">
        <v>96</v>
      </c>
      <c r="J652" t="s">
        <v>34</v>
      </c>
      <c r="K652">
        <v>3</v>
      </c>
      <c r="L652">
        <v>188.27</v>
      </c>
      <c r="M652">
        <v>0.2</v>
      </c>
    </row>
    <row r="653" spans="1:13" x14ac:dyDescent="0.25">
      <c r="A653" t="s">
        <v>2680</v>
      </c>
      <c r="B653" t="s">
        <v>2681</v>
      </c>
      <c r="C653" t="s">
        <v>2682</v>
      </c>
      <c r="D653" t="s">
        <v>2683</v>
      </c>
      <c r="E653" t="s">
        <v>29</v>
      </c>
      <c r="F653" t="s">
        <v>40</v>
      </c>
      <c r="G653" t="s">
        <v>41</v>
      </c>
      <c r="H653" t="s">
        <v>32</v>
      </c>
      <c r="I653" t="s">
        <v>43</v>
      </c>
      <c r="J653" t="s">
        <v>73</v>
      </c>
      <c r="K653">
        <v>7</v>
      </c>
      <c r="L653">
        <v>550.67999999999995</v>
      </c>
      <c r="M653">
        <v>0.05</v>
      </c>
    </row>
    <row r="654" spans="1:13" x14ac:dyDescent="0.25">
      <c r="A654" t="s">
        <v>2684</v>
      </c>
      <c r="B654" t="s">
        <v>2685</v>
      </c>
      <c r="C654" t="s">
        <v>2686</v>
      </c>
      <c r="D654" t="s">
        <v>2687</v>
      </c>
      <c r="E654" t="s">
        <v>64</v>
      </c>
      <c r="F654" t="s">
        <v>30</v>
      </c>
      <c r="G654" t="s">
        <v>269</v>
      </c>
      <c r="H654" t="s">
        <v>72</v>
      </c>
      <c r="I654" t="s">
        <v>96</v>
      </c>
      <c r="J654" t="s">
        <v>73</v>
      </c>
      <c r="K654">
        <v>3</v>
      </c>
      <c r="L654">
        <v>325.70999999999998</v>
      </c>
      <c r="M654">
        <v>0.2</v>
      </c>
    </row>
    <row r="655" spans="1:13" x14ac:dyDescent="0.25">
      <c r="A655" t="s">
        <v>2688</v>
      </c>
      <c r="B655" t="s">
        <v>2689</v>
      </c>
      <c r="C655" t="s">
        <v>2690</v>
      </c>
      <c r="D655" t="s">
        <v>2691</v>
      </c>
      <c r="E655" t="s">
        <v>200</v>
      </c>
      <c r="F655" t="s">
        <v>49</v>
      </c>
      <c r="G655" t="s">
        <v>117</v>
      </c>
      <c r="H655" t="s">
        <v>42</v>
      </c>
      <c r="I655" t="s">
        <v>96</v>
      </c>
      <c r="J655" t="s">
        <v>34</v>
      </c>
      <c r="K655">
        <v>3</v>
      </c>
      <c r="L655">
        <v>187.94</v>
      </c>
      <c r="M655">
        <v>0.2</v>
      </c>
    </row>
    <row r="656" spans="1:13" x14ac:dyDescent="0.25">
      <c r="A656" t="s">
        <v>2692</v>
      </c>
      <c r="B656" t="s">
        <v>2693</v>
      </c>
      <c r="C656" t="s">
        <v>2694</v>
      </c>
      <c r="D656" t="s">
        <v>2695</v>
      </c>
      <c r="E656" t="s">
        <v>39</v>
      </c>
      <c r="F656" t="s">
        <v>84</v>
      </c>
      <c r="G656" t="s">
        <v>90</v>
      </c>
      <c r="H656" t="s">
        <v>58</v>
      </c>
      <c r="I656" t="s">
        <v>51</v>
      </c>
      <c r="J656" t="s">
        <v>126</v>
      </c>
      <c r="K656">
        <v>7</v>
      </c>
      <c r="L656">
        <v>1246.73</v>
      </c>
      <c r="M656">
        <v>0</v>
      </c>
    </row>
    <row r="657" spans="1:13" x14ac:dyDescent="0.25">
      <c r="A657" t="s">
        <v>2696</v>
      </c>
      <c r="B657" t="s">
        <v>2697</v>
      </c>
      <c r="C657" t="s">
        <v>2698</v>
      </c>
      <c r="D657" t="s">
        <v>2699</v>
      </c>
      <c r="E657" t="s">
        <v>200</v>
      </c>
      <c r="F657" t="s">
        <v>40</v>
      </c>
      <c r="G657" t="s">
        <v>41</v>
      </c>
      <c r="H657" t="s">
        <v>42</v>
      </c>
      <c r="I657" t="s">
        <v>96</v>
      </c>
      <c r="J657" t="s">
        <v>34</v>
      </c>
      <c r="K657">
        <v>5</v>
      </c>
      <c r="L657">
        <v>1100.6500000000001</v>
      </c>
      <c r="M657">
        <v>0</v>
      </c>
    </row>
    <row r="658" spans="1:13" x14ac:dyDescent="0.25">
      <c r="A658" t="s">
        <v>2700</v>
      </c>
      <c r="B658" t="s">
        <v>2701</v>
      </c>
      <c r="C658" t="s">
        <v>2702</v>
      </c>
      <c r="D658" t="s">
        <v>2703</v>
      </c>
      <c r="E658" t="s">
        <v>200</v>
      </c>
      <c r="F658" t="s">
        <v>30</v>
      </c>
      <c r="G658" t="s">
        <v>269</v>
      </c>
      <c r="H658" t="s">
        <v>58</v>
      </c>
      <c r="I658" t="s">
        <v>33</v>
      </c>
      <c r="J658" t="s">
        <v>126</v>
      </c>
      <c r="K658">
        <v>7</v>
      </c>
      <c r="L658">
        <v>799.54</v>
      </c>
      <c r="M658">
        <v>0.15</v>
      </c>
    </row>
    <row r="659" spans="1:13" x14ac:dyDescent="0.25">
      <c r="A659" t="s">
        <v>2704</v>
      </c>
      <c r="B659" t="s">
        <v>2705</v>
      </c>
      <c r="C659" t="s">
        <v>2706</v>
      </c>
      <c r="D659" t="s">
        <v>2707</v>
      </c>
      <c r="E659" t="s">
        <v>200</v>
      </c>
      <c r="F659" t="s">
        <v>56</v>
      </c>
      <c r="G659" t="s">
        <v>57</v>
      </c>
      <c r="H659" t="s">
        <v>42</v>
      </c>
      <c r="I659" t="s">
        <v>51</v>
      </c>
      <c r="J659" t="s">
        <v>73</v>
      </c>
      <c r="K659">
        <v>6</v>
      </c>
      <c r="L659">
        <v>939.7</v>
      </c>
      <c r="M659">
        <v>0.1</v>
      </c>
    </row>
    <row r="660" spans="1:13" x14ac:dyDescent="0.25">
      <c r="A660" t="s">
        <v>2708</v>
      </c>
      <c r="B660" t="s">
        <v>2709</v>
      </c>
      <c r="C660" t="s">
        <v>2710</v>
      </c>
      <c r="D660" t="s">
        <v>2711</v>
      </c>
      <c r="E660" t="s">
        <v>200</v>
      </c>
      <c r="F660" t="s">
        <v>30</v>
      </c>
      <c r="G660" t="s">
        <v>139</v>
      </c>
      <c r="H660" t="s">
        <v>42</v>
      </c>
      <c r="I660" t="s">
        <v>43</v>
      </c>
      <c r="J660" t="s">
        <v>59</v>
      </c>
      <c r="K660">
        <v>6</v>
      </c>
      <c r="L660">
        <v>341.26</v>
      </c>
      <c r="M660">
        <v>0.15</v>
      </c>
    </row>
    <row r="661" spans="1:13" x14ac:dyDescent="0.25">
      <c r="A661" t="s">
        <v>2712</v>
      </c>
      <c r="B661" t="s">
        <v>2713</v>
      </c>
      <c r="C661" t="s">
        <v>2714</v>
      </c>
      <c r="D661" t="s">
        <v>2715</v>
      </c>
      <c r="E661" t="s">
        <v>71</v>
      </c>
      <c r="F661" t="s">
        <v>49</v>
      </c>
      <c r="G661" t="s">
        <v>286</v>
      </c>
      <c r="H661" t="s">
        <v>32</v>
      </c>
      <c r="I661" t="s">
        <v>96</v>
      </c>
      <c r="J661" t="s">
        <v>73</v>
      </c>
      <c r="K661">
        <v>5</v>
      </c>
      <c r="L661">
        <v>938.44</v>
      </c>
      <c r="M661">
        <v>0.2</v>
      </c>
    </row>
    <row r="662" spans="1:13" x14ac:dyDescent="0.25">
      <c r="A662" t="s">
        <v>2716</v>
      </c>
      <c r="B662" t="s">
        <v>2717</v>
      </c>
      <c r="C662" t="s">
        <v>2718</v>
      </c>
      <c r="D662" t="s">
        <v>2719</v>
      </c>
      <c r="E662" t="s">
        <v>200</v>
      </c>
      <c r="F662" t="s">
        <v>56</v>
      </c>
      <c r="G662" t="s">
        <v>57</v>
      </c>
      <c r="H662" t="s">
        <v>72</v>
      </c>
      <c r="I662" t="s">
        <v>43</v>
      </c>
      <c r="J662" t="s">
        <v>126</v>
      </c>
      <c r="K662">
        <v>8</v>
      </c>
      <c r="L662">
        <v>1415.44</v>
      </c>
      <c r="M662">
        <v>0.05</v>
      </c>
    </row>
    <row r="663" spans="1:13" x14ac:dyDescent="0.25">
      <c r="A663" t="s">
        <v>2720</v>
      </c>
      <c r="B663" t="s">
        <v>2721</v>
      </c>
      <c r="C663" t="s">
        <v>2722</v>
      </c>
      <c r="D663" t="s">
        <v>2723</v>
      </c>
      <c r="E663" t="s">
        <v>48</v>
      </c>
      <c r="F663" t="s">
        <v>30</v>
      </c>
      <c r="G663" t="s">
        <v>139</v>
      </c>
      <c r="H663" t="s">
        <v>42</v>
      </c>
      <c r="I663" t="s">
        <v>51</v>
      </c>
      <c r="J663" t="s">
        <v>73</v>
      </c>
      <c r="K663">
        <v>2</v>
      </c>
      <c r="L663">
        <v>62.48</v>
      </c>
      <c r="M663">
        <v>0.05</v>
      </c>
    </row>
    <row r="664" spans="1:13" x14ac:dyDescent="0.25">
      <c r="A664" t="s">
        <v>2724</v>
      </c>
      <c r="B664" t="s">
        <v>2725</v>
      </c>
      <c r="C664" t="s">
        <v>2726</v>
      </c>
      <c r="D664" t="s">
        <v>2727</v>
      </c>
      <c r="E664" t="s">
        <v>29</v>
      </c>
      <c r="F664" t="s">
        <v>84</v>
      </c>
      <c r="G664" t="s">
        <v>412</v>
      </c>
      <c r="H664" t="s">
        <v>72</v>
      </c>
      <c r="I664" t="s">
        <v>33</v>
      </c>
      <c r="J664" t="s">
        <v>126</v>
      </c>
      <c r="K664">
        <v>9</v>
      </c>
      <c r="L664">
        <v>1157.52</v>
      </c>
      <c r="M664">
        <v>0.05</v>
      </c>
    </row>
    <row r="665" spans="1:13" x14ac:dyDescent="0.25">
      <c r="A665" t="s">
        <v>2728</v>
      </c>
      <c r="B665" t="s">
        <v>2729</v>
      </c>
      <c r="C665" t="s">
        <v>1504</v>
      </c>
      <c r="D665" t="s">
        <v>2730</v>
      </c>
      <c r="E665" t="s">
        <v>116</v>
      </c>
      <c r="F665" t="s">
        <v>56</v>
      </c>
      <c r="G665" t="s">
        <v>111</v>
      </c>
      <c r="H665" t="s">
        <v>32</v>
      </c>
      <c r="I665" t="s">
        <v>33</v>
      </c>
      <c r="J665" t="s">
        <v>126</v>
      </c>
      <c r="K665">
        <v>2</v>
      </c>
      <c r="L665">
        <v>920.34</v>
      </c>
      <c r="M665">
        <v>0.15</v>
      </c>
    </row>
    <row r="666" spans="1:13" x14ac:dyDescent="0.25">
      <c r="A666" t="s">
        <v>2731</v>
      </c>
      <c r="B666" t="s">
        <v>2732</v>
      </c>
      <c r="C666" t="s">
        <v>2733</v>
      </c>
      <c r="D666" t="s">
        <v>2734</v>
      </c>
      <c r="E666" t="s">
        <v>39</v>
      </c>
      <c r="F666" t="s">
        <v>84</v>
      </c>
      <c r="G666" t="s">
        <v>85</v>
      </c>
      <c r="H666" t="s">
        <v>42</v>
      </c>
      <c r="I666" t="s">
        <v>51</v>
      </c>
      <c r="J666" t="s">
        <v>73</v>
      </c>
      <c r="K666">
        <v>8</v>
      </c>
      <c r="L666">
        <v>1096.5999999999999</v>
      </c>
      <c r="M666">
        <v>0.15</v>
      </c>
    </row>
    <row r="667" spans="1:13" x14ac:dyDescent="0.25">
      <c r="A667" t="s">
        <v>2735</v>
      </c>
      <c r="B667" t="s">
        <v>2736</v>
      </c>
      <c r="C667" t="s">
        <v>2737</v>
      </c>
      <c r="D667" t="s">
        <v>2738</v>
      </c>
      <c r="E667" t="s">
        <v>48</v>
      </c>
      <c r="F667" t="s">
        <v>56</v>
      </c>
      <c r="G667" t="s">
        <v>95</v>
      </c>
      <c r="H667" t="s">
        <v>72</v>
      </c>
      <c r="I667" t="s">
        <v>96</v>
      </c>
      <c r="J667" t="s">
        <v>59</v>
      </c>
      <c r="K667">
        <v>7</v>
      </c>
      <c r="L667">
        <v>667.08</v>
      </c>
      <c r="M667">
        <v>0</v>
      </c>
    </row>
    <row r="668" spans="1:13" x14ac:dyDescent="0.25">
      <c r="A668" t="s">
        <v>2739</v>
      </c>
      <c r="B668" t="s">
        <v>2740</v>
      </c>
      <c r="C668" t="s">
        <v>2741</v>
      </c>
      <c r="D668" t="s">
        <v>2742</v>
      </c>
      <c r="E668" t="s">
        <v>29</v>
      </c>
      <c r="F668" t="s">
        <v>84</v>
      </c>
      <c r="G668" t="s">
        <v>264</v>
      </c>
      <c r="H668" t="s">
        <v>42</v>
      </c>
      <c r="I668" t="s">
        <v>43</v>
      </c>
      <c r="J668" t="s">
        <v>73</v>
      </c>
      <c r="K668">
        <v>4</v>
      </c>
      <c r="L668">
        <v>550.55999999999995</v>
      </c>
      <c r="M668">
        <v>0</v>
      </c>
    </row>
    <row r="669" spans="1:13" x14ac:dyDescent="0.25">
      <c r="A669" t="s">
        <v>2743</v>
      </c>
      <c r="B669" t="s">
        <v>2744</v>
      </c>
      <c r="C669" t="s">
        <v>2745</v>
      </c>
      <c r="D669" t="s">
        <v>2746</v>
      </c>
      <c r="E669" t="s">
        <v>200</v>
      </c>
      <c r="F669" t="s">
        <v>40</v>
      </c>
      <c r="G669" t="s">
        <v>315</v>
      </c>
      <c r="H669" t="s">
        <v>32</v>
      </c>
      <c r="I669" t="s">
        <v>33</v>
      </c>
      <c r="J669" t="s">
        <v>126</v>
      </c>
      <c r="K669">
        <v>8</v>
      </c>
      <c r="L669">
        <v>1416.45</v>
      </c>
      <c r="M669">
        <v>0</v>
      </c>
    </row>
    <row r="670" spans="1:13" x14ac:dyDescent="0.25">
      <c r="A670" t="s">
        <v>2747</v>
      </c>
      <c r="B670" t="s">
        <v>2748</v>
      </c>
      <c r="C670" t="s">
        <v>2749</v>
      </c>
      <c r="D670" t="s">
        <v>2750</v>
      </c>
      <c r="E670" t="s">
        <v>48</v>
      </c>
      <c r="F670" t="s">
        <v>49</v>
      </c>
      <c r="G670" t="s">
        <v>117</v>
      </c>
      <c r="H670" t="s">
        <v>72</v>
      </c>
      <c r="I670" t="s">
        <v>33</v>
      </c>
      <c r="J670" t="s">
        <v>126</v>
      </c>
      <c r="K670">
        <v>1</v>
      </c>
      <c r="L670">
        <v>599</v>
      </c>
      <c r="M670">
        <v>0.2</v>
      </c>
    </row>
    <row r="671" spans="1:13" x14ac:dyDescent="0.25">
      <c r="A671" t="s">
        <v>2751</v>
      </c>
      <c r="B671" t="s">
        <v>2752</v>
      </c>
      <c r="C671" t="s">
        <v>2753</v>
      </c>
      <c r="D671" t="s">
        <v>2754</v>
      </c>
      <c r="E671" t="s">
        <v>149</v>
      </c>
      <c r="F671" t="s">
        <v>49</v>
      </c>
      <c r="G671" t="s">
        <v>259</v>
      </c>
      <c r="H671" t="s">
        <v>32</v>
      </c>
      <c r="I671" t="s">
        <v>66</v>
      </c>
      <c r="J671" t="s">
        <v>73</v>
      </c>
      <c r="K671">
        <v>6</v>
      </c>
      <c r="L671">
        <v>1312.22</v>
      </c>
      <c r="M671">
        <v>0.05</v>
      </c>
    </row>
    <row r="672" spans="1:13" x14ac:dyDescent="0.25">
      <c r="A672" t="s">
        <v>2755</v>
      </c>
      <c r="B672" t="s">
        <v>2756</v>
      </c>
      <c r="C672" t="s">
        <v>572</v>
      </c>
      <c r="D672" t="s">
        <v>2757</v>
      </c>
      <c r="E672" t="s">
        <v>78</v>
      </c>
      <c r="F672" t="s">
        <v>40</v>
      </c>
      <c r="G672" t="s">
        <v>41</v>
      </c>
      <c r="H672" t="s">
        <v>42</v>
      </c>
      <c r="I672" t="s">
        <v>43</v>
      </c>
      <c r="J672" t="s">
        <v>59</v>
      </c>
      <c r="K672">
        <v>6</v>
      </c>
      <c r="L672">
        <v>983.28</v>
      </c>
      <c r="M672">
        <v>0.2</v>
      </c>
    </row>
    <row r="673" spans="1:13" x14ac:dyDescent="0.25">
      <c r="A673" t="s">
        <v>2758</v>
      </c>
      <c r="B673" t="s">
        <v>2759</v>
      </c>
      <c r="C673" t="s">
        <v>2760</v>
      </c>
      <c r="D673" t="s">
        <v>2761</v>
      </c>
      <c r="E673" t="s">
        <v>149</v>
      </c>
      <c r="F673" t="s">
        <v>30</v>
      </c>
      <c r="G673" t="s">
        <v>139</v>
      </c>
      <c r="H673" t="s">
        <v>32</v>
      </c>
      <c r="I673" t="s">
        <v>33</v>
      </c>
      <c r="J673" t="s">
        <v>59</v>
      </c>
      <c r="K673">
        <v>5</v>
      </c>
      <c r="L673">
        <v>1488.01</v>
      </c>
      <c r="M673">
        <v>0</v>
      </c>
    </row>
    <row r="674" spans="1:13" x14ac:dyDescent="0.25">
      <c r="A674" t="s">
        <v>2762</v>
      </c>
      <c r="B674" t="s">
        <v>2763</v>
      </c>
      <c r="C674" t="s">
        <v>2764</v>
      </c>
      <c r="D674" t="s">
        <v>2765</v>
      </c>
      <c r="E674" t="s">
        <v>64</v>
      </c>
      <c r="F674" t="s">
        <v>56</v>
      </c>
      <c r="G674" t="s">
        <v>111</v>
      </c>
      <c r="H674" t="s">
        <v>42</v>
      </c>
      <c r="I674" t="s">
        <v>33</v>
      </c>
      <c r="J674" t="s">
        <v>126</v>
      </c>
      <c r="K674">
        <v>4</v>
      </c>
      <c r="L674">
        <v>894.87</v>
      </c>
      <c r="M674">
        <v>0.05</v>
      </c>
    </row>
    <row r="675" spans="1:13" x14ac:dyDescent="0.25">
      <c r="A675" t="s">
        <v>2766</v>
      </c>
      <c r="B675" t="s">
        <v>2767</v>
      </c>
      <c r="C675" t="s">
        <v>2188</v>
      </c>
      <c r="D675" t="s">
        <v>2768</v>
      </c>
      <c r="E675" t="s">
        <v>78</v>
      </c>
      <c r="F675" t="s">
        <v>84</v>
      </c>
      <c r="G675" t="s">
        <v>205</v>
      </c>
      <c r="H675" t="s">
        <v>58</v>
      </c>
      <c r="I675" t="s">
        <v>33</v>
      </c>
      <c r="J675" t="s">
        <v>126</v>
      </c>
      <c r="K675">
        <v>2</v>
      </c>
      <c r="L675">
        <v>85.88</v>
      </c>
      <c r="M675">
        <v>0.1</v>
      </c>
    </row>
    <row r="676" spans="1:13" x14ac:dyDescent="0.25">
      <c r="A676" t="s">
        <v>2769</v>
      </c>
      <c r="B676" t="s">
        <v>2770</v>
      </c>
      <c r="C676" t="s">
        <v>2771</v>
      </c>
      <c r="D676" t="s">
        <v>2772</v>
      </c>
      <c r="E676" t="s">
        <v>83</v>
      </c>
      <c r="F676" t="s">
        <v>40</v>
      </c>
      <c r="G676" t="s">
        <v>41</v>
      </c>
      <c r="H676" t="s">
        <v>58</v>
      </c>
      <c r="I676" t="s">
        <v>66</v>
      </c>
      <c r="J676" t="s">
        <v>73</v>
      </c>
      <c r="K676">
        <v>4</v>
      </c>
      <c r="L676">
        <v>1269.08</v>
      </c>
      <c r="M676">
        <v>0.05</v>
      </c>
    </row>
    <row r="677" spans="1:13" x14ac:dyDescent="0.25">
      <c r="A677" t="s">
        <v>2773</v>
      </c>
      <c r="B677" t="s">
        <v>2774</v>
      </c>
      <c r="C677" t="s">
        <v>2775</v>
      </c>
      <c r="D677" t="s">
        <v>2776</v>
      </c>
      <c r="E677" t="s">
        <v>116</v>
      </c>
      <c r="F677" t="s">
        <v>84</v>
      </c>
      <c r="G677" t="s">
        <v>90</v>
      </c>
      <c r="H677" t="s">
        <v>32</v>
      </c>
      <c r="I677" t="s">
        <v>43</v>
      </c>
      <c r="J677" t="s">
        <v>34</v>
      </c>
      <c r="K677">
        <v>6</v>
      </c>
      <c r="L677">
        <v>879.82</v>
      </c>
      <c r="M677">
        <v>0.1</v>
      </c>
    </row>
    <row r="678" spans="1:13" x14ac:dyDescent="0.25">
      <c r="A678" t="s">
        <v>2777</v>
      </c>
      <c r="B678" t="s">
        <v>2778</v>
      </c>
      <c r="C678" t="s">
        <v>2779</v>
      </c>
      <c r="D678" t="s">
        <v>2780</v>
      </c>
      <c r="E678" t="s">
        <v>149</v>
      </c>
      <c r="F678" t="s">
        <v>30</v>
      </c>
      <c r="G678" t="s">
        <v>195</v>
      </c>
      <c r="H678" t="s">
        <v>42</v>
      </c>
      <c r="I678" t="s">
        <v>33</v>
      </c>
      <c r="J678" t="s">
        <v>34</v>
      </c>
      <c r="K678">
        <v>2</v>
      </c>
      <c r="L678">
        <v>333.95</v>
      </c>
      <c r="M678">
        <v>0.05</v>
      </c>
    </row>
    <row r="679" spans="1:13" x14ac:dyDescent="0.25">
      <c r="A679" t="s">
        <v>2781</v>
      </c>
      <c r="B679" t="s">
        <v>2782</v>
      </c>
      <c r="C679" t="s">
        <v>2783</v>
      </c>
      <c r="D679" t="s">
        <v>2784</v>
      </c>
      <c r="E679" t="s">
        <v>149</v>
      </c>
      <c r="F679" t="s">
        <v>49</v>
      </c>
      <c r="G679" t="s">
        <v>226</v>
      </c>
      <c r="H679" t="s">
        <v>72</v>
      </c>
      <c r="I679" t="s">
        <v>33</v>
      </c>
      <c r="J679" t="s">
        <v>73</v>
      </c>
      <c r="K679">
        <v>7</v>
      </c>
      <c r="L679">
        <v>1101.5999999999999</v>
      </c>
      <c r="M679">
        <v>0</v>
      </c>
    </row>
    <row r="680" spans="1:13" x14ac:dyDescent="0.25">
      <c r="A680" t="s">
        <v>2785</v>
      </c>
      <c r="B680" t="s">
        <v>2786</v>
      </c>
      <c r="C680" t="s">
        <v>2787</v>
      </c>
      <c r="D680" t="s">
        <v>2788</v>
      </c>
      <c r="E680" t="s">
        <v>78</v>
      </c>
      <c r="F680" t="s">
        <v>40</v>
      </c>
      <c r="G680" t="s">
        <v>144</v>
      </c>
      <c r="H680" t="s">
        <v>32</v>
      </c>
      <c r="I680" t="s">
        <v>43</v>
      </c>
      <c r="J680" t="s">
        <v>59</v>
      </c>
      <c r="K680">
        <v>8</v>
      </c>
      <c r="L680">
        <v>1046.29</v>
      </c>
      <c r="M680">
        <v>0.1</v>
      </c>
    </row>
    <row r="681" spans="1:13" x14ac:dyDescent="0.25">
      <c r="A681" t="s">
        <v>2789</v>
      </c>
      <c r="B681" t="s">
        <v>2790</v>
      </c>
      <c r="C681" t="s">
        <v>2791</v>
      </c>
      <c r="D681" t="s">
        <v>2792</v>
      </c>
      <c r="E681" t="s">
        <v>116</v>
      </c>
      <c r="F681" t="s">
        <v>84</v>
      </c>
      <c r="G681" t="s">
        <v>90</v>
      </c>
      <c r="H681" t="s">
        <v>32</v>
      </c>
      <c r="I681" t="s">
        <v>66</v>
      </c>
      <c r="J681" t="s">
        <v>59</v>
      </c>
      <c r="K681">
        <v>9</v>
      </c>
      <c r="L681">
        <v>445.04</v>
      </c>
      <c r="M681">
        <v>0</v>
      </c>
    </row>
    <row r="682" spans="1:13" x14ac:dyDescent="0.25">
      <c r="A682" t="s">
        <v>2793</v>
      </c>
      <c r="B682" t="s">
        <v>2794</v>
      </c>
      <c r="C682" t="s">
        <v>2795</v>
      </c>
      <c r="D682" t="s">
        <v>2796</v>
      </c>
      <c r="E682" t="s">
        <v>64</v>
      </c>
      <c r="F682" t="s">
        <v>30</v>
      </c>
      <c r="G682" t="s">
        <v>31</v>
      </c>
      <c r="H682" t="s">
        <v>58</v>
      </c>
      <c r="I682" t="s">
        <v>66</v>
      </c>
      <c r="J682" t="s">
        <v>73</v>
      </c>
      <c r="K682">
        <v>7</v>
      </c>
      <c r="L682">
        <v>1178.93</v>
      </c>
      <c r="M682">
        <v>0</v>
      </c>
    </row>
    <row r="683" spans="1:13" x14ac:dyDescent="0.25">
      <c r="A683" t="s">
        <v>2797</v>
      </c>
      <c r="B683" t="s">
        <v>2798</v>
      </c>
      <c r="C683" t="s">
        <v>2799</v>
      </c>
      <c r="D683" t="s">
        <v>2800</v>
      </c>
      <c r="E683" t="s">
        <v>78</v>
      </c>
      <c r="F683" t="s">
        <v>84</v>
      </c>
      <c r="G683" t="s">
        <v>205</v>
      </c>
      <c r="H683" t="s">
        <v>58</v>
      </c>
      <c r="I683" t="s">
        <v>33</v>
      </c>
      <c r="J683" t="s">
        <v>34</v>
      </c>
      <c r="K683">
        <v>7</v>
      </c>
      <c r="L683">
        <v>1307.58</v>
      </c>
      <c r="M683">
        <v>0.1</v>
      </c>
    </row>
    <row r="684" spans="1:13" x14ac:dyDescent="0.25">
      <c r="A684" t="s">
        <v>2801</v>
      </c>
      <c r="B684" t="s">
        <v>2802</v>
      </c>
      <c r="C684" t="s">
        <v>2803</v>
      </c>
      <c r="D684" t="s">
        <v>2804</v>
      </c>
      <c r="E684" t="s">
        <v>83</v>
      </c>
      <c r="F684" t="s">
        <v>30</v>
      </c>
      <c r="G684" t="s">
        <v>31</v>
      </c>
      <c r="H684" t="s">
        <v>42</v>
      </c>
      <c r="I684" t="s">
        <v>43</v>
      </c>
      <c r="J684" t="s">
        <v>59</v>
      </c>
      <c r="K684">
        <v>8</v>
      </c>
      <c r="L684">
        <v>764.57</v>
      </c>
      <c r="M684">
        <v>0.1</v>
      </c>
    </row>
    <row r="685" spans="1:13" x14ac:dyDescent="0.25">
      <c r="A685" t="s">
        <v>2805</v>
      </c>
      <c r="B685" t="s">
        <v>2806</v>
      </c>
      <c r="C685" t="s">
        <v>2807</v>
      </c>
      <c r="D685" t="s">
        <v>2808</v>
      </c>
      <c r="E685" t="s">
        <v>149</v>
      </c>
      <c r="F685" t="s">
        <v>49</v>
      </c>
      <c r="G685" t="s">
        <v>286</v>
      </c>
      <c r="H685" t="s">
        <v>32</v>
      </c>
      <c r="I685" t="s">
        <v>96</v>
      </c>
      <c r="J685" t="s">
        <v>59</v>
      </c>
      <c r="K685">
        <v>6</v>
      </c>
      <c r="L685">
        <v>1351.86</v>
      </c>
      <c r="M685">
        <v>0.15</v>
      </c>
    </row>
    <row r="686" spans="1:13" x14ac:dyDescent="0.25">
      <c r="A686" t="s">
        <v>2809</v>
      </c>
      <c r="B686" t="s">
        <v>2810</v>
      </c>
      <c r="C686" t="s">
        <v>2811</v>
      </c>
      <c r="D686" t="s">
        <v>2812</v>
      </c>
      <c r="E686" t="s">
        <v>64</v>
      </c>
      <c r="F686" t="s">
        <v>40</v>
      </c>
      <c r="G686" t="s">
        <v>315</v>
      </c>
      <c r="H686" t="s">
        <v>32</v>
      </c>
      <c r="I686" t="s">
        <v>43</v>
      </c>
      <c r="J686" t="s">
        <v>126</v>
      </c>
      <c r="K686">
        <v>2</v>
      </c>
      <c r="L686">
        <v>848.15</v>
      </c>
      <c r="M686">
        <v>0.2</v>
      </c>
    </row>
    <row r="687" spans="1:13" x14ac:dyDescent="0.25">
      <c r="A687" t="s">
        <v>2813</v>
      </c>
      <c r="B687" t="s">
        <v>2814</v>
      </c>
      <c r="C687" t="s">
        <v>2815</v>
      </c>
      <c r="D687" t="s">
        <v>2816</v>
      </c>
      <c r="E687" t="s">
        <v>200</v>
      </c>
      <c r="F687" t="s">
        <v>40</v>
      </c>
      <c r="G687" t="s">
        <v>144</v>
      </c>
      <c r="H687" t="s">
        <v>32</v>
      </c>
      <c r="I687" t="s">
        <v>66</v>
      </c>
      <c r="J687" t="s">
        <v>73</v>
      </c>
      <c r="K687">
        <v>9</v>
      </c>
      <c r="L687">
        <v>193.62</v>
      </c>
      <c r="M687">
        <v>0</v>
      </c>
    </row>
    <row r="688" spans="1:13" x14ac:dyDescent="0.25">
      <c r="A688" t="s">
        <v>2817</v>
      </c>
      <c r="B688" t="s">
        <v>2818</v>
      </c>
      <c r="C688" t="s">
        <v>2819</v>
      </c>
      <c r="D688" t="s">
        <v>2820</v>
      </c>
      <c r="E688" t="s">
        <v>116</v>
      </c>
      <c r="F688" t="s">
        <v>40</v>
      </c>
      <c r="G688" t="s">
        <v>41</v>
      </c>
      <c r="H688" t="s">
        <v>42</v>
      </c>
      <c r="I688" t="s">
        <v>51</v>
      </c>
      <c r="J688" t="s">
        <v>59</v>
      </c>
      <c r="K688">
        <v>10</v>
      </c>
      <c r="L688">
        <v>490.84</v>
      </c>
      <c r="M688">
        <v>0</v>
      </c>
    </row>
    <row r="689" spans="1:13" x14ac:dyDescent="0.25">
      <c r="A689" t="s">
        <v>2821</v>
      </c>
      <c r="B689" t="s">
        <v>2822</v>
      </c>
      <c r="C689" t="s">
        <v>2823</v>
      </c>
      <c r="D689" t="s">
        <v>2824</v>
      </c>
      <c r="E689" t="s">
        <v>78</v>
      </c>
      <c r="F689" t="s">
        <v>84</v>
      </c>
      <c r="G689" t="s">
        <v>264</v>
      </c>
      <c r="H689" t="s">
        <v>72</v>
      </c>
      <c r="I689" t="s">
        <v>66</v>
      </c>
      <c r="J689" t="s">
        <v>73</v>
      </c>
      <c r="K689">
        <v>2</v>
      </c>
      <c r="L689">
        <v>396.91</v>
      </c>
      <c r="M689">
        <v>0</v>
      </c>
    </row>
    <row r="690" spans="1:13" x14ac:dyDescent="0.25">
      <c r="A690" t="s">
        <v>2825</v>
      </c>
      <c r="B690" t="s">
        <v>2826</v>
      </c>
      <c r="C690" t="s">
        <v>2827</v>
      </c>
      <c r="D690" t="s">
        <v>2828</v>
      </c>
      <c r="E690" t="s">
        <v>29</v>
      </c>
      <c r="F690" t="s">
        <v>49</v>
      </c>
      <c r="G690" t="s">
        <v>286</v>
      </c>
      <c r="H690" t="s">
        <v>32</v>
      </c>
      <c r="I690" t="s">
        <v>51</v>
      </c>
      <c r="J690" t="s">
        <v>59</v>
      </c>
      <c r="K690">
        <v>6</v>
      </c>
      <c r="L690">
        <v>102.49</v>
      </c>
      <c r="M690">
        <v>0</v>
      </c>
    </row>
    <row r="691" spans="1:13" x14ac:dyDescent="0.25">
      <c r="A691" t="s">
        <v>2829</v>
      </c>
      <c r="B691" t="s">
        <v>2830</v>
      </c>
      <c r="C691" t="s">
        <v>2831</v>
      </c>
      <c r="D691" t="s">
        <v>2832</v>
      </c>
      <c r="E691" t="s">
        <v>149</v>
      </c>
      <c r="F691" t="s">
        <v>84</v>
      </c>
      <c r="G691" t="s">
        <v>412</v>
      </c>
      <c r="H691" t="s">
        <v>72</v>
      </c>
      <c r="I691" t="s">
        <v>43</v>
      </c>
      <c r="J691" t="s">
        <v>73</v>
      </c>
      <c r="K691">
        <v>2</v>
      </c>
      <c r="L691">
        <v>572.64</v>
      </c>
      <c r="M691">
        <v>0</v>
      </c>
    </row>
    <row r="692" spans="1:13" x14ac:dyDescent="0.25">
      <c r="A692" t="s">
        <v>2833</v>
      </c>
      <c r="B692" t="s">
        <v>2834</v>
      </c>
      <c r="C692" t="s">
        <v>2835</v>
      </c>
      <c r="D692" t="s">
        <v>2836</v>
      </c>
      <c r="E692" t="s">
        <v>116</v>
      </c>
      <c r="F692" t="s">
        <v>84</v>
      </c>
      <c r="G692" t="s">
        <v>205</v>
      </c>
      <c r="H692" t="s">
        <v>32</v>
      </c>
      <c r="I692" t="s">
        <v>96</v>
      </c>
      <c r="J692" t="s">
        <v>126</v>
      </c>
      <c r="K692">
        <v>9</v>
      </c>
      <c r="L692">
        <v>487.73</v>
      </c>
      <c r="M692">
        <v>0.1</v>
      </c>
    </row>
    <row r="693" spans="1:13" x14ac:dyDescent="0.25">
      <c r="A693" t="s">
        <v>2837</v>
      </c>
      <c r="B693" t="s">
        <v>2838</v>
      </c>
      <c r="C693" t="s">
        <v>2839</v>
      </c>
      <c r="D693" t="s">
        <v>2840</v>
      </c>
      <c r="E693" t="s">
        <v>64</v>
      </c>
      <c r="F693" t="s">
        <v>84</v>
      </c>
      <c r="G693" t="s">
        <v>90</v>
      </c>
      <c r="H693" t="s">
        <v>72</v>
      </c>
      <c r="I693" t="s">
        <v>66</v>
      </c>
      <c r="J693" t="s">
        <v>34</v>
      </c>
      <c r="K693">
        <v>2</v>
      </c>
      <c r="L693">
        <v>1445.76</v>
      </c>
      <c r="M693">
        <v>0</v>
      </c>
    </row>
    <row r="694" spans="1:13" x14ac:dyDescent="0.25">
      <c r="A694" t="s">
        <v>2841</v>
      </c>
      <c r="B694" t="s">
        <v>2842</v>
      </c>
      <c r="C694" t="s">
        <v>2843</v>
      </c>
      <c r="D694" t="s">
        <v>2844</v>
      </c>
      <c r="E694" t="s">
        <v>39</v>
      </c>
      <c r="F694" t="s">
        <v>30</v>
      </c>
      <c r="G694" t="s">
        <v>65</v>
      </c>
      <c r="H694" t="s">
        <v>42</v>
      </c>
      <c r="I694" t="s">
        <v>33</v>
      </c>
      <c r="J694" t="s">
        <v>34</v>
      </c>
      <c r="K694">
        <v>3</v>
      </c>
      <c r="L694">
        <v>817.55</v>
      </c>
      <c r="M694">
        <v>0</v>
      </c>
    </row>
    <row r="695" spans="1:13" x14ac:dyDescent="0.25">
      <c r="A695" t="s">
        <v>2845</v>
      </c>
      <c r="B695" t="s">
        <v>2846</v>
      </c>
      <c r="C695" t="s">
        <v>2847</v>
      </c>
      <c r="D695" t="s">
        <v>2848</v>
      </c>
      <c r="E695" t="s">
        <v>83</v>
      </c>
      <c r="F695" t="s">
        <v>84</v>
      </c>
      <c r="G695" t="s">
        <v>85</v>
      </c>
      <c r="H695" t="s">
        <v>58</v>
      </c>
      <c r="I695" t="s">
        <v>96</v>
      </c>
      <c r="J695" t="s">
        <v>59</v>
      </c>
      <c r="K695">
        <v>8</v>
      </c>
      <c r="L695">
        <v>15.81</v>
      </c>
      <c r="M695">
        <v>0.05</v>
      </c>
    </row>
    <row r="696" spans="1:13" x14ac:dyDescent="0.25">
      <c r="A696" t="s">
        <v>2849</v>
      </c>
      <c r="B696" t="s">
        <v>2850</v>
      </c>
      <c r="C696" t="s">
        <v>2851</v>
      </c>
      <c r="D696" t="s">
        <v>2852</v>
      </c>
      <c r="E696" t="s">
        <v>78</v>
      </c>
      <c r="F696" t="s">
        <v>84</v>
      </c>
      <c r="G696" t="s">
        <v>205</v>
      </c>
      <c r="H696" t="s">
        <v>32</v>
      </c>
      <c r="I696" t="s">
        <v>66</v>
      </c>
      <c r="J696" t="s">
        <v>126</v>
      </c>
      <c r="K696">
        <v>9</v>
      </c>
      <c r="L696">
        <v>254.7</v>
      </c>
      <c r="M696">
        <v>0.15</v>
      </c>
    </row>
    <row r="697" spans="1:13" x14ac:dyDescent="0.25">
      <c r="A697" t="s">
        <v>2853</v>
      </c>
      <c r="B697" t="s">
        <v>2854</v>
      </c>
      <c r="C697" t="s">
        <v>2855</v>
      </c>
      <c r="D697" t="s">
        <v>2856</v>
      </c>
      <c r="E697" t="s">
        <v>48</v>
      </c>
      <c r="F697" t="s">
        <v>40</v>
      </c>
      <c r="G697" t="s">
        <v>315</v>
      </c>
      <c r="H697" t="s">
        <v>58</v>
      </c>
      <c r="I697" t="s">
        <v>66</v>
      </c>
      <c r="J697" t="s">
        <v>59</v>
      </c>
      <c r="K697">
        <v>4</v>
      </c>
      <c r="L697">
        <v>1319.24</v>
      </c>
      <c r="M697">
        <v>0.15</v>
      </c>
    </row>
    <row r="698" spans="1:13" x14ac:dyDescent="0.25">
      <c r="A698" t="s">
        <v>2857</v>
      </c>
      <c r="B698" t="s">
        <v>2858</v>
      </c>
      <c r="C698" t="s">
        <v>2859</v>
      </c>
      <c r="D698" t="s">
        <v>2860</v>
      </c>
      <c r="E698" t="s">
        <v>71</v>
      </c>
      <c r="F698" t="s">
        <v>84</v>
      </c>
      <c r="G698" t="s">
        <v>85</v>
      </c>
      <c r="H698" t="s">
        <v>32</v>
      </c>
      <c r="I698" t="s">
        <v>43</v>
      </c>
      <c r="J698" t="s">
        <v>126</v>
      </c>
      <c r="K698">
        <v>10</v>
      </c>
      <c r="L698">
        <v>697.8</v>
      </c>
      <c r="M698">
        <v>0.05</v>
      </c>
    </row>
    <row r="699" spans="1:13" x14ac:dyDescent="0.25">
      <c r="A699" t="s">
        <v>2861</v>
      </c>
      <c r="B699" t="s">
        <v>2862</v>
      </c>
      <c r="C699" t="s">
        <v>2863</v>
      </c>
      <c r="D699" t="s">
        <v>2864</v>
      </c>
      <c r="E699" t="s">
        <v>64</v>
      </c>
      <c r="F699" t="s">
        <v>30</v>
      </c>
      <c r="G699" t="s">
        <v>195</v>
      </c>
      <c r="H699" t="s">
        <v>32</v>
      </c>
      <c r="I699" t="s">
        <v>51</v>
      </c>
      <c r="J699" t="s">
        <v>126</v>
      </c>
      <c r="K699">
        <v>8</v>
      </c>
      <c r="L699">
        <v>840.35</v>
      </c>
      <c r="M699">
        <v>0.1</v>
      </c>
    </row>
    <row r="700" spans="1:13" x14ac:dyDescent="0.25">
      <c r="A700" t="s">
        <v>2865</v>
      </c>
      <c r="B700" t="s">
        <v>2866</v>
      </c>
      <c r="C700" t="s">
        <v>2867</v>
      </c>
      <c r="D700" t="s">
        <v>2868</v>
      </c>
      <c r="E700" t="s">
        <v>71</v>
      </c>
      <c r="F700" t="s">
        <v>49</v>
      </c>
      <c r="G700" t="s">
        <v>259</v>
      </c>
      <c r="H700" t="s">
        <v>32</v>
      </c>
      <c r="I700" t="s">
        <v>51</v>
      </c>
      <c r="J700" t="s">
        <v>34</v>
      </c>
      <c r="K700">
        <v>3</v>
      </c>
      <c r="L700">
        <v>546.58000000000004</v>
      </c>
      <c r="M700">
        <v>0.2</v>
      </c>
    </row>
    <row r="701" spans="1:13" x14ac:dyDescent="0.25">
      <c r="A701" t="s">
        <v>2869</v>
      </c>
      <c r="B701" t="s">
        <v>2870</v>
      </c>
      <c r="C701" t="s">
        <v>2871</v>
      </c>
      <c r="D701" t="s">
        <v>2872</v>
      </c>
      <c r="E701" t="s">
        <v>39</v>
      </c>
      <c r="F701" t="s">
        <v>56</v>
      </c>
      <c r="G701" t="s">
        <v>190</v>
      </c>
      <c r="H701" t="s">
        <v>32</v>
      </c>
      <c r="I701" t="s">
        <v>33</v>
      </c>
      <c r="J701" t="s">
        <v>59</v>
      </c>
      <c r="K701">
        <v>6</v>
      </c>
      <c r="L701">
        <v>1025.6199999999999</v>
      </c>
      <c r="M701">
        <v>0</v>
      </c>
    </row>
    <row r="702" spans="1:13" x14ac:dyDescent="0.25">
      <c r="A702" t="s">
        <v>2873</v>
      </c>
      <c r="B702" t="s">
        <v>2874</v>
      </c>
      <c r="C702" t="s">
        <v>2875</v>
      </c>
      <c r="D702" t="s">
        <v>2876</v>
      </c>
      <c r="E702" t="s">
        <v>64</v>
      </c>
      <c r="F702" t="s">
        <v>84</v>
      </c>
      <c r="G702" t="s">
        <v>264</v>
      </c>
      <c r="H702" t="s">
        <v>32</v>
      </c>
      <c r="I702" t="s">
        <v>43</v>
      </c>
      <c r="J702" t="s">
        <v>34</v>
      </c>
      <c r="K702">
        <v>10</v>
      </c>
      <c r="L702">
        <v>1358.19</v>
      </c>
      <c r="M702">
        <v>0</v>
      </c>
    </row>
    <row r="703" spans="1:13" x14ac:dyDescent="0.25">
      <c r="A703" t="s">
        <v>2877</v>
      </c>
      <c r="B703" t="s">
        <v>2878</v>
      </c>
      <c r="C703" t="s">
        <v>2879</v>
      </c>
      <c r="D703" t="s">
        <v>2880</v>
      </c>
      <c r="E703" t="s">
        <v>200</v>
      </c>
      <c r="F703" t="s">
        <v>30</v>
      </c>
      <c r="G703" t="s">
        <v>139</v>
      </c>
      <c r="H703" t="s">
        <v>72</v>
      </c>
      <c r="I703" t="s">
        <v>51</v>
      </c>
      <c r="J703" t="s">
        <v>73</v>
      </c>
      <c r="K703">
        <v>10</v>
      </c>
      <c r="L703">
        <v>302.75</v>
      </c>
      <c r="M703">
        <v>0.2</v>
      </c>
    </row>
    <row r="704" spans="1:13" x14ac:dyDescent="0.25">
      <c r="A704" t="s">
        <v>2881</v>
      </c>
      <c r="B704" t="s">
        <v>2882</v>
      </c>
      <c r="C704" t="s">
        <v>2883</v>
      </c>
      <c r="D704" t="s">
        <v>2884</v>
      </c>
      <c r="E704" t="s">
        <v>83</v>
      </c>
      <c r="F704" t="s">
        <v>30</v>
      </c>
      <c r="G704" t="s">
        <v>139</v>
      </c>
      <c r="H704" t="s">
        <v>32</v>
      </c>
      <c r="I704" t="s">
        <v>33</v>
      </c>
      <c r="J704" t="s">
        <v>59</v>
      </c>
      <c r="K704">
        <v>5</v>
      </c>
      <c r="L704">
        <v>1097.4100000000001</v>
      </c>
      <c r="M704">
        <v>0</v>
      </c>
    </row>
    <row r="705" spans="1:13" x14ac:dyDescent="0.25">
      <c r="A705" t="s">
        <v>2885</v>
      </c>
      <c r="B705" t="s">
        <v>2886</v>
      </c>
      <c r="C705" t="s">
        <v>2887</v>
      </c>
      <c r="D705" t="s">
        <v>2888</v>
      </c>
      <c r="E705" t="s">
        <v>149</v>
      </c>
      <c r="F705" t="s">
        <v>56</v>
      </c>
      <c r="G705" t="s">
        <v>190</v>
      </c>
      <c r="H705" t="s">
        <v>32</v>
      </c>
      <c r="I705" t="s">
        <v>33</v>
      </c>
      <c r="J705" t="s">
        <v>34</v>
      </c>
      <c r="K705">
        <v>7</v>
      </c>
      <c r="L705">
        <v>657.33</v>
      </c>
      <c r="M705">
        <v>0.05</v>
      </c>
    </row>
    <row r="706" spans="1:13" x14ac:dyDescent="0.25">
      <c r="A706" t="s">
        <v>2889</v>
      </c>
      <c r="B706" t="s">
        <v>2890</v>
      </c>
      <c r="C706" t="s">
        <v>2891</v>
      </c>
      <c r="D706" t="s">
        <v>2892</v>
      </c>
      <c r="E706" t="s">
        <v>64</v>
      </c>
      <c r="F706" t="s">
        <v>30</v>
      </c>
      <c r="G706" t="s">
        <v>269</v>
      </c>
      <c r="H706" t="s">
        <v>42</v>
      </c>
      <c r="I706" t="s">
        <v>66</v>
      </c>
      <c r="J706" t="s">
        <v>126</v>
      </c>
      <c r="K706">
        <v>7</v>
      </c>
      <c r="L706">
        <v>427.73</v>
      </c>
      <c r="M706">
        <v>0.15</v>
      </c>
    </row>
    <row r="707" spans="1:13" x14ac:dyDescent="0.25">
      <c r="A707" t="s">
        <v>2893</v>
      </c>
      <c r="B707" t="s">
        <v>2894</v>
      </c>
      <c r="C707" t="s">
        <v>2895</v>
      </c>
      <c r="D707" t="s">
        <v>2896</v>
      </c>
      <c r="E707" t="s">
        <v>83</v>
      </c>
      <c r="F707" t="s">
        <v>56</v>
      </c>
      <c r="G707" t="s">
        <v>95</v>
      </c>
      <c r="H707" t="s">
        <v>72</v>
      </c>
      <c r="I707" t="s">
        <v>43</v>
      </c>
      <c r="J707" t="s">
        <v>73</v>
      </c>
      <c r="K707">
        <v>7</v>
      </c>
      <c r="L707">
        <v>1467.47</v>
      </c>
      <c r="M707">
        <v>0</v>
      </c>
    </row>
    <row r="708" spans="1:13" x14ac:dyDescent="0.25">
      <c r="A708" t="s">
        <v>2897</v>
      </c>
      <c r="B708" t="s">
        <v>2898</v>
      </c>
      <c r="C708" t="s">
        <v>2899</v>
      </c>
      <c r="D708" t="s">
        <v>2900</v>
      </c>
      <c r="E708" t="s">
        <v>116</v>
      </c>
      <c r="F708" t="s">
        <v>56</v>
      </c>
      <c r="G708" t="s">
        <v>57</v>
      </c>
      <c r="H708" t="s">
        <v>58</v>
      </c>
      <c r="I708" t="s">
        <v>66</v>
      </c>
      <c r="J708" t="s">
        <v>73</v>
      </c>
      <c r="K708">
        <v>1</v>
      </c>
      <c r="L708">
        <v>656.44</v>
      </c>
      <c r="M708">
        <v>0.15</v>
      </c>
    </row>
    <row r="709" spans="1:13" x14ac:dyDescent="0.25">
      <c r="A709" t="s">
        <v>2901</v>
      </c>
      <c r="B709" t="s">
        <v>2902</v>
      </c>
      <c r="C709" t="s">
        <v>2903</v>
      </c>
      <c r="D709" t="s">
        <v>2904</v>
      </c>
      <c r="E709" t="s">
        <v>64</v>
      </c>
      <c r="F709" t="s">
        <v>84</v>
      </c>
      <c r="G709" t="s">
        <v>90</v>
      </c>
      <c r="H709" t="s">
        <v>42</v>
      </c>
      <c r="I709" t="s">
        <v>51</v>
      </c>
      <c r="J709" t="s">
        <v>34</v>
      </c>
      <c r="K709">
        <v>2</v>
      </c>
      <c r="L709">
        <v>1194.26</v>
      </c>
      <c r="M709">
        <v>0.15</v>
      </c>
    </row>
    <row r="710" spans="1:13" x14ac:dyDescent="0.25">
      <c r="A710" t="s">
        <v>2905</v>
      </c>
      <c r="B710" t="s">
        <v>2906</v>
      </c>
      <c r="C710" t="s">
        <v>2907</v>
      </c>
      <c r="D710" t="s">
        <v>2908</v>
      </c>
      <c r="E710" t="s">
        <v>64</v>
      </c>
      <c r="F710" t="s">
        <v>49</v>
      </c>
      <c r="G710" t="s">
        <v>50</v>
      </c>
      <c r="H710" t="s">
        <v>32</v>
      </c>
      <c r="I710" t="s">
        <v>96</v>
      </c>
      <c r="J710" t="s">
        <v>126</v>
      </c>
      <c r="K710">
        <v>2</v>
      </c>
      <c r="L710">
        <v>1336.77</v>
      </c>
      <c r="M710">
        <v>0</v>
      </c>
    </row>
    <row r="711" spans="1:13" x14ac:dyDescent="0.25">
      <c r="A711" t="s">
        <v>2909</v>
      </c>
      <c r="B711" t="s">
        <v>2910</v>
      </c>
      <c r="C711" t="s">
        <v>2911</v>
      </c>
      <c r="D711" t="s">
        <v>2912</v>
      </c>
      <c r="E711" t="s">
        <v>116</v>
      </c>
      <c r="F711" t="s">
        <v>56</v>
      </c>
      <c r="G711" t="s">
        <v>101</v>
      </c>
      <c r="H711" t="s">
        <v>42</v>
      </c>
      <c r="I711" t="s">
        <v>51</v>
      </c>
      <c r="J711" t="s">
        <v>34</v>
      </c>
      <c r="K711">
        <v>5</v>
      </c>
      <c r="L711">
        <v>845.5</v>
      </c>
      <c r="M711">
        <v>0.1</v>
      </c>
    </row>
    <row r="712" spans="1:13" x14ac:dyDescent="0.25">
      <c r="A712" t="s">
        <v>2913</v>
      </c>
      <c r="B712" t="s">
        <v>2914</v>
      </c>
      <c r="C712" t="s">
        <v>2915</v>
      </c>
      <c r="D712" t="s">
        <v>2916</v>
      </c>
      <c r="E712" t="s">
        <v>64</v>
      </c>
      <c r="F712" t="s">
        <v>49</v>
      </c>
      <c r="G712" t="s">
        <v>226</v>
      </c>
      <c r="H712" t="s">
        <v>32</v>
      </c>
      <c r="I712" t="s">
        <v>66</v>
      </c>
      <c r="J712" t="s">
        <v>126</v>
      </c>
      <c r="K712">
        <v>7</v>
      </c>
      <c r="L712">
        <v>704.35</v>
      </c>
      <c r="M712">
        <v>0.15</v>
      </c>
    </row>
    <row r="713" spans="1:13" x14ac:dyDescent="0.25">
      <c r="A713" t="s">
        <v>2917</v>
      </c>
      <c r="B713" t="s">
        <v>2918</v>
      </c>
      <c r="C713" t="s">
        <v>2919</v>
      </c>
      <c r="D713" t="s">
        <v>2920</v>
      </c>
      <c r="E713" t="s">
        <v>39</v>
      </c>
      <c r="F713" t="s">
        <v>56</v>
      </c>
      <c r="G713" t="s">
        <v>101</v>
      </c>
      <c r="H713" t="s">
        <v>72</v>
      </c>
      <c r="I713" t="s">
        <v>33</v>
      </c>
      <c r="J713" t="s">
        <v>73</v>
      </c>
      <c r="K713">
        <v>2</v>
      </c>
      <c r="L713">
        <v>33.25</v>
      </c>
      <c r="M713">
        <v>0.15</v>
      </c>
    </row>
    <row r="714" spans="1:13" x14ac:dyDescent="0.25">
      <c r="A714" t="s">
        <v>2921</v>
      </c>
      <c r="B714" t="s">
        <v>2922</v>
      </c>
      <c r="C714" t="s">
        <v>2923</v>
      </c>
      <c r="D714" t="s">
        <v>2924</v>
      </c>
      <c r="E714" t="s">
        <v>149</v>
      </c>
      <c r="F714" t="s">
        <v>49</v>
      </c>
      <c r="G714" t="s">
        <v>259</v>
      </c>
      <c r="H714" t="s">
        <v>32</v>
      </c>
      <c r="I714" t="s">
        <v>51</v>
      </c>
      <c r="J714" t="s">
        <v>73</v>
      </c>
      <c r="K714">
        <v>4</v>
      </c>
      <c r="L714">
        <v>675.27</v>
      </c>
      <c r="M714">
        <v>0</v>
      </c>
    </row>
    <row r="715" spans="1:13" x14ac:dyDescent="0.25">
      <c r="A715" t="s">
        <v>2925</v>
      </c>
      <c r="B715" t="s">
        <v>2926</v>
      </c>
      <c r="C715" t="s">
        <v>2927</v>
      </c>
      <c r="D715" t="s">
        <v>2928</v>
      </c>
      <c r="E715" t="s">
        <v>71</v>
      </c>
      <c r="F715" t="s">
        <v>84</v>
      </c>
      <c r="G715" t="s">
        <v>90</v>
      </c>
      <c r="H715" t="s">
        <v>42</v>
      </c>
      <c r="I715" t="s">
        <v>66</v>
      </c>
      <c r="J715" t="s">
        <v>59</v>
      </c>
      <c r="K715">
        <v>3</v>
      </c>
      <c r="L715">
        <v>1329.55</v>
      </c>
      <c r="M715">
        <v>0</v>
      </c>
    </row>
    <row r="716" spans="1:13" x14ac:dyDescent="0.25">
      <c r="A716" t="s">
        <v>2929</v>
      </c>
      <c r="B716" t="s">
        <v>2930</v>
      </c>
      <c r="C716" t="s">
        <v>2931</v>
      </c>
      <c r="D716" t="s">
        <v>2932</v>
      </c>
      <c r="E716" t="s">
        <v>83</v>
      </c>
      <c r="F716" t="s">
        <v>30</v>
      </c>
      <c r="G716" t="s">
        <v>269</v>
      </c>
      <c r="H716" t="s">
        <v>42</v>
      </c>
      <c r="I716" t="s">
        <v>66</v>
      </c>
      <c r="J716" t="s">
        <v>73</v>
      </c>
      <c r="K716">
        <v>9</v>
      </c>
      <c r="L716">
        <v>367.52</v>
      </c>
      <c r="M716">
        <v>0</v>
      </c>
    </row>
    <row r="717" spans="1:13" x14ac:dyDescent="0.25">
      <c r="A717" t="s">
        <v>2933</v>
      </c>
      <c r="B717" t="s">
        <v>2934</v>
      </c>
      <c r="C717" t="s">
        <v>2935</v>
      </c>
      <c r="D717" t="s">
        <v>2936</v>
      </c>
      <c r="E717" t="s">
        <v>116</v>
      </c>
      <c r="F717" t="s">
        <v>84</v>
      </c>
      <c r="G717" t="s">
        <v>85</v>
      </c>
      <c r="H717" t="s">
        <v>58</v>
      </c>
      <c r="I717" t="s">
        <v>33</v>
      </c>
      <c r="J717" t="s">
        <v>59</v>
      </c>
      <c r="K717">
        <v>8</v>
      </c>
      <c r="L717">
        <v>1006.77</v>
      </c>
      <c r="M717">
        <v>0.15</v>
      </c>
    </row>
    <row r="718" spans="1:13" x14ac:dyDescent="0.25">
      <c r="A718" t="s">
        <v>2937</v>
      </c>
      <c r="B718" t="s">
        <v>2938</v>
      </c>
      <c r="C718" t="s">
        <v>2939</v>
      </c>
      <c r="D718" t="s">
        <v>2940</v>
      </c>
      <c r="E718" t="s">
        <v>48</v>
      </c>
      <c r="F718" t="s">
        <v>56</v>
      </c>
      <c r="G718" t="s">
        <v>57</v>
      </c>
      <c r="H718" t="s">
        <v>72</v>
      </c>
      <c r="I718" t="s">
        <v>51</v>
      </c>
      <c r="J718" t="s">
        <v>73</v>
      </c>
      <c r="K718">
        <v>1</v>
      </c>
      <c r="L718">
        <v>1316.02</v>
      </c>
      <c r="M718">
        <v>0.1</v>
      </c>
    </row>
    <row r="719" spans="1:13" x14ac:dyDescent="0.25">
      <c r="A719" t="s">
        <v>2941</v>
      </c>
      <c r="B719" t="s">
        <v>2942</v>
      </c>
      <c r="C719" t="s">
        <v>2943</v>
      </c>
      <c r="D719" t="s">
        <v>2944</v>
      </c>
      <c r="E719" t="s">
        <v>39</v>
      </c>
      <c r="F719" t="s">
        <v>49</v>
      </c>
      <c r="G719" t="s">
        <v>50</v>
      </c>
      <c r="H719" t="s">
        <v>42</v>
      </c>
      <c r="I719" t="s">
        <v>43</v>
      </c>
      <c r="J719" t="s">
        <v>126</v>
      </c>
      <c r="K719">
        <v>7</v>
      </c>
      <c r="L719">
        <v>1213.8</v>
      </c>
      <c r="M719">
        <v>0</v>
      </c>
    </row>
    <row r="720" spans="1:13" x14ac:dyDescent="0.25">
      <c r="A720" t="s">
        <v>2945</v>
      </c>
      <c r="B720" t="s">
        <v>2946</v>
      </c>
      <c r="C720" t="s">
        <v>2947</v>
      </c>
      <c r="D720" t="s">
        <v>2948</v>
      </c>
      <c r="E720" t="s">
        <v>64</v>
      </c>
      <c r="F720" t="s">
        <v>40</v>
      </c>
      <c r="G720" t="s">
        <v>144</v>
      </c>
      <c r="H720" t="s">
        <v>58</v>
      </c>
      <c r="I720" t="s">
        <v>51</v>
      </c>
      <c r="J720" t="s">
        <v>126</v>
      </c>
      <c r="K720">
        <v>8</v>
      </c>
      <c r="L720">
        <v>226.47</v>
      </c>
      <c r="M720">
        <v>0</v>
      </c>
    </row>
    <row r="721" spans="1:13" x14ac:dyDescent="0.25">
      <c r="A721" t="s">
        <v>2949</v>
      </c>
      <c r="B721" t="s">
        <v>2950</v>
      </c>
      <c r="C721" t="s">
        <v>2745</v>
      </c>
      <c r="D721" t="s">
        <v>2951</v>
      </c>
      <c r="E721" t="s">
        <v>39</v>
      </c>
      <c r="F721" t="s">
        <v>84</v>
      </c>
      <c r="G721" t="s">
        <v>85</v>
      </c>
      <c r="H721" t="s">
        <v>72</v>
      </c>
      <c r="I721" t="s">
        <v>43</v>
      </c>
      <c r="J721" t="s">
        <v>126</v>
      </c>
      <c r="K721">
        <v>9</v>
      </c>
      <c r="L721">
        <v>519.63</v>
      </c>
      <c r="M721">
        <v>0</v>
      </c>
    </row>
    <row r="722" spans="1:13" x14ac:dyDescent="0.25">
      <c r="A722" t="s">
        <v>2952</v>
      </c>
      <c r="B722" t="s">
        <v>2953</v>
      </c>
      <c r="C722" t="s">
        <v>2954</v>
      </c>
      <c r="D722" t="s">
        <v>2955</v>
      </c>
      <c r="E722" t="s">
        <v>48</v>
      </c>
      <c r="F722" t="s">
        <v>49</v>
      </c>
      <c r="G722" t="s">
        <v>117</v>
      </c>
      <c r="H722" t="s">
        <v>42</v>
      </c>
      <c r="I722" t="s">
        <v>43</v>
      </c>
      <c r="J722" t="s">
        <v>59</v>
      </c>
      <c r="K722">
        <v>4</v>
      </c>
      <c r="L722">
        <v>517.5</v>
      </c>
      <c r="M722">
        <v>0.05</v>
      </c>
    </row>
    <row r="723" spans="1:13" x14ac:dyDescent="0.25">
      <c r="A723" t="s">
        <v>2956</v>
      </c>
      <c r="B723" t="s">
        <v>2957</v>
      </c>
      <c r="C723" t="s">
        <v>2958</v>
      </c>
      <c r="D723" t="s">
        <v>2959</v>
      </c>
      <c r="E723" t="s">
        <v>83</v>
      </c>
      <c r="F723" t="s">
        <v>49</v>
      </c>
      <c r="G723" t="s">
        <v>117</v>
      </c>
      <c r="H723" t="s">
        <v>72</v>
      </c>
      <c r="I723" t="s">
        <v>33</v>
      </c>
      <c r="J723" t="s">
        <v>34</v>
      </c>
      <c r="K723">
        <v>3</v>
      </c>
      <c r="L723">
        <v>190.96</v>
      </c>
      <c r="M723">
        <v>0</v>
      </c>
    </row>
    <row r="724" spans="1:13" x14ac:dyDescent="0.25">
      <c r="A724" t="s">
        <v>2960</v>
      </c>
      <c r="B724" t="s">
        <v>2961</v>
      </c>
      <c r="C724" t="s">
        <v>2962</v>
      </c>
      <c r="D724" t="s">
        <v>2963</v>
      </c>
      <c r="E724" t="s">
        <v>39</v>
      </c>
      <c r="F724" t="s">
        <v>56</v>
      </c>
      <c r="G724" t="s">
        <v>111</v>
      </c>
      <c r="H724" t="s">
        <v>72</v>
      </c>
      <c r="I724" t="s">
        <v>66</v>
      </c>
      <c r="J724" t="s">
        <v>73</v>
      </c>
      <c r="K724">
        <v>9</v>
      </c>
      <c r="L724">
        <v>887.18</v>
      </c>
      <c r="M724">
        <v>0.05</v>
      </c>
    </row>
    <row r="725" spans="1:13" x14ac:dyDescent="0.25">
      <c r="A725" t="s">
        <v>2964</v>
      </c>
      <c r="B725" t="s">
        <v>2965</v>
      </c>
      <c r="C725" t="s">
        <v>2966</v>
      </c>
      <c r="D725" t="s">
        <v>2967</v>
      </c>
      <c r="E725" t="s">
        <v>48</v>
      </c>
      <c r="F725" t="s">
        <v>40</v>
      </c>
      <c r="G725" t="s">
        <v>41</v>
      </c>
      <c r="H725" t="s">
        <v>32</v>
      </c>
      <c r="I725" t="s">
        <v>96</v>
      </c>
      <c r="J725" t="s">
        <v>126</v>
      </c>
      <c r="K725">
        <v>4</v>
      </c>
      <c r="L725">
        <v>1330.46</v>
      </c>
      <c r="M725">
        <v>0.2</v>
      </c>
    </row>
    <row r="726" spans="1:13" x14ac:dyDescent="0.25">
      <c r="A726" t="s">
        <v>2968</v>
      </c>
      <c r="B726" t="s">
        <v>2969</v>
      </c>
      <c r="C726" t="s">
        <v>2970</v>
      </c>
      <c r="D726" t="s">
        <v>2971</v>
      </c>
      <c r="E726" t="s">
        <v>78</v>
      </c>
      <c r="F726" t="s">
        <v>84</v>
      </c>
      <c r="G726" t="s">
        <v>264</v>
      </c>
      <c r="H726" t="s">
        <v>58</v>
      </c>
      <c r="I726" t="s">
        <v>33</v>
      </c>
      <c r="J726" t="s">
        <v>34</v>
      </c>
      <c r="K726">
        <v>3</v>
      </c>
      <c r="L726">
        <v>785.56</v>
      </c>
      <c r="M726">
        <v>0.05</v>
      </c>
    </row>
    <row r="727" spans="1:13" x14ac:dyDescent="0.25">
      <c r="A727" t="s">
        <v>2972</v>
      </c>
      <c r="B727" t="s">
        <v>2973</v>
      </c>
      <c r="C727" t="s">
        <v>2974</v>
      </c>
      <c r="D727" t="s">
        <v>2975</v>
      </c>
      <c r="E727" t="s">
        <v>149</v>
      </c>
      <c r="F727" t="s">
        <v>40</v>
      </c>
      <c r="G727" t="s">
        <v>144</v>
      </c>
      <c r="H727" t="s">
        <v>72</v>
      </c>
      <c r="I727" t="s">
        <v>96</v>
      </c>
      <c r="J727" t="s">
        <v>73</v>
      </c>
      <c r="K727">
        <v>4</v>
      </c>
      <c r="L727">
        <v>322.69</v>
      </c>
      <c r="M727">
        <v>0.1</v>
      </c>
    </row>
    <row r="728" spans="1:13" x14ac:dyDescent="0.25">
      <c r="A728" t="s">
        <v>2976</v>
      </c>
      <c r="B728" t="s">
        <v>2977</v>
      </c>
      <c r="C728" t="s">
        <v>2978</v>
      </c>
      <c r="D728" t="s">
        <v>2979</v>
      </c>
      <c r="E728" t="s">
        <v>48</v>
      </c>
      <c r="F728" t="s">
        <v>84</v>
      </c>
      <c r="G728" t="s">
        <v>412</v>
      </c>
      <c r="H728" t="s">
        <v>58</v>
      </c>
      <c r="I728" t="s">
        <v>96</v>
      </c>
      <c r="J728" t="s">
        <v>59</v>
      </c>
      <c r="K728">
        <v>3</v>
      </c>
      <c r="L728">
        <v>832.57</v>
      </c>
      <c r="M728">
        <v>0</v>
      </c>
    </row>
    <row r="729" spans="1:13" x14ac:dyDescent="0.25">
      <c r="A729" t="s">
        <v>2980</v>
      </c>
      <c r="B729" t="s">
        <v>2981</v>
      </c>
      <c r="C729" t="s">
        <v>2982</v>
      </c>
      <c r="D729" t="s">
        <v>2983</v>
      </c>
      <c r="E729" t="s">
        <v>78</v>
      </c>
      <c r="F729" t="s">
        <v>40</v>
      </c>
      <c r="G729" t="s">
        <v>315</v>
      </c>
      <c r="H729" t="s">
        <v>42</v>
      </c>
      <c r="I729" t="s">
        <v>66</v>
      </c>
      <c r="J729" t="s">
        <v>34</v>
      </c>
      <c r="K729">
        <v>8</v>
      </c>
      <c r="L729">
        <v>647.76</v>
      </c>
      <c r="M729">
        <v>0.1</v>
      </c>
    </row>
    <row r="730" spans="1:13" x14ac:dyDescent="0.25">
      <c r="A730" t="s">
        <v>2984</v>
      </c>
      <c r="B730" t="s">
        <v>2985</v>
      </c>
      <c r="C730" t="s">
        <v>2986</v>
      </c>
      <c r="D730" t="s">
        <v>2987</v>
      </c>
      <c r="E730" t="s">
        <v>48</v>
      </c>
      <c r="F730" t="s">
        <v>49</v>
      </c>
      <c r="G730" t="s">
        <v>286</v>
      </c>
      <c r="H730" t="s">
        <v>32</v>
      </c>
      <c r="I730" t="s">
        <v>66</v>
      </c>
      <c r="J730" t="s">
        <v>126</v>
      </c>
      <c r="K730">
        <v>2</v>
      </c>
      <c r="L730">
        <v>409.45</v>
      </c>
      <c r="M730">
        <v>0.05</v>
      </c>
    </row>
    <row r="731" spans="1:13" x14ac:dyDescent="0.25">
      <c r="A731" t="s">
        <v>2988</v>
      </c>
      <c r="B731" t="s">
        <v>2989</v>
      </c>
      <c r="C731" t="s">
        <v>2990</v>
      </c>
      <c r="D731" t="s">
        <v>2991</v>
      </c>
      <c r="E731" t="s">
        <v>116</v>
      </c>
      <c r="F731" t="s">
        <v>84</v>
      </c>
      <c r="G731" t="s">
        <v>205</v>
      </c>
      <c r="H731" t="s">
        <v>58</v>
      </c>
      <c r="I731" t="s">
        <v>66</v>
      </c>
      <c r="J731" t="s">
        <v>59</v>
      </c>
      <c r="K731">
        <v>6</v>
      </c>
      <c r="L731">
        <v>825.85</v>
      </c>
      <c r="M731">
        <v>0</v>
      </c>
    </row>
    <row r="732" spans="1:13" x14ac:dyDescent="0.25">
      <c r="A732" t="s">
        <v>2992</v>
      </c>
      <c r="B732" t="s">
        <v>2993</v>
      </c>
      <c r="C732" t="s">
        <v>2994</v>
      </c>
      <c r="D732" t="s">
        <v>2995</v>
      </c>
      <c r="E732" t="s">
        <v>83</v>
      </c>
      <c r="F732" t="s">
        <v>30</v>
      </c>
      <c r="G732" t="s">
        <v>139</v>
      </c>
      <c r="H732" t="s">
        <v>58</v>
      </c>
      <c r="I732" t="s">
        <v>66</v>
      </c>
      <c r="J732" t="s">
        <v>34</v>
      </c>
      <c r="K732">
        <v>1</v>
      </c>
      <c r="L732">
        <v>1369.89</v>
      </c>
      <c r="M732">
        <v>0.05</v>
      </c>
    </row>
    <row r="733" spans="1:13" x14ac:dyDescent="0.25">
      <c r="A733" t="s">
        <v>2996</v>
      </c>
      <c r="B733" t="s">
        <v>2997</v>
      </c>
      <c r="C733" t="s">
        <v>2998</v>
      </c>
      <c r="D733" t="s">
        <v>2999</v>
      </c>
      <c r="E733" t="s">
        <v>200</v>
      </c>
      <c r="F733" t="s">
        <v>40</v>
      </c>
      <c r="G733" t="s">
        <v>106</v>
      </c>
      <c r="H733" t="s">
        <v>72</v>
      </c>
      <c r="I733" t="s">
        <v>96</v>
      </c>
      <c r="J733" t="s">
        <v>73</v>
      </c>
      <c r="K733">
        <v>4</v>
      </c>
      <c r="L733">
        <v>1300.22</v>
      </c>
      <c r="M733">
        <v>0</v>
      </c>
    </row>
    <row r="734" spans="1:13" x14ac:dyDescent="0.25">
      <c r="A734" t="s">
        <v>3000</v>
      </c>
      <c r="B734" t="s">
        <v>3001</v>
      </c>
      <c r="C734" t="s">
        <v>3002</v>
      </c>
      <c r="D734" t="s">
        <v>3003</v>
      </c>
      <c r="E734" t="s">
        <v>200</v>
      </c>
      <c r="F734" t="s">
        <v>49</v>
      </c>
      <c r="G734" t="s">
        <v>50</v>
      </c>
      <c r="H734" t="s">
        <v>42</v>
      </c>
      <c r="I734" t="s">
        <v>96</v>
      </c>
      <c r="J734" t="s">
        <v>73</v>
      </c>
      <c r="K734">
        <v>6</v>
      </c>
      <c r="L734">
        <v>1190.99</v>
      </c>
      <c r="M734">
        <v>0</v>
      </c>
    </row>
    <row r="735" spans="1:13" x14ac:dyDescent="0.25">
      <c r="A735" t="s">
        <v>3004</v>
      </c>
      <c r="B735" t="s">
        <v>3005</v>
      </c>
      <c r="C735" t="s">
        <v>3006</v>
      </c>
      <c r="D735" t="s">
        <v>3007</v>
      </c>
      <c r="E735" t="s">
        <v>71</v>
      </c>
      <c r="F735" t="s">
        <v>30</v>
      </c>
      <c r="G735" t="s">
        <v>139</v>
      </c>
      <c r="H735" t="s">
        <v>32</v>
      </c>
      <c r="I735" t="s">
        <v>96</v>
      </c>
      <c r="J735" t="s">
        <v>59</v>
      </c>
      <c r="K735">
        <v>5</v>
      </c>
      <c r="L735">
        <v>1312.52</v>
      </c>
      <c r="M735">
        <v>0.2</v>
      </c>
    </row>
    <row r="736" spans="1:13" x14ac:dyDescent="0.25">
      <c r="A736" t="s">
        <v>3008</v>
      </c>
      <c r="B736" t="s">
        <v>3009</v>
      </c>
      <c r="C736" t="s">
        <v>3010</v>
      </c>
      <c r="D736" t="s">
        <v>3011</v>
      </c>
      <c r="E736" t="s">
        <v>149</v>
      </c>
      <c r="F736" t="s">
        <v>40</v>
      </c>
      <c r="G736" t="s">
        <v>315</v>
      </c>
      <c r="H736" t="s">
        <v>32</v>
      </c>
      <c r="I736" t="s">
        <v>43</v>
      </c>
      <c r="J736" t="s">
        <v>73</v>
      </c>
      <c r="K736">
        <v>1</v>
      </c>
      <c r="L736">
        <v>499.23</v>
      </c>
      <c r="M736">
        <v>0.15</v>
      </c>
    </row>
    <row r="737" spans="1:13" x14ac:dyDescent="0.25">
      <c r="A737" t="s">
        <v>3012</v>
      </c>
      <c r="B737" t="s">
        <v>3013</v>
      </c>
      <c r="C737" t="s">
        <v>3014</v>
      </c>
      <c r="D737" t="s">
        <v>3015</v>
      </c>
      <c r="E737" t="s">
        <v>83</v>
      </c>
      <c r="F737" t="s">
        <v>40</v>
      </c>
      <c r="G737" t="s">
        <v>565</v>
      </c>
      <c r="H737" t="s">
        <v>32</v>
      </c>
      <c r="I737" t="s">
        <v>33</v>
      </c>
      <c r="J737" t="s">
        <v>34</v>
      </c>
      <c r="K737">
        <v>4</v>
      </c>
      <c r="L737">
        <v>1470.56</v>
      </c>
      <c r="M737">
        <v>0.1</v>
      </c>
    </row>
    <row r="738" spans="1:13" x14ac:dyDescent="0.25">
      <c r="A738" t="s">
        <v>3016</v>
      </c>
      <c r="B738" t="s">
        <v>3017</v>
      </c>
      <c r="C738" t="s">
        <v>3018</v>
      </c>
      <c r="D738" t="s">
        <v>3019</v>
      </c>
      <c r="E738" t="s">
        <v>83</v>
      </c>
      <c r="F738" t="s">
        <v>49</v>
      </c>
      <c r="G738" t="s">
        <v>50</v>
      </c>
      <c r="H738" t="s">
        <v>72</v>
      </c>
      <c r="I738" t="s">
        <v>51</v>
      </c>
      <c r="J738" t="s">
        <v>34</v>
      </c>
      <c r="K738">
        <v>2</v>
      </c>
      <c r="L738">
        <v>153.46</v>
      </c>
      <c r="M738">
        <v>0.2</v>
      </c>
    </row>
    <row r="739" spans="1:13" x14ac:dyDescent="0.25">
      <c r="A739" t="s">
        <v>3020</v>
      </c>
      <c r="B739" t="s">
        <v>3021</v>
      </c>
      <c r="C739" t="s">
        <v>3022</v>
      </c>
      <c r="D739" t="s">
        <v>3023</v>
      </c>
      <c r="E739" t="s">
        <v>149</v>
      </c>
      <c r="F739" t="s">
        <v>84</v>
      </c>
      <c r="G739" t="s">
        <v>85</v>
      </c>
      <c r="H739" t="s">
        <v>42</v>
      </c>
      <c r="I739" t="s">
        <v>51</v>
      </c>
      <c r="J739" t="s">
        <v>59</v>
      </c>
      <c r="K739">
        <v>9</v>
      </c>
      <c r="L739">
        <v>361.06</v>
      </c>
      <c r="M739">
        <v>0</v>
      </c>
    </row>
    <row r="740" spans="1:13" x14ac:dyDescent="0.25">
      <c r="A740" t="s">
        <v>3024</v>
      </c>
      <c r="B740" t="s">
        <v>3025</v>
      </c>
      <c r="C740" t="s">
        <v>3026</v>
      </c>
      <c r="D740" t="s">
        <v>3027</v>
      </c>
      <c r="E740" t="s">
        <v>149</v>
      </c>
      <c r="F740" t="s">
        <v>49</v>
      </c>
      <c r="G740" t="s">
        <v>286</v>
      </c>
      <c r="H740" t="s">
        <v>42</v>
      </c>
      <c r="I740" t="s">
        <v>96</v>
      </c>
      <c r="J740" t="s">
        <v>126</v>
      </c>
      <c r="K740">
        <v>3</v>
      </c>
      <c r="L740">
        <v>1484.55</v>
      </c>
      <c r="M740">
        <v>0.15</v>
      </c>
    </row>
    <row r="741" spans="1:13" x14ac:dyDescent="0.25">
      <c r="A741" t="s">
        <v>3028</v>
      </c>
      <c r="B741" t="s">
        <v>3029</v>
      </c>
      <c r="C741" t="s">
        <v>3030</v>
      </c>
      <c r="D741" t="s">
        <v>3031</v>
      </c>
      <c r="E741" t="s">
        <v>39</v>
      </c>
      <c r="F741" t="s">
        <v>84</v>
      </c>
      <c r="G741" t="s">
        <v>264</v>
      </c>
      <c r="H741" t="s">
        <v>58</v>
      </c>
      <c r="I741" t="s">
        <v>33</v>
      </c>
      <c r="J741" t="s">
        <v>73</v>
      </c>
      <c r="K741">
        <v>8</v>
      </c>
      <c r="L741">
        <v>1229.58</v>
      </c>
      <c r="M741">
        <v>0</v>
      </c>
    </row>
    <row r="742" spans="1:13" x14ac:dyDescent="0.25">
      <c r="A742" t="s">
        <v>3032</v>
      </c>
      <c r="B742" t="s">
        <v>3033</v>
      </c>
      <c r="C742" t="s">
        <v>3034</v>
      </c>
      <c r="D742" t="s">
        <v>3035</v>
      </c>
      <c r="E742" t="s">
        <v>39</v>
      </c>
      <c r="F742" t="s">
        <v>56</v>
      </c>
      <c r="G742" t="s">
        <v>95</v>
      </c>
      <c r="H742" t="s">
        <v>72</v>
      </c>
      <c r="I742" t="s">
        <v>33</v>
      </c>
      <c r="J742" t="s">
        <v>59</v>
      </c>
      <c r="K742">
        <v>7</v>
      </c>
      <c r="L742">
        <v>676.91</v>
      </c>
      <c r="M742">
        <v>0.15</v>
      </c>
    </row>
    <row r="743" spans="1:13" x14ac:dyDescent="0.25">
      <c r="A743" t="s">
        <v>3036</v>
      </c>
      <c r="B743" t="s">
        <v>3037</v>
      </c>
      <c r="C743" t="s">
        <v>3038</v>
      </c>
      <c r="D743" t="s">
        <v>3039</v>
      </c>
      <c r="E743" t="s">
        <v>83</v>
      </c>
      <c r="F743" t="s">
        <v>56</v>
      </c>
      <c r="G743" t="s">
        <v>101</v>
      </c>
      <c r="H743" t="s">
        <v>58</v>
      </c>
      <c r="I743" t="s">
        <v>96</v>
      </c>
      <c r="J743" t="s">
        <v>73</v>
      </c>
      <c r="K743">
        <v>8</v>
      </c>
      <c r="L743">
        <v>442.55</v>
      </c>
      <c r="M743">
        <v>0.05</v>
      </c>
    </row>
    <row r="744" spans="1:13" x14ac:dyDescent="0.25">
      <c r="A744" t="s">
        <v>3040</v>
      </c>
      <c r="B744" t="s">
        <v>3041</v>
      </c>
      <c r="C744" t="s">
        <v>3042</v>
      </c>
      <c r="D744" t="s">
        <v>3043</v>
      </c>
      <c r="E744" t="s">
        <v>83</v>
      </c>
      <c r="F744" t="s">
        <v>49</v>
      </c>
      <c r="G744" t="s">
        <v>226</v>
      </c>
      <c r="H744" t="s">
        <v>32</v>
      </c>
      <c r="I744" t="s">
        <v>96</v>
      </c>
      <c r="J744" t="s">
        <v>126</v>
      </c>
      <c r="K744">
        <v>3</v>
      </c>
      <c r="L744">
        <v>586.23</v>
      </c>
      <c r="M744">
        <v>0.2</v>
      </c>
    </row>
    <row r="745" spans="1:13" x14ac:dyDescent="0.25">
      <c r="A745" t="s">
        <v>3044</v>
      </c>
      <c r="B745" t="s">
        <v>3045</v>
      </c>
      <c r="C745" t="s">
        <v>3046</v>
      </c>
      <c r="D745" t="s">
        <v>3047</v>
      </c>
      <c r="E745" t="s">
        <v>78</v>
      </c>
      <c r="F745" t="s">
        <v>84</v>
      </c>
      <c r="G745" t="s">
        <v>205</v>
      </c>
      <c r="H745" t="s">
        <v>42</v>
      </c>
      <c r="I745" t="s">
        <v>33</v>
      </c>
      <c r="J745" t="s">
        <v>126</v>
      </c>
      <c r="K745">
        <v>4</v>
      </c>
      <c r="L745">
        <v>1051.5999999999999</v>
      </c>
      <c r="M745">
        <v>0.1</v>
      </c>
    </row>
    <row r="746" spans="1:13" x14ac:dyDescent="0.25">
      <c r="A746" t="s">
        <v>3048</v>
      </c>
      <c r="B746" t="s">
        <v>3049</v>
      </c>
      <c r="C746" t="s">
        <v>3050</v>
      </c>
      <c r="D746" t="s">
        <v>3051</v>
      </c>
      <c r="E746" t="s">
        <v>71</v>
      </c>
      <c r="F746" t="s">
        <v>49</v>
      </c>
      <c r="G746" t="s">
        <v>226</v>
      </c>
      <c r="H746" t="s">
        <v>32</v>
      </c>
      <c r="I746" t="s">
        <v>96</v>
      </c>
      <c r="J746" t="s">
        <v>126</v>
      </c>
      <c r="K746">
        <v>4</v>
      </c>
      <c r="L746">
        <v>259.79000000000002</v>
      </c>
      <c r="M746">
        <v>0.15</v>
      </c>
    </row>
    <row r="747" spans="1:13" x14ac:dyDescent="0.25">
      <c r="A747" t="s">
        <v>3052</v>
      </c>
      <c r="B747" t="s">
        <v>3053</v>
      </c>
      <c r="C747" t="s">
        <v>3054</v>
      </c>
      <c r="D747" t="s">
        <v>3055</v>
      </c>
      <c r="E747" t="s">
        <v>200</v>
      </c>
      <c r="F747" t="s">
        <v>49</v>
      </c>
      <c r="G747" t="s">
        <v>50</v>
      </c>
      <c r="H747" t="s">
        <v>32</v>
      </c>
      <c r="I747" t="s">
        <v>51</v>
      </c>
      <c r="J747" t="s">
        <v>59</v>
      </c>
      <c r="K747">
        <v>4</v>
      </c>
      <c r="L747">
        <v>1122.75</v>
      </c>
      <c r="M747">
        <v>0.1</v>
      </c>
    </row>
    <row r="748" spans="1:13" x14ac:dyDescent="0.25">
      <c r="A748" t="s">
        <v>3056</v>
      </c>
      <c r="B748" t="s">
        <v>3057</v>
      </c>
      <c r="C748" t="s">
        <v>3058</v>
      </c>
      <c r="D748" t="s">
        <v>3059</v>
      </c>
      <c r="E748" t="s">
        <v>200</v>
      </c>
      <c r="F748" t="s">
        <v>49</v>
      </c>
      <c r="G748" t="s">
        <v>226</v>
      </c>
      <c r="H748" t="s">
        <v>72</v>
      </c>
      <c r="I748" t="s">
        <v>96</v>
      </c>
      <c r="J748" t="s">
        <v>73</v>
      </c>
      <c r="K748">
        <v>9</v>
      </c>
      <c r="L748">
        <v>116.33</v>
      </c>
      <c r="M748">
        <v>0.2</v>
      </c>
    </row>
    <row r="749" spans="1:13" x14ac:dyDescent="0.25">
      <c r="A749" t="s">
        <v>3060</v>
      </c>
      <c r="B749" t="s">
        <v>3061</v>
      </c>
      <c r="C749" t="s">
        <v>3062</v>
      </c>
      <c r="D749" t="s">
        <v>3063</v>
      </c>
      <c r="E749" t="s">
        <v>64</v>
      </c>
      <c r="F749" t="s">
        <v>40</v>
      </c>
      <c r="G749" t="s">
        <v>144</v>
      </c>
      <c r="H749" t="s">
        <v>42</v>
      </c>
      <c r="I749" t="s">
        <v>43</v>
      </c>
      <c r="J749" t="s">
        <v>126</v>
      </c>
      <c r="K749">
        <v>2</v>
      </c>
      <c r="L749">
        <v>278.2</v>
      </c>
      <c r="M749">
        <v>0.15</v>
      </c>
    </row>
    <row r="750" spans="1:13" x14ac:dyDescent="0.25">
      <c r="A750" t="s">
        <v>3064</v>
      </c>
      <c r="B750" t="s">
        <v>3065</v>
      </c>
      <c r="C750" t="s">
        <v>3066</v>
      </c>
      <c r="D750" t="s">
        <v>3067</v>
      </c>
      <c r="E750" t="s">
        <v>48</v>
      </c>
      <c r="F750" t="s">
        <v>49</v>
      </c>
      <c r="G750" t="s">
        <v>50</v>
      </c>
      <c r="H750" t="s">
        <v>72</v>
      </c>
      <c r="I750" t="s">
        <v>96</v>
      </c>
      <c r="J750" t="s">
        <v>126</v>
      </c>
      <c r="K750">
        <v>1</v>
      </c>
      <c r="L750">
        <v>279.24</v>
      </c>
      <c r="M750">
        <v>0.2</v>
      </c>
    </row>
    <row r="751" spans="1:13" x14ac:dyDescent="0.25">
      <c r="A751" t="s">
        <v>3068</v>
      </c>
      <c r="B751" t="s">
        <v>3069</v>
      </c>
      <c r="C751" t="s">
        <v>3070</v>
      </c>
      <c r="D751" t="s">
        <v>3071</v>
      </c>
      <c r="E751" t="s">
        <v>116</v>
      </c>
      <c r="F751" t="s">
        <v>49</v>
      </c>
      <c r="G751" t="s">
        <v>50</v>
      </c>
      <c r="H751" t="s">
        <v>32</v>
      </c>
      <c r="I751" t="s">
        <v>96</v>
      </c>
      <c r="J751" t="s">
        <v>73</v>
      </c>
      <c r="K751">
        <v>10</v>
      </c>
      <c r="L751">
        <v>674.32</v>
      </c>
      <c r="M751">
        <v>0</v>
      </c>
    </row>
    <row r="752" spans="1:13" x14ac:dyDescent="0.25">
      <c r="A752" t="s">
        <v>3072</v>
      </c>
      <c r="B752" t="s">
        <v>3073</v>
      </c>
      <c r="C752" t="s">
        <v>3074</v>
      </c>
      <c r="D752" t="s">
        <v>3075</v>
      </c>
      <c r="E752" t="s">
        <v>116</v>
      </c>
      <c r="F752" t="s">
        <v>56</v>
      </c>
      <c r="G752" t="s">
        <v>57</v>
      </c>
      <c r="H752" t="s">
        <v>72</v>
      </c>
      <c r="I752" t="s">
        <v>51</v>
      </c>
      <c r="J752" t="s">
        <v>73</v>
      </c>
      <c r="K752">
        <v>1</v>
      </c>
      <c r="L752">
        <v>56.5</v>
      </c>
      <c r="M752">
        <v>0.05</v>
      </c>
    </row>
    <row r="753" spans="1:13" x14ac:dyDescent="0.25">
      <c r="A753" t="s">
        <v>3076</v>
      </c>
      <c r="B753" t="s">
        <v>3077</v>
      </c>
      <c r="C753" t="s">
        <v>3078</v>
      </c>
      <c r="D753" t="s">
        <v>3079</v>
      </c>
      <c r="E753" t="s">
        <v>48</v>
      </c>
      <c r="F753" t="s">
        <v>56</v>
      </c>
      <c r="G753" t="s">
        <v>57</v>
      </c>
      <c r="H753" t="s">
        <v>72</v>
      </c>
      <c r="I753" t="s">
        <v>33</v>
      </c>
      <c r="J753" t="s">
        <v>73</v>
      </c>
      <c r="K753">
        <v>6</v>
      </c>
      <c r="L753">
        <v>776.06</v>
      </c>
      <c r="M753">
        <v>0.05</v>
      </c>
    </row>
    <row r="754" spans="1:13" x14ac:dyDescent="0.25">
      <c r="A754" t="s">
        <v>3080</v>
      </c>
      <c r="B754" t="s">
        <v>3081</v>
      </c>
      <c r="C754" t="s">
        <v>3082</v>
      </c>
      <c r="D754" t="s">
        <v>3083</v>
      </c>
      <c r="E754" t="s">
        <v>39</v>
      </c>
      <c r="F754" t="s">
        <v>30</v>
      </c>
      <c r="G754" t="s">
        <v>269</v>
      </c>
      <c r="H754" t="s">
        <v>42</v>
      </c>
      <c r="I754" t="s">
        <v>66</v>
      </c>
      <c r="J754" t="s">
        <v>126</v>
      </c>
      <c r="K754">
        <v>3</v>
      </c>
      <c r="L754">
        <v>544.52</v>
      </c>
      <c r="M754">
        <v>0</v>
      </c>
    </row>
    <row r="755" spans="1:13" x14ac:dyDescent="0.25">
      <c r="A755" t="s">
        <v>3084</v>
      </c>
      <c r="B755" t="s">
        <v>3085</v>
      </c>
      <c r="C755" t="s">
        <v>3086</v>
      </c>
      <c r="D755" t="s">
        <v>3087</v>
      </c>
      <c r="E755" t="s">
        <v>116</v>
      </c>
      <c r="F755" t="s">
        <v>84</v>
      </c>
      <c r="G755" t="s">
        <v>90</v>
      </c>
      <c r="H755" t="s">
        <v>42</v>
      </c>
      <c r="I755" t="s">
        <v>66</v>
      </c>
      <c r="J755" t="s">
        <v>34</v>
      </c>
      <c r="K755">
        <v>2</v>
      </c>
      <c r="L755">
        <v>562.94000000000005</v>
      </c>
      <c r="M755">
        <v>0</v>
      </c>
    </row>
    <row r="756" spans="1:13" x14ac:dyDescent="0.25">
      <c r="A756" t="s">
        <v>3088</v>
      </c>
      <c r="B756" t="s">
        <v>3089</v>
      </c>
      <c r="C756" t="s">
        <v>3090</v>
      </c>
      <c r="D756" t="s">
        <v>3091</v>
      </c>
      <c r="E756" t="s">
        <v>83</v>
      </c>
      <c r="F756" t="s">
        <v>30</v>
      </c>
      <c r="G756" t="s">
        <v>65</v>
      </c>
      <c r="H756" t="s">
        <v>42</v>
      </c>
      <c r="I756" t="s">
        <v>43</v>
      </c>
      <c r="J756" t="s">
        <v>59</v>
      </c>
      <c r="K756">
        <v>10</v>
      </c>
      <c r="L756">
        <v>1439.17</v>
      </c>
      <c r="M756">
        <v>0.05</v>
      </c>
    </row>
    <row r="757" spans="1:13" x14ac:dyDescent="0.25">
      <c r="A757" t="s">
        <v>3092</v>
      </c>
      <c r="B757" t="s">
        <v>3093</v>
      </c>
      <c r="C757" t="s">
        <v>3094</v>
      </c>
      <c r="D757" t="s">
        <v>3095</v>
      </c>
      <c r="E757" t="s">
        <v>200</v>
      </c>
      <c r="F757" t="s">
        <v>56</v>
      </c>
      <c r="G757" t="s">
        <v>190</v>
      </c>
      <c r="H757" t="s">
        <v>42</v>
      </c>
      <c r="I757" t="s">
        <v>33</v>
      </c>
      <c r="J757" t="s">
        <v>73</v>
      </c>
      <c r="K757">
        <v>10</v>
      </c>
      <c r="L757">
        <v>41.21</v>
      </c>
      <c r="M757">
        <v>0.1</v>
      </c>
    </row>
    <row r="758" spans="1:13" x14ac:dyDescent="0.25">
      <c r="A758" t="s">
        <v>3096</v>
      </c>
      <c r="B758" t="s">
        <v>3097</v>
      </c>
      <c r="C758" t="s">
        <v>3098</v>
      </c>
      <c r="D758" t="s">
        <v>3099</v>
      </c>
      <c r="E758" t="s">
        <v>39</v>
      </c>
      <c r="F758" t="s">
        <v>56</v>
      </c>
      <c r="G758" t="s">
        <v>111</v>
      </c>
      <c r="H758" t="s">
        <v>72</v>
      </c>
      <c r="I758" t="s">
        <v>96</v>
      </c>
      <c r="J758" t="s">
        <v>73</v>
      </c>
      <c r="K758">
        <v>2</v>
      </c>
      <c r="L758">
        <v>1142.03</v>
      </c>
      <c r="M758">
        <v>0.05</v>
      </c>
    </row>
    <row r="759" spans="1:13" x14ac:dyDescent="0.25">
      <c r="A759" t="s">
        <v>3100</v>
      </c>
      <c r="B759" t="s">
        <v>3101</v>
      </c>
      <c r="C759" t="s">
        <v>3102</v>
      </c>
      <c r="D759" t="s">
        <v>3103</v>
      </c>
      <c r="E759" t="s">
        <v>71</v>
      </c>
      <c r="F759" t="s">
        <v>49</v>
      </c>
      <c r="G759" t="s">
        <v>50</v>
      </c>
      <c r="H759" t="s">
        <v>32</v>
      </c>
      <c r="I759" t="s">
        <v>43</v>
      </c>
      <c r="J759" t="s">
        <v>34</v>
      </c>
      <c r="K759">
        <v>7</v>
      </c>
      <c r="L759">
        <v>314.99</v>
      </c>
      <c r="M759">
        <v>0</v>
      </c>
    </row>
    <row r="760" spans="1:13" x14ac:dyDescent="0.25">
      <c r="A760" t="s">
        <v>3104</v>
      </c>
      <c r="B760" t="s">
        <v>3105</v>
      </c>
      <c r="C760" t="s">
        <v>3106</v>
      </c>
      <c r="D760" t="s">
        <v>3107</v>
      </c>
      <c r="E760" t="s">
        <v>64</v>
      </c>
      <c r="F760" t="s">
        <v>40</v>
      </c>
      <c r="G760" t="s">
        <v>565</v>
      </c>
      <c r="H760" t="s">
        <v>72</v>
      </c>
      <c r="I760" t="s">
        <v>66</v>
      </c>
      <c r="J760" t="s">
        <v>59</v>
      </c>
      <c r="K760">
        <v>5</v>
      </c>
      <c r="L760">
        <v>977.35</v>
      </c>
      <c r="M760">
        <v>0</v>
      </c>
    </row>
    <row r="761" spans="1:13" x14ac:dyDescent="0.25">
      <c r="A761" t="s">
        <v>3108</v>
      </c>
      <c r="B761" t="s">
        <v>3109</v>
      </c>
      <c r="C761" t="s">
        <v>3110</v>
      </c>
      <c r="D761" t="s">
        <v>3111</v>
      </c>
      <c r="E761" t="s">
        <v>39</v>
      </c>
      <c r="F761" t="s">
        <v>30</v>
      </c>
      <c r="G761" t="s">
        <v>139</v>
      </c>
      <c r="H761" t="s">
        <v>72</v>
      </c>
      <c r="I761" t="s">
        <v>96</v>
      </c>
      <c r="J761" t="s">
        <v>126</v>
      </c>
      <c r="K761">
        <v>9</v>
      </c>
      <c r="L761">
        <v>1310.97</v>
      </c>
      <c r="M761">
        <v>0.05</v>
      </c>
    </row>
    <row r="762" spans="1:13" x14ac:dyDescent="0.25">
      <c r="A762" t="s">
        <v>3112</v>
      </c>
      <c r="B762" t="s">
        <v>3113</v>
      </c>
      <c r="C762" t="s">
        <v>3114</v>
      </c>
      <c r="D762" t="s">
        <v>3115</v>
      </c>
      <c r="E762" t="s">
        <v>64</v>
      </c>
      <c r="F762" t="s">
        <v>30</v>
      </c>
      <c r="G762" t="s">
        <v>31</v>
      </c>
      <c r="H762" t="s">
        <v>72</v>
      </c>
      <c r="I762" t="s">
        <v>43</v>
      </c>
      <c r="J762" t="s">
        <v>126</v>
      </c>
      <c r="K762">
        <v>3</v>
      </c>
      <c r="L762">
        <v>201.46</v>
      </c>
      <c r="M762">
        <v>0.15</v>
      </c>
    </row>
    <row r="763" spans="1:13" x14ac:dyDescent="0.25">
      <c r="A763" t="s">
        <v>3116</v>
      </c>
      <c r="B763" t="s">
        <v>3117</v>
      </c>
      <c r="C763" t="s">
        <v>3118</v>
      </c>
      <c r="D763" t="s">
        <v>3119</v>
      </c>
      <c r="E763" t="s">
        <v>39</v>
      </c>
      <c r="F763" t="s">
        <v>30</v>
      </c>
      <c r="G763" t="s">
        <v>195</v>
      </c>
      <c r="H763" t="s">
        <v>58</v>
      </c>
      <c r="I763" t="s">
        <v>33</v>
      </c>
      <c r="J763" t="s">
        <v>34</v>
      </c>
      <c r="K763">
        <v>4</v>
      </c>
      <c r="L763">
        <v>277.01</v>
      </c>
      <c r="M763">
        <v>0.05</v>
      </c>
    </row>
    <row r="764" spans="1:13" x14ac:dyDescent="0.25">
      <c r="A764" t="s">
        <v>3120</v>
      </c>
      <c r="B764" t="s">
        <v>3121</v>
      </c>
      <c r="C764" t="s">
        <v>3122</v>
      </c>
      <c r="D764" t="s">
        <v>3123</v>
      </c>
      <c r="E764" t="s">
        <v>200</v>
      </c>
      <c r="F764" t="s">
        <v>56</v>
      </c>
      <c r="G764" t="s">
        <v>190</v>
      </c>
      <c r="H764" t="s">
        <v>42</v>
      </c>
      <c r="I764" t="s">
        <v>96</v>
      </c>
      <c r="J764" t="s">
        <v>34</v>
      </c>
      <c r="K764">
        <v>3</v>
      </c>
      <c r="L764">
        <v>606.39</v>
      </c>
      <c r="M764">
        <v>0.1</v>
      </c>
    </row>
    <row r="765" spans="1:13" x14ac:dyDescent="0.25">
      <c r="A765" t="s">
        <v>3124</v>
      </c>
      <c r="B765" t="s">
        <v>3125</v>
      </c>
      <c r="C765" t="s">
        <v>3126</v>
      </c>
      <c r="D765" t="s">
        <v>3127</v>
      </c>
      <c r="E765" t="s">
        <v>149</v>
      </c>
      <c r="F765" t="s">
        <v>49</v>
      </c>
      <c r="G765" t="s">
        <v>117</v>
      </c>
      <c r="H765" t="s">
        <v>72</v>
      </c>
      <c r="I765" t="s">
        <v>33</v>
      </c>
      <c r="J765" t="s">
        <v>73</v>
      </c>
      <c r="K765">
        <v>5</v>
      </c>
      <c r="L765">
        <v>1141.9000000000001</v>
      </c>
      <c r="M765">
        <v>0.15</v>
      </c>
    </row>
    <row r="766" spans="1:13" x14ac:dyDescent="0.25">
      <c r="A766" t="s">
        <v>3128</v>
      </c>
      <c r="B766" t="s">
        <v>3129</v>
      </c>
      <c r="C766" t="s">
        <v>3130</v>
      </c>
      <c r="D766" t="s">
        <v>3131</v>
      </c>
      <c r="E766" t="s">
        <v>200</v>
      </c>
      <c r="F766" t="s">
        <v>84</v>
      </c>
      <c r="G766" t="s">
        <v>264</v>
      </c>
      <c r="H766" t="s">
        <v>58</v>
      </c>
      <c r="I766" t="s">
        <v>43</v>
      </c>
      <c r="J766" t="s">
        <v>34</v>
      </c>
      <c r="K766">
        <v>8</v>
      </c>
      <c r="L766">
        <v>849.78</v>
      </c>
      <c r="M766">
        <v>0</v>
      </c>
    </row>
    <row r="767" spans="1:13" x14ac:dyDescent="0.25">
      <c r="A767" t="s">
        <v>3132</v>
      </c>
      <c r="B767" t="s">
        <v>3133</v>
      </c>
      <c r="C767" t="s">
        <v>3134</v>
      </c>
      <c r="D767" t="s">
        <v>3135</v>
      </c>
      <c r="E767" t="s">
        <v>64</v>
      </c>
      <c r="F767" t="s">
        <v>40</v>
      </c>
      <c r="G767" t="s">
        <v>315</v>
      </c>
      <c r="H767" t="s">
        <v>58</v>
      </c>
      <c r="I767" t="s">
        <v>96</v>
      </c>
      <c r="J767" t="s">
        <v>34</v>
      </c>
      <c r="K767">
        <v>7</v>
      </c>
      <c r="L767">
        <v>744.81</v>
      </c>
      <c r="M767">
        <v>0.1</v>
      </c>
    </row>
    <row r="768" spans="1:13" x14ac:dyDescent="0.25">
      <c r="A768" t="s">
        <v>3136</v>
      </c>
      <c r="B768" t="s">
        <v>3137</v>
      </c>
      <c r="C768" t="s">
        <v>3138</v>
      </c>
      <c r="D768" t="s">
        <v>3139</v>
      </c>
      <c r="E768" t="s">
        <v>149</v>
      </c>
      <c r="F768" t="s">
        <v>56</v>
      </c>
      <c r="G768" t="s">
        <v>101</v>
      </c>
      <c r="H768" t="s">
        <v>72</v>
      </c>
      <c r="I768" t="s">
        <v>96</v>
      </c>
      <c r="J768" t="s">
        <v>59</v>
      </c>
      <c r="K768">
        <v>10</v>
      </c>
      <c r="L768">
        <v>586.47</v>
      </c>
      <c r="M768">
        <v>0</v>
      </c>
    </row>
    <row r="769" spans="1:13" x14ac:dyDescent="0.25">
      <c r="A769" t="s">
        <v>3140</v>
      </c>
      <c r="B769" t="s">
        <v>3141</v>
      </c>
      <c r="C769" t="s">
        <v>3142</v>
      </c>
      <c r="D769" t="s">
        <v>3143</v>
      </c>
      <c r="E769" t="s">
        <v>71</v>
      </c>
      <c r="F769" t="s">
        <v>56</v>
      </c>
      <c r="G769" t="s">
        <v>57</v>
      </c>
      <c r="H769" t="s">
        <v>42</v>
      </c>
      <c r="I769" t="s">
        <v>51</v>
      </c>
      <c r="J769" t="s">
        <v>59</v>
      </c>
      <c r="K769">
        <v>4</v>
      </c>
      <c r="L769">
        <v>1390.88</v>
      </c>
      <c r="M769">
        <v>0</v>
      </c>
    </row>
    <row r="770" spans="1:13" x14ac:dyDescent="0.25">
      <c r="A770" t="s">
        <v>3144</v>
      </c>
      <c r="B770" t="s">
        <v>3145</v>
      </c>
      <c r="C770" t="s">
        <v>3146</v>
      </c>
      <c r="D770" t="s">
        <v>3147</v>
      </c>
      <c r="E770" t="s">
        <v>48</v>
      </c>
      <c r="F770" t="s">
        <v>84</v>
      </c>
      <c r="G770" t="s">
        <v>90</v>
      </c>
      <c r="H770" t="s">
        <v>72</v>
      </c>
      <c r="I770" t="s">
        <v>33</v>
      </c>
      <c r="J770" t="s">
        <v>73</v>
      </c>
      <c r="K770">
        <v>3</v>
      </c>
      <c r="L770">
        <v>691.37</v>
      </c>
      <c r="M770">
        <v>0.05</v>
      </c>
    </row>
    <row r="771" spans="1:13" x14ac:dyDescent="0.25">
      <c r="A771" t="s">
        <v>3148</v>
      </c>
      <c r="B771" t="s">
        <v>3149</v>
      </c>
      <c r="C771" t="s">
        <v>3150</v>
      </c>
      <c r="D771" t="s">
        <v>3151</v>
      </c>
      <c r="E771" t="s">
        <v>149</v>
      </c>
      <c r="F771" t="s">
        <v>49</v>
      </c>
      <c r="G771" t="s">
        <v>259</v>
      </c>
      <c r="H771" t="s">
        <v>72</v>
      </c>
      <c r="I771" t="s">
        <v>96</v>
      </c>
      <c r="J771" t="s">
        <v>73</v>
      </c>
      <c r="K771">
        <v>2</v>
      </c>
      <c r="L771">
        <v>1461.61</v>
      </c>
      <c r="M771">
        <v>0.15</v>
      </c>
    </row>
    <row r="772" spans="1:13" x14ac:dyDescent="0.25">
      <c r="A772" t="s">
        <v>3152</v>
      </c>
      <c r="B772" t="s">
        <v>3153</v>
      </c>
      <c r="C772" t="s">
        <v>3154</v>
      </c>
      <c r="D772" t="s">
        <v>3155</v>
      </c>
      <c r="E772" t="s">
        <v>78</v>
      </c>
      <c r="F772" t="s">
        <v>40</v>
      </c>
      <c r="G772" t="s">
        <v>565</v>
      </c>
      <c r="H772" t="s">
        <v>32</v>
      </c>
      <c r="I772" t="s">
        <v>51</v>
      </c>
      <c r="J772" t="s">
        <v>59</v>
      </c>
      <c r="K772">
        <v>7</v>
      </c>
      <c r="L772">
        <v>885.33</v>
      </c>
      <c r="M772">
        <v>0.2</v>
      </c>
    </row>
    <row r="773" spans="1:13" x14ac:dyDescent="0.25">
      <c r="A773" t="s">
        <v>3156</v>
      </c>
      <c r="B773" t="s">
        <v>3157</v>
      </c>
      <c r="C773" t="s">
        <v>3158</v>
      </c>
      <c r="D773" t="s">
        <v>3159</v>
      </c>
      <c r="E773" t="s">
        <v>149</v>
      </c>
      <c r="F773" t="s">
        <v>84</v>
      </c>
      <c r="G773" t="s">
        <v>205</v>
      </c>
      <c r="H773" t="s">
        <v>32</v>
      </c>
      <c r="I773" t="s">
        <v>51</v>
      </c>
      <c r="J773" t="s">
        <v>34</v>
      </c>
      <c r="K773">
        <v>8</v>
      </c>
      <c r="L773">
        <v>1480.73</v>
      </c>
      <c r="M773">
        <v>0</v>
      </c>
    </row>
    <row r="774" spans="1:13" x14ac:dyDescent="0.25">
      <c r="A774" t="s">
        <v>3160</v>
      </c>
      <c r="B774" t="s">
        <v>3161</v>
      </c>
      <c r="C774" t="s">
        <v>3162</v>
      </c>
      <c r="D774" t="s">
        <v>3163</v>
      </c>
      <c r="E774" t="s">
        <v>149</v>
      </c>
      <c r="F774" t="s">
        <v>30</v>
      </c>
      <c r="G774" t="s">
        <v>31</v>
      </c>
      <c r="H774" t="s">
        <v>42</v>
      </c>
      <c r="I774" t="s">
        <v>43</v>
      </c>
      <c r="J774" t="s">
        <v>126</v>
      </c>
      <c r="K774">
        <v>3</v>
      </c>
      <c r="L774">
        <v>571.36</v>
      </c>
      <c r="M774">
        <v>0</v>
      </c>
    </row>
    <row r="775" spans="1:13" x14ac:dyDescent="0.25">
      <c r="A775" t="s">
        <v>3164</v>
      </c>
      <c r="B775" t="s">
        <v>3165</v>
      </c>
      <c r="C775" t="s">
        <v>3166</v>
      </c>
      <c r="D775" t="s">
        <v>3167</v>
      </c>
      <c r="E775" t="s">
        <v>39</v>
      </c>
      <c r="F775" t="s">
        <v>56</v>
      </c>
      <c r="G775" t="s">
        <v>95</v>
      </c>
      <c r="H775" t="s">
        <v>42</v>
      </c>
      <c r="I775" t="s">
        <v>96</v>
      </c>
      <c r="J775" t="s">
        <v>126</v>
      </c>
      <c r="K775">
        <v>4</v>
      </c>
      <c r="L775">
        <v>1216.6300000000001</v>
      </c>
      <c r="M775">
        <v>0.05</v>
      </c>
    </row>
    <row r="776" spans="1:13" x14ac:dyDescent="0.25">
      <c r="A776" t="s">
        <v>3168</v>
      </c>
      <c r="B776" t="s">
        <v>3169</v>
      </c>
      <c r="C776" t="s">
        <v>3170</v>
      </c>
      <c r="D776" t="s">
        <v>3171</v>
      </c>
      <c r="E776" t="s">
        <v>116</v>
      </c>
      <c r="F776" t="s">
        <v>49</v>
      </c>
      <c r="G776" t="s">
        <v>117</v>
      </c>
      <c r="H776" t="s">
        <v>72</v>
      </c>
      <c r="I776" t="s">
        <v>96</v>
      </c>
      <c r="J776" t="s">
        <v>34</v>
      </c>
      <c r="K776">
        <v>6</v>
      </c>
      <c r="L776">
        <v>425.99</v>
      </c>
      <c r="M776">
        <v>0</v>
      </c>
    </row>
    <row r="777" spans="1:13" x14ac:dyDescent="0.25">
      <c r="A777" t="s">
        <v>3172</v>
      </c>
      <c r="B777" t="s">
        <v>3173</v>
      </c>
      <c r="C777" t="s">
        <v>3174</v>
      </c>
      <c r="D777" t="s">
        <v>3175</v>
      </c>
      <c r="E777" t="s">
        <v>29</v>
      </c>
      <c r="F777" t="s">
        <v>56</v>
      </c>
      <c r="G777" t="s">
        <v>111</v>
      </c>
      <c r="H777" t="s">
        <v>72</v>
      </c>
      <c r="I777" t="s">
        <v>33</v>
      </c>
      <c r="J777" t="s">
        <v>126</v>
      </c>
      <c r="K777">
        <v>1</v>
      </c>
      <c r="L777">
        <v>1186.97</v>
      </c>
      <c r="M777">
        <v>0</v>
      </c>
    </row>
    <row r="778" spans="1:13" x14ac:dyDescent="0.25">
      <c r="A778" t="s">
        <v>3176</v>
      </c>
      <c r="B778" t="s">
        <v>3177</v>
      </c>
      <c r="C778" t="s">
        <v>3178</v>
      </c>
      <c r="D778" t="s">
        <v>3179</v>
      </c>
      <c r="E778" t="s">
        <v>29</v>
      </c>
      <c r="F778" t="s">
        <v>49</v>
      </c>
      <c r="G778" t="s">
        <v>226</v>
      </c>
      <c r="H778" t="s">
        <v>58</v>
      </c>
      <c r="I778" t="s">
        <v>66</v>
      </c>
      <c r="J778" t="s">
        <v>59</v>
      </c>
      <c r="K778">
        <v>10</v>
      </c>
      <c r="L778">
        <v>1139.01</v>
      </c>
      <c r="M778">
        <v>0.1</v>
      </c>
    </row>
    <row r="779" spans="1:13" x14ac:dyDescent="0.25">
      <c r="A779" t="s">
        <v>3180</v>
      </c>
      <c r="B779" t="s">
        <v>3181</v>
      </c>
      <c r="C779" t="s">
        <v>3182</v>
      </c>
      <c r="D779" t="s">
        <v>3183</v>
      </c>
      <c r="E779" t="s">
        <v>149</v>
      </c>
      <c r="F779" t="s">
        <v>49</v>
      </c>
      <c r="G779" t="s">
        <v>259</v>
      </c>
      <c r="H779" t="s">
        <v>32</v>
      </c>
      <c r="I779" t="s">
        <v>51</v>
      </c>
      <c r="J779" t="s">
        <v>34</v>
      </c>
      <c r="K779">
        <v>6</v>
      </c>
      <c r="L779">
        <v>100</v>
      </c>
      <c r="M779">
        <v>0.05</v>
      </c>
    </row>
    <row r="780" spans="1:13" x14ac:dyDescent="0.25">
      <c r="A780" t="s">
        <v>3184</v>
      </c>
      <c r="B780" t="s">
        <v>3185</v>
      </c>
      <c r="C780" t="s">
        <v>3186</v>
      </c>
      <c r="D780" t="s">
        <v>3187</v>
      </c>
      <c r="E780" t="s">
        <v>116</v>
      </c>
      <c r="F780" t="s">
        <v>40</v>
      </c>
      <c r="G780" t="s">
        <v>315</v>
      </c>
      <c r="H780" t="s">
        <v>42</v>
      </c>
      <c r="I780" t="s">
        <v>33</v>
      </c>
      <c r="J780" t="s">
        <v>34</v>
      </c>
      <c r="K780">
        <v>4</v>
      </c>
      <c r="L780">
        <v>1427.33</v>
      </c>
      <c r="M780">
        <v>0.05</v>
      </c>
    </row>
    <row r="781" spans="1:13" x14ac:dyDescent="0.25">
      <c r="A781" t="s">
        <v>3188</v>
      </c>
      <c r="B781" t="s">
        <v>3189</v>
      </c>
      <c r="C781" t="s">
        <v>3190</v>
      </c>
      <c r="D781" t="s">
        <v>3191</v>
      </c>
      <c r="E781" t="s">
        <v>64</v>
      </c>
      <c r="F781" t="s">
        <v>84</v>
      </c>
      <c r="G781" t="s">
        <v>205</v>
      </c>
      <c r="H781" t="s">
        <v>58</v>
      </c>
      <c r="I781" t="s">
        <v>96</v>
      </c>
      <c r="J781" t="s">
        <v>73</v>
      </c>
      <c r="K781">
        <v>1</v>
      </c>
      <c r="L781">
        <v>956.16</v>
      </c>
      <c r="M781">
        <v>0.2</v>
      </c>
    </row>
    <row r="782" spans="1:13" x14ac:dyDescent="0.25">
      <c r="A782" t="s">
        <v>3192</v>
      </c>
      <c r="B782" t="s">
        <v>3193</v>
      </c>
      <c r="C782" t="s">
        <v>3194</v>
      </c>
      <c r="D782" t="s">
        <v>3195</v>
      </c>
      <c r="E782" t="s">
        <v>83</v>
      </c>
      <c r="F782" t="s">
        <v>56</v>
      </c>
      <c r="G782" t="s">
        <v>190</v>
      </c>
      <c r="H782" t="s">
        <v>32</v>
      </c>
      <c r="I782" t="s">
        <v>96</v>
      </c>
      <c r="J782" t="s">
        <v>59</v>
      </c>
      <c r="K782">
        <v>8</v>
      </c>
      <c r="L782">
        <v>650.46</v>
      </c>
      <c r="M782">
        <v>0.2</v>
      </c>
    </row>
    <row r="783" spans="1:13" x14ac:dyDescent="0.25">
      <c r="A783" t="s">
        <v>3196</v>
      </c>
      <c r="B783" t="s">
        <v>3197</v>
      </c>
      <c r="C783" t="s">
        <v>3198</v>
      </c>
      <c r="D783" t="s">
        <v>3199</v>
      </c>
      <c r="E783" t="s">
        <v>78</v>
      </c>
      <c r="F783" t="s">
        <v>40</v>
      </c>
      <c r="G783" t="s">
        <v>41</v>
      </c>
      <c r="H783" t="s">
        <v>58</v>
      </c>
      <c r="I783" t="s">
        <v>33</v>
      </c>
      <c r="J783" t="s">
        <v>34</v>
      </c>
      <c r="K783">
        <v>8</v>
      </c>
      <c r="L783">
        <v>62.14</v>
      </c>
      <c r="M783">
        <v>0</v>
      </c>
    </row>
    <row r="784" spans="1:13" x14ac:dyDescent="0.25">
      <c r="A784" t="s">
        <v>3200</v>
      </c>
      <c r="B784" t="s">
        <v>3201</v>
      </c>
      <c r="C784" t="s">
        <v>3202</v>
      </c>
      <c r="D784" t="s">
        <v>3203</v>
      </c>
      <c r="E784" t="s">
        <v>78</v>
      </c>
      <c r="F784" t="s">
        <v>30</v>
      </c>
      <c r="G784" t="s">
        <v>31</v>
      </c>
      <c r="H784" t="s">
        <v>42</v>
      </c>
      <c r="I784" t="s">
        <v>51</v>
      </c>
      <c r="J784" t="s">
        <v>73</v>
      </c>
      <c r="K784">
        <v>2</v>
      </c>
      <c r="L784">
        <v>329.29</v>
      </c>
      <c r="M784">
        <v>0</v>
      </c>
    </row>
    <row r="785" spans="1:13" x14ac:dyDescent="0.25">
      <c r="A785" t="s">
        <v>3204</v>
      </c>
      <c r="B785" t="s">
        <v>3205</v>
      </c>
      <c r="C785" t="s">
        <v>3206</v>
      </c>
      <c r="D785" t="s">
        <v>3207</v>
      </c>
      <c r="E785" t="s">
        <v>29</v>
      </c>
      <c r="F785" t="s">
        <v>49</v>
      </c>
      <c r="G785" t="s">
        <v>117</v>
      </c>
      <c r="H785" t="s">
        <v>42</v>
      </c>
      <c r="I785" t="s">
        <v>51</v>
      </c>
      <c r="J785" t="s">
        <v>59</v>
      </c>
      <c r="K785">
        <v>9</v>
      </c>
      <c r="L785">
        <v>1003.23</v>
      </c>
      <c r="M785">
        <v>0.2</v>
      </c>
    </row>
    <row r="786" spans="1:13" x14ac:dyDescent="0.25">
      <c r="A786" t="s">
        <v>3208</v>
      </c>
      <c r="B786" t="s">
        <v>3209</v>
      </c>
      <c r="C786" t="s">
        <v>3210</v>
      </c>
      <c r="D786" t="s">
        <v>3211</v>
      </c>
      <c r="E786" t="s">
        <v>71</v>
      </c>
      <c r="F786" t="s">
        <v>49</v>
      </c>
      <c r="G786" t="s">
        <v>226</v>
      </c>
      <c r="H786" t="s">
        <v>72</v>
      </c>
      <c r="I786" t="s">
        <v>43</v>
      </c>
      <c r="J786" t="s">
        <v>59</v>
      </c>
      <c r="K786">
        <v>9</v>
      </c>
      <c r="L786">
        <v>986.07</v>
      </c>
      <c r="M786">
        <v>0.1</v>
      </c>
    </row>
    <row r="787" spans="1:13" x14ac:dyDescent="0.25">
      <c r="A787" t="s">
        <v>3212</v>
      </c>
      <c r="B787" t="s">
        <v>3213</v>
      </c>
      <c r="C787" t="s">
        <v>3214</v>
      </c>
      <c r="D787" t="s">
        <v>3215</v>
      </c>
      <c r="E787" t="s">
        <v>116</v>
      </c>
      <c r="F787" t="s">
        <v>84</v>
      </c>
      <c r="G787" t="s">
        <v>90</v>
      </c>
      <c r="H787" t="s">
        <v>58</v>
      </c>
      <c r="I787" t="s">
        <v>43</v>
      </c>
      <c r="J787" t="s">
        <v>59</v>
      </c>
      <c r="K787">
        <v>2</v>
      </c>
      <c r="L787">
        <v>1406.76</v>
      </c>
      <c r="M787">
        <v>0.15</v>
      </c>
    </row>
    <row r="788" spans="1:13" x14ac:dyDescent="0.25">
      <c r="A788" t="s">
        <v>3216</v>
      </c>
      <c r="B788" t="s">
        <v>3217</v>
      </c>
      <c r="C788" t="s">
        <v>3218</v>
      </c>
      <c r="D788" t="s">
        <v>3219</v>
      </c>
      <c r="E788" t="s">
        <v>29</v>
      </c>
      <c r="F788" t="s">
        <v>56</v>
      </c>
      <c r="G788" t="s">
        <v>111</v>
      </c>
      <c r="H788" t="s">
        <v>58</v>
      </c>
      <c r="I788" t="s">
        <v>66</v>
      </c>
      <c r="J788" t="s">
        <v>73</v>
      </c>
      <c r="K788">
        <v>7</v>
      </c>
      <c r="L788">
        <v>810.37</v>
      </c>
      <c r="M788">
        <v>0.1</v>
      </c>
    </row>
    <row r="789" spans="1:13" x14ac:dyDescent="0.25">
      <c r="A789" t="s">
        <v>3220</v>
      </c>
      <c r="B789" t="s">
        <v>3221</v>
      </c>
      <c r="C789" t="s">
        <v>3222</v>
      </c>
      <c r="D789" t="s">
        <v>3223</v>
      </c>
      <c r="E789" t="s">
        <v>39</v>
      </c>
      <c r="F789" t="s">
        <v>56</v>
      </c>
      <c r="G789" t="s">
        <v>57</v>
      </c>
      <c r="H789" t="s">
        <v>72</v>
      </c>
      <c r="I789" t="s">
        <v>66</v>
      </c>
      <c r="J789" t="s">
        <v>73</v>
      </c>
      <c r="K789">
        <v>8</v>
      </c>
      <c r="L789">
        <v>28.64</v>
      </c>
      <c r="M789">
        <v>0.05</v>
      </c>
    </row>
    <row r="790" spans="1:13" x14ac:dyDescent="0.25">
      <c r="A790" t="s">
        <v>3224</v>
      </c>
      <c r="B790" t="s">
        <v>3225</v>
      </c>
      <c r="C790" t="s">
        <v>3226</v>
      </c>
      <c r="D790" t="s">
        <v>3227</v>
      </c>
      <c r="E790" t="s">
        <v>83</v>
      </c>
      <c r="F790" t="s">
        <v>84</v>
      </c>
      <c r="G790" t="s">
        <v>85</v>
      </c>
      <c r="H790" t="s">
        <v>58</v>
      </c>
      <c r="I790" t="s">
        <v>66</v>
      </c>
      <c r="J790" t="s">
        <v>126</v>
      </c>
      <c r="K790">
        <v>1</v>
      </c>
      <c r="L790">
        <v>1124.3800000000001</v>
      </c>
      <c r="M790">
        <v>0.15</v>
      </c>
    </row>
    <row r="791" spans="1:13" x14ac:dyDescent="0.25">
      <c r="A791" t="s">
        <v>3228</v>
      </c>
      <c r="B791" t="s">
        <v>3229</v>
      </c>
      <c r="C791" t="s">
        <v>3230</v>
      </c>
      <c r="D791" t="s">
        <v>3231</v>
      </c>
      <c r="E791" t="s">
        <v>39</v>
      </c>
      <c r="F791" t="s">
        <v>49</v>
      </c>
      <c r="G791" t="s">
        <v>50</v>
      </c>
      <c r="H791" t="s">
        <v>58</v>
      </c>
      <c r="I791" t="s">
        <v>43</v>
      </c>
      <c r="J791" t="s">
        <v>73</v>
      </c>
      <c r="K791">
        <v>7</v>
      </c>
      <c r="L791">
        <v>1060.6500000000001</v>
      </c>
      <c r="M791">
        <v>0</v>
      </c>
    </row>
    <row r="792" spans="1:13" x14ac:dyDescent="0.25">
      <c r="A792" t="s">
        <v>3232</v>
      </c>
      <c r="B792" t="s">
        <v>3233</v>
      </c>
      <c r="C792" t="s">
        <v>3234</v>
      </c>
      <c r="D792" t="s">
        <v>3235</v>
      </c>
      <c r="E792" t="s">
        <v>48</v>
      </c>
      <c r="F792" t="s">
        <v>49</v>
      </c>
      <c r="G792" t="s">
        <v>226</v>
      </c>
      <c r="H792" t="s">
        <v>42</v>
      </c>
      <c r="I792" t="s">
        <v>66</v>
      </c>
      <c r="J792" t="s">
        <v>34</v>
      </c>
      <c r="K792">
        <v>3</v>
      </c>
      <c r="L792">
        <v>459.17</v>
      </c>
      <c r="M792">
        <v>0</v>
      </c>
    </row>
    <row r="793" spans="1:13" x14ac:dyDescent="0.25">
      <c r="A793" t="s">
        <v>3236</v>
      </c>
      <c r="B793" t="s">
        <v>3237</v>
      </c>
      <c r="C793" t="s">
        <v>3238</v>
      </c>
      <c r="D793" t="s">
        <v>3239</v>
      </c>
      <c r="E793" t="s">
        <v>149</v>
      </c>
      <c r="F793" t="s">
        <v>49</v>
      </c>
      <c r="G793" t="s">
        <v>117</v>
      </c>
      <c r="H793" t="s">
        <v>72</v>
      </c>
      <c r="I793" t="s">
        <v>33</v>
      </c>
      <c r="J793" t="s">
        <v>34</v>
      </c>
      <c r="K793">
        <v>5</v>
      </c>
      <c r="L793">
        <v>798.85</v>
      </c>
      <c r="M793">
        <v>0.05</v>
      </c>
    </row>
    <row r="794" spans="1:13" x14ac:dyDescent="0.25">
      <c r="A794" t="s">
        <v>3240</v>
      </c>
      <c r="B794" t="s">
        <v>3241</v>
      </c>
      <c r="C794" t="s">
        <v>3242</v>
      </c>
      <c r="D794" t="s">
        <v>3243</v>
      </c>
      <c r="E794" t="s">
        <v>83</v>
      </c>
      <c r="F794" t="s">
        <v>56</v>
      </c>
      <c r="G794" t="s">
        <v>190</v>
      </c>
      <c r="H794" t="s">
        <v>72</v>
      </c>
      <c r="I794" t="s">
        <v>96</v>
      </c>
      <c r="J794" t="s">
        <v>34</v>
      </c>
      <c r="K794">
        <v>3</v>
      </c>
      <c r="L794">
        <v>694.44</v>
      </c>
      <c r="M794">
        <v>0.15</v>
      </c>
    </row>
    <row r="795" spans="1:13" x14ac:dyDescent="0.25">
      <c r="A795" t="s">
        <v>3244</v>
      </c>
      <c r="B795" t="s">
        <v>3245</v>
      </c>
      <c r="C795" t="s">
        <v>3246</v>
      </c>
      <c r="D795" t="s">
        <v>3247</v>
      </c>
      <c r="E795" t="s">
        <v>39</v>
      </c>
      <c r="F795" t="s">
        <v>56</v>
      </c>
      <c r="G795" t="s">
        <v>190</v>
      </c>
      <c r="H795" t="s">
        <v>72</v>
      </c>
      <c r="I795" t="s">
        <v>96</v>
      </c>
      <c r="J795" t="s">
        <v>34</v>
      </c>
      <c r="K795">
        <v>10</v>
      </c>
      <c r="L795">
        <v>1093.05</v>
      </c>
      <c r="M795">
        <v>0</v>
      </c>
    </row>
    <row r="796" spans="1:13" x14ac:dyDescent="0.25">
      <c r="A796" t="s">
        <v>3248</v>
      </c>
      <c r="B796" t="s">
        <v>3249</v>
      </c>
      <c r="C796" t="s">
        <v>3250</v>
      </c>
      <c r="D796" t="s">
        <v>3251</v>
      </c>
      <c r="E796" t="s">
        <v>71</v>
      </c>
      <c r="F796" t="s">
        <v>49</v>
      </c>
      <c r="G796" t="s">
        <v>286</v>
      </c>
      <c r="H796" t="s">
        <v>58</v>
      </c>
      <c r="I796" t="s">
        <v>33</v>
      </c>
      <c r="J796" t="s">
        <v>34</v>
      </c>
      <c r="K796">
        <v>2</v>
      </c>
      <c r="L796">
        <v>1418.42</v>
      </c>
      <c r="M796">
        <v>0.15</v>
      </c>
    </row>
    <row r="797" spans="1:13" x14ac:dyDescent="0.25">
      <c r="A797" t="s">
        <v>3252</v>
      </c>
      <c r="B797" t="s">
        <v>3253</v>
      </c>
      <c r="C797" t="s">
        <v>3254</v>
      </c>
      <c r="D797" t="s">
        <v>3255</v>
      </c>
      <c r="E797" t="s">
        <v>39</v>
      </c>
      <c r="F797" t="s">
        <v>56</v>
      </c>
      <c r="G797" t="s">
        <v>101</v>
      </c>
      <c r="H797" t="s">
        <v>72</v>
      </c>
      <c r="I797" t="s">
        <v>96</v>
      </c>
      <c r="J797" t="s">
        <v>126</v>
      </c>
      <c r="K797">
        <v>8</v>
      </c>
      <c r="L797">
        <v>372.67</v>
      </c>
      <c r="M797">
        <v>0.05</v>
      </c>
    </row>
    <row r="798" spans="1:13" x14ac:dyDescent="0.25">
      <c r="A798" t="s">
        <v>3256</v>
      </c>
      <c r="B798" t="s">
        <v>3257</v>
      </c>
      <c r="C798" t="s">
        <v>3258</v>
      </c>
      <c r="D798" t="s">
        <v>3259</v>
      </c>
      <c r="E798" t="s">
        <v>200</v>
      </c>
      <c r="F798" t="s">
        <v>84</v>
      </c>
      <c r="G798" t="s">
        <v>205</v>
      </c>
      <c r="H798" t="s">
        <v>42</v>
      </c>
      <c r="I798" t="s">
        <v>33</v>
      </c>
      <c r="J798" t="s">
        <v>73</v>
      </c>
      <c r="K798">
        <v>2</v>
      </c>
      <c r="L798">
        <v>193.2</v>
      </c>
      <c r="M798">
        <v>0</v>
      </c>
    </row>
    <row r="799" spans="1:13" x14ac:dyDescent="0.25">
      <c r="A799" t="s">
        <v>3260</v>
      </c>
      <c r="B799" t="s">
        <v>3261</v>
      </c>
      <c r="C799" t="s">
        <v>3262</v>
      </c>
      <c r="D799" t="s">
        <v>3263</v>
      </c>
      <c r="E799" t="s">
        <v>200</v>
      </c>
      <c r="F799" t="s">
        <v>84</v>
      </c>
      <c r="G799" t="s">
        <v>205</v>
      </c>
      <c r="H799" t="s">
        <v>42</v>
      </c>
      <c r="I799" t="s">
        <v>96</v>
      </c>
      <c r="J799" t="s">
        <v>59</v>
      </c>
      <c r="K799">
        <v>3</v>
      </c>
      <c r="L799">
        <v>1194.5999999999999</v>
      </c>
      <c r="M799">
        <v>0.1</v>
      </c>
    </row>
    <row r="800" spans="1:13" x14ac:dyDescent="0.25">
      <c r="A800" t="s">
        <v>3264</v>
      </c>
      <c r="B800" t="s">
        <v>3265</v>
      </c>
      <c r="C800" t="s">
        <v>3266</v>
      </c>
      <c r="D800" t="s">
        <v>3267</v>
      </c>
      <c r="E800" t="s">
        <v>116</v>
      </c>
      <c r="F800" t="s">
        <v>40</v>
      </c>
      <c r="G800" t="s">
        <v>106</v>
      </c>
      <c r="H800" t="s">
        <v>42</v>
      </c>
      <c r="I800" t="s">
        <v>51</v>
      </c>
      <c r="J800" t="s">
        <v>126</v>
      </c>
      <c r="K800">
        <v>1</v>
      </c>
      <c r="L800">
        <v>616.91999999999996</v>
      </c>
      <c r="M800">
        <v>0.1</v>
      </c>
    </row>
    <row r="801" spans="1:13" x14ac:dyDescent="0.25">
      <c r="A801" t="s">
        <v>3268</v>
      </c>
      <c r="B801" t="s">
        <v>3269</v>
      </c>
      <c r="C801" t="s">
        <v>3270</v>
      </c>
      <c r="D801" t="s">
        <v>3271</v>
      </c>
      <c r="E801" t="s">
        <v>83</v>
      </c>
      <c r="F801" t="s">
        <v>30</v>
      </c>
      <c r="G801" t="s">
        <v>269</v>
      </c>
      <c r="H801" t="s">
        <v>32</v>
      </c>
      <c r="I801" t="s">
        <v>43</v>
      </c>
      <c r="J801" t="s">
        <v>73</v>
      </c>
      <c r="K801">
        <v>6</v>
      </c>
      <c r="L801">
        <v>838.76</v>
      </c>
      <c r="M801">
        <v>0</v>
      </c>
    </row>
    <row r="802" spans="1:13" x14ac:dyDescent="0.25">
      <c r="A802" t="s">
        <v>3272</v>
      </c>
      <c r="B802" t="s">
        <v>3273</v>
      </c>
      <c r="C802" t="s">
        <v>3274</v>
      </c>
      <c r="D802" t="s">
        <v>3275</v>
      </c>
      <c r="E802" t="s">
        <v>29</v>
      </c>
      <c r="F802" t="s">
        <v>56</v>
      </c>
      <c r="G802" t="s">
        <v>101</v>
      </c>
      <c r="H802" t="s">
        <v>58</v>
      </c>
      <c r="I802" t="s">
        <v>33</v>
      </c>
      <c r="J802" t="s">
        <v>73</v>
      </c>
      <c r="K802">
        <v>9</v>
      </c>
      <c r="L802">
        <v>1470.19</v>
      </c>
      <c r="M802">
        <v>0.05</v>
      </c>
    </row>
    <row r="803" spans="1:13" x14ac:dyDescent="0.25">
      <c r="A803" t="s">
        <v>3276</v>
      </c>
      <c r="B803" t="s">
        <v>3277</v>
      </c>
      <c r="C803" t="s">
        <v>3278</v>
      </c>
      <c r="D803" t="s">
        <v>3279</v>
      </c>
      <c r="E803" t="s">
        <v>29</v>
      </c>
      <c r="F803" t="s">
        <v>56</v>
      </c>
      <c r="G803" t="s">
        <v>111</v>
      </c>
      <c r="H803" t="s">
        <v>42</v>
      </c>
      <c r="I803" t="s">
        <v>43</v>
      </c>
      <c r="J803" t="s">
        <v>34</v>
      </c>
      <c r="K803">
        <v>5</v>
      </c>
      <c r="L803">
        <v>1358.36</v>
      </c>
      <c r="M803">
        <v>0.2</v>
      </c>
    </row>
    <row r="804" spans="1:13" x14ac:dyDescent="0.25">
      <c r="A804" t="s">
        <v>3280</v>
      </c>
      <c r="B804" t="s">
        <v>3281</v>
      </c>
      <c r="C804" t="s">
        <v>3282</v>
      </c>
      <c r="D804" t="s">
        <v>3283</v>
      </c>
      <c r="E804" t="s">
        <v>78</v>
      </c>
      <c r="F804" t="s">
        <v>40</v>
      </c>
      <c r="G804" t="s">
        <v>106</v>
      </c>
      <c r="H804" t="s">
        <v>32</v>
      </c>
      <c r="I804" t="s">
        <v>43</v>
      </c>
      <c r="J804" t="s">
        <v>73</v>
      </c>
      <c r="K804">
        <v>1</v>
      </c>
      <c r="L804">
        <v>1036.58</v>
      </c>
      <c r="M804">
        <v>0</v>
      </c>
    </row>
    <row r="805" spans="1:13" x14ac:dyDescent="0.25">
      <c r="A805" t="s">
        <v>3284</v>
      </c>
      <c r="B805" t="s">
        <v>3285</v>
      </c>
      <c r="C805" t="s">
        <v>3286</v>
      </c>
      <c r="D805" t="s">
        <v>3287</v>
      </c>
      <c r="E805" t="s">
        <v>78</v>
      </c>
      <c r="F805" t="s">
        <v>30</v>
      </c>
      <c r="G805" t="s">
        <v>139</v>
      </c>
      <c r="H805" t="s">
        <v>42</v>
      </c>
      <c r="I805" t="s">
        <v>51</v>
      </c>
      <c r="J805" t="s">
        <v>59</v>
      </c>
      <c r="K805">
        <v>3</v>
      </c>
      <c r="L805">
        <v>548.21</v>
      </c>
      <c r="M805">
        <v>0.2</v>
      </c>
    </row>
    <row r="806" spans="1:13" x14ac:dyDescent="0.25">
      <c r="A806" t="s">
        <v>3288</v>
      </c>
      <c r="B806" t="s">
        <v>3289</v>
      </c>
      <c r="C806" t="s">
        <v>3290</v>
      </c>
      <c r="D806" t="s">
        <v>3291</v>
      </c>
      <c r="E806" t="s">
        <v>48</v>
      </c>
      <c r="F806" t="s">
        <v>49</v>
      </c>
      <c r="G806" t="s">
        <v>226</v>
      </c>
      <c r="H806" t="s">
        <v>42</v>
      </c>
      <c r="I806" t="s">
        <v>43</v>
      </c>
      <c r="J806" t="s">
        <v>73</v>
      </c>
      <c r="K806">
        <v>5</v>
      </c>
      <c r="L806">
        <v>138.63</v>
      </c>
      <c r="M806">
        <v>0.2</v>
      </c>
    </row>
    <row r="807" spans="1:13" x14ac:dyDescent="0.25">
      <c r="A807" t="s">
        <v>3292</v>
      </c>
      <c r="B807" t="s">
        <v>3293</v>
      </c>
      <c r="C807" t="s">
        <v>3294</v>
      </c>
      <c r="D807" t="s">
        <v>3295</v>
      </c>
      <c r="E807" t="s">
        <v>39</v>
      </c>
      <c r="F807" t="s">
        <v>84</v>
      </c>
      <c r="G807" t="s">
        <v>90</v>
      </c>
      <c r="H807" t="s">
        <v>72</v>
      </c>
      <c r="I807" t="s">
        <v>96</v>
      </c>
      <c r="J807" t="s">
        <v>73</v>
      </c>
      <c r="K807">
        <v>9</v>
      </c>
      <c r="L807">
        <v>991.12</v>
      </c>
      <c r="M807">
        <v>0.15</v>
      </c>
    </row>
    <row r="808" spans="1:13" x14ac:dyDescent="0.25">
      <c r="A808" t="s">
        <v>3296</v>
      </c>
      <c r="B808" t="s">
        <v>3297</v>
      </c>
      <c r="C808" t="s">
        <v>3298</v>
      </c>
      <c r="D808" t="s">
        <v>3299</v>
      </c>
      <c r="E808" t="s">
        <v>83</v>
      </c>
      <c r="F808" t="s">
        <v>30</v>
      </c>
      <c r="G808" t="s">
        <v>269</v>
      </c>
      <c r="H808" t="s">
        <v>42</v>
      </c>
      <c r="I808" t="s">
        <v>51</v>
      </c>
      <c r="J808" t="s">
        <v>59</v>
      </c>
      <c r="K808">
        <v>9</v>
      </c>
      <c r="L808">
        <v>416.14</v>
      </c>
      <c r="M808">
        <v>0</v>
      </c>
    </row>
    <row r="809" spans="1:13" x14ac:dyDescent="0.25">
      <c r="A809" t="s">
        <v>3300</v>
      </c>
      <c r="B809" t="s">
        <v>3301</v>
      </c>
      <c r="C809" t="s">
        <v>3302</v>
      </c>
      <c r="D809" t="s">
        <v>3303</v>
      </c>
      <c r="E809" t="s">
        <v>71</v>
      </c>
      <c r="F809" t="s">
        <v>84</v>
      </c>
      <c r="G809" t="s">
        <v>85</v>
      </c>
      <c r="H809" t="s">
        <v>32</v>
      </c>
      <c r="I809" t="s">
        <v>51</v>
      </c>
      <c r="J809" t="s">
        <v>34</v>
      </c>
      <c r="K809">
        <v>4</v>
      </c>
      <c r="L809">
        <v>1305.25</v>
      </c>
      <c r="M809">
        <v>0.05</v>
      </c>
    </row>
    <row r="810" spans="1:13" x14ac:dyDescent="0.25">
      <c r="A810" t="s">
        <v>3304</v>
      </c>
      <c r="B810" t="s">
        <v>3305</v>
      </c>
      <c r="C810" t="s">
        <v>3306</v>
      </c>
      <c r="D810" t="s">
        <v>3307</v>
      </c>
      <c r="E810" t="s">
        <v>116</v>
      </c>
      <c r="F810" t="s">
        <v>30</v>
      </c>
      <c r="G810" t="s">
        <v>139</v>
      </c>
      <c r="H810" t="s">
        <v>42</v>
      </c>
      <c r="I810" t="s">
        <v>51</v>
      </c>
      <c r="J810" t="s">
        <v>59</v>
      </c>
      <c r="K810">
        <v>5</v>
      </c>
      <c r="L810">
        <v>1096.57</v>
      </c>
      <c r="M810">
        <v>0.15</v>
      </c>
    </row>
    <row r="811" spans="1:13" x14ac:dyDescent="0.25">
      <c r="A811" t="s">
        <v>3308</v>
      </c>
      <c r="B811" t="s">
        <v>3309</v>
      </c>
      <c r="C811" t="s">
        <v>3310</v>
      </c>
      <c r="D811" t="s">
        <v>3311</v>
      </c>
      <c r="E811" t="s">
        <v>83</v>
      </c>
      <c r="F811" t="s">
        <v>56</v>
      </c>
      <c r="G811" t="s">
        <v>101</v>
      </c>
      <c r="H811" t="s">
        <v>58</v>
      </c>
      <c r="I811" t="s">
        <v>33</v>
      </c>
      <c r="J811" t="s">
        <v>34</v>
      </c>
      <c r="K811">
        <v>7</v>
      </c>
      <c r="L811">
        <v>268.56</v>
      </c>
      <c r="M811">
        <v>0</v>
      </c>
    </row>
    <row r="812" spans="1:13" x14ac:dyDescent="0.25">
      <c r="A812" t="s">
        <v>3312</v>
      </c>
      <c r="B812" t="s">
        <v>3313</v>
      </c>
      <c r="C812" t="s">
        <v>3314</v>
      </c>
      <c r="D812" t="s">
        <v>3315</v>
      </c>
      <c r="E812" t="s">
        <v>64</v>
      </c>
      <c r="F812" t="s">
        <v>40</v>
      </c>
      <c r="G812" t="s">
        <v>106</v>
      </c>
      <c r="H812" t="s">
        <v>58</v>
      </c>
      <c r="I812" t="s">
        <v>51</v>
      </c>
      <c r="J812" t="s">
        <v>59</v>
      </c>
      <c r="K812">
        <v>3</v>
      </c>
      <c r="L812">
        <v>991.48</v>
      </c>
      <c r="M812">
        <v>0.1</v>
      </c>
    </row>
    <row r="813" spans="1:13" x14ac:dyDescent="0.25">
      <c r="A813" t="s">
        <v>3316</v>
      </c>
      <c r="B813" t="s">
        <v>3317</v>
      </c>
      <c r="C813" t="s">
        <v>3318</v>
      </c>
      <c r="D813" t="s">
        <v>3319</v>
      </c>
      <c r="E813" t="s">
        <v>200</v>
      </c>
      <c r="F813" t="s">
        <v>30</v>
      </c>
      <c r="G813" t="s">
        <v>195</v>
      </c>
      <c r="H813" t="s">
        <v>58</v>
      </c>
      <c r="I813" t="s">
        <v>66</v>
      </c>
      <c r="J813" t="s">
        <v>34</v>
      </c>
      <c r="K813">
        <v>8</v>
      </c>
      <c r="L813">
        <v>1479.58</v>
      </c>
      <c r="M813">
        <v>0.15</v>
      </c>
    </row>
    <row r="814" spans="1:13" x14ac:dyDescent="0.25">
      <c r="A814" t="s">
        <v>3320</v>
      </c>
      <c r="B814" t="s">
        <v>3321</v>
      </c>
      <c r="C814" t="s">
        <v>3322</v>
      </c>
      <c r="D814" t="s">
        <v>3323</v>
      </c>
      <c r="E814" t="s">
        <v>116</v>
      </c>
      <c r="F814" t="s">
        <v>84</v>
      </c>
      <c r="G814" t="s">
        <v>264</v>
      </c>
      <c r="H814" t="s">
        <v>32</v>
      </c>
      <c r="I814" t="s">
        <v>51</v>
      </c>
      <c r="J814" t="s">
        <v>73</v>
      </c>
      <c r="K814">
        <v>2</v>
      </c>
      <c r="L814">
        <v>1159.31</v>
      </c>
      <c r="M814">
        <v>0.2</v>
      </c>
    </row>
    <row r="815" spans="1:13" x14ac:dyDescent="0.25">
      <c r="A815" t="s">
        <v>3324</v>
      </c>
      <c r="B815" t="s">
        <v>3325</v>
      </c>
      <c r="C815" t="s">
        <v>3326</v>
      </c>
      <c r="D815" t="s">
        <v>3327</v>
      </c>
      <c r="E815" t="s">
        <v>116</v>
      </c>
      <c r="F815" t="s">
        <v>84</v>
      </c>
      <c r="G815" t="s">
        <v>90</v>
      </c>
      <c r="H815" t="s">
        <v>72</v>
      </c>
      <c r="I815" t="s">
        <v>96</v>
      </c>
      <c r="J815" t="s">
        <v>34</v>
      </c>
      <c r="K815">
        <v>1</v>
      </c>
      <c r="L815">
        <v>1395.44</v>
      </c>
      <c r="M815">
        <v>0.1</v>
      </c>
    </row>
    <row r="816" spans="1:13" x14ac:dyDescent="0.25">
      <c r="A816" t="s">
        <v>3328</v>
      </c>
      <c r="B816" t="s">
        <v>3329</v>
      </c>
      <c r="C816" t="s">
        <v>3330</v>
      </c>
      <c r="D816" t="s">
        <v>3331</v>
      </c>
      <c r="E816" t="s">
        <v>78</v>
      </c>
      <c r="F816" t="s">
        <v>56</v>
      </c>
      <c r="G816" t="s">
        <v>57</v>
      </c>
      <c r="H816" t="s">
        <v>32</v>
      </c>
      <c r="I816" t="s">
        <v>96</v>
      </c>
      <c r="J816" t="s">
        <v>59</v>
      </c>
      <c r="K816">
        <v>4</v>
      </c>
      <c r="L816">
        <v>35.64</v>
      </c>
      <c r="M816">
        <v>0.2</v>
      </c>
    </row>
    <row r="817" spans="1:13" x14ac:dyDescent="0.25">
      <c r="A817" t="s">
        <v>3332</v>
      </c>
      <c r="B817" t="s">
        <v>3333</v>
      </c>
      <c r="C817" t="s">
        <v>3334</v>
      </c>
      <c r="D817" t="s">
        <v>3335</v>
      </c>
      <c r="E817" t="s">
        <v>83</v>
      </c>
      <c r="F817" t="s">
        <v>56</v>
      </c>
      <c r="G817" t="s">
        <v>111</v>
      </c>
      <c r="H817" t="s">
        <v>72</v>
      </c>
      <c r="I817" t="s">
        <v>43</v>
      </c>
      <c r="J817" t="s">
        <v>126</v>
      </c>
      <c r="K817">
        <v>3</v>
      </c>
      <c r="L817">
        <v>681.25</v>
      </c>
      <c r="M817">
        <v>0.2</v>
      </c>
    </row>
    <row r="818" spans="1:13" x14ac:dyDescent="0.25">
      <c r="A818" t="s">
        <v>3336</v>
      </c>
      <c r="B818" t="s">
        <v>3337</v>
      </c>
      <c r="C818" t="s">
        <v>3338</v>
      </c>
      <c r="D818" t="s">
        <v>3339</v>
      </c>
      <c r="E818" t="s">
        <v>64</v>
      </c>
      <c r="F818" t="s">
        <v>49</v>
      </c>
      <c r="G818" t="s">
        <v>226</v>
      </c>
      <c r="H818" t="s">
        <v>58</v>
      </c>
      <c r="I818" t="s">
        <v>43</v>
      </c>
      <c r="J818" t="s">
        <v>126</v>
      </c>
      <c r="K818">
        <v>6</v>
      </c>
      <c r="L818">
        <v>577.96</v>
      </c>
      <c r="M818">
        <v>0</v>
      </c>
    </row>
    <row r="819" spans="1:13" x14ac:dyDescent="0.25">
      <c r="A819" t="s">
        <v>3340</v>
      </c>
      <c r="B819" t="s">
        <v>3341</v>
      </c>
      <c r="C819" t="s">
        <v>3342</v>
      </c>
      <c r="D819" t="s">
        <v>3343</v>
      </c>
      <c r="E819" t="s">
        <v>29</v>
      </c>
      <c r="F819" t="s">
        <v>30</v>
      </c>
      <c r="G819" t="s">
        <v>269</v>
      </c>
      <c r="H819" t="s">
        <v>72</v>
      </c>
      <c r="I819" t="s">
        <v>66</v>
      </c>
      <c r="J819" t="s">
        <v>126</v>
      </c>
      <c r="K819">
        <v>10</v>
      </c>
      <c r="L819">
        <v>1110.97</v>
      </c>
      <c r="M819">
        <v>0.1</v>
      </c>
    </row>
    <row r="820" spans="1:13" x14ac:dyDescent="0.25">
      <c r="A820" t="s">
        <v>3344</v>
      </c>
      <c r="B820" t="s">
        <v>3345</v>
      </c>
      <c r="C820" t="s">
        <v>3346</v>
      </c>
      <c r="D820" t="s">
        <v>3347</v>
      </c>
      <c r="E820" t="s">
        <v>71</v>
      </c>
      <c r="F820" t="s">
        <v>56</v>
      </c>
      <c r="G820" t="s">
        <v>111</v>
      </c>
      <c r="H820" t="s">
        <v>32</v>
      </c>
      <c r="I820" t="s">
        <v>51</v>
      </c>
      <c r="J820" t="s">
        <v>59</v>
      </c>
      <c r="K820">
        <v>5</v>
      </c>
      <c r="L820">
        <v>698.63</v>
      </c>
      <c r="M820">
        <v>0.05</v>
      </c>
    </row>
    <row r="821" spans="1:13" x14ac:dyDescent="0.25">
      <c r="A821" t="s">
        <v>3348</v>
      </c>
      <c r="B821" t="s">
        <v>3349</v>
      </c>
      <c r="C821" t="s">
        <v>3350</v>
      </c>
      <c r="D821" t="s">
        <v>3351</v>
      </c>
      <c r="E821" t="s">
        <v>116</v>
      </c>
      <c r="F821" t="s">
        <v>49</v>
      </c>
      <c r="G821" t="s">
        <v>226</v>
      </c>
      <c r="H821" t="s">
        <v>72</v>
      </c>
      <c r="I821" t="s">
        <v>96</v>
      </c>
      <c r="J821" t="s">
        <v>126</v>
      </c>
      <c r="K821">
        <v>9</v>
      </c>
      <c r="L821">
        <v>308.35000000000002</v>
      </c>
      <c r="M821">
        <v>0.15</v>
      </c>
    </row>
    <row r="822" spans="1:13" x14ac:dyDescent="0.25">
      <c r="A822" t="s">
        <v>3352</v>
      </c>
      <c r="B822" t="s">
        <v>3353</v>
      </c>
      <c r="C822" t="s">
        <v>3354</v>
      </c>
      <c r="D822" t="s">
        <v>3355</v>
      </c>
      <c r="E822" t="s">
        <v>29</v>
      </c>
      <c r="F822" t="s">
        <v>30</v>
      </c>
      <c r="G822" t="s">
        <v>195</v>
      </c>
      <c r="H822" t="s">
        <v>42</v>
      </c>
      <c r="I822" t="s">
        <v>43</v>
      </c>
      <c r="J822" t="s">
        <v>59</v>
      </c>
      <c r="K822">
        <v>5</v>
      </c>
      <c r="L822">
        <v>602.11</v>
      </c>
      <c r="M822">
        <v>0.05</v>
      </c>
    </row>
    <row r="823" spans="1:13" x14ac:dyDescent="0.25">
      <c r="A823" t="s">
        <v>3356</v>
      </c>
      <c r="B823" t="s">
        <v>3357</v>
      </c>
      <c r="C823" t="s">
        <v>3358</v>
      </c>
      <c r="D823" t="s">
        <v>3359</v>
      </c>
      <c r="E823" t="s">
        <v>200</v>
      </c>
      <c r="F823" t="s">
        <v>30</v>
      </c>
      <c r="G823" t="s">
        <v>31</v>
      </c>
      <c r="H823" t="s">
        <v>58</v>
      </c>
      <c r="I823" t="s">
        <v>43</v>
      </c>
      <c r="J823" t="s">
        <v>126</v>
      </c>
      <c r="K823">
        <v>7</v>
      </c>
      <c r="L823">
        <v>540.29999999999995</v>
      </c>
      <c r="M823">
        <v>0</v>
      </c>
    </row>
    <row r="824" spans="1:13" x14ac:dyDescent="0.25">
      <c r="A824" t="s">
        <v>3360</v>
      </c>
      <c r="B824" t="s">
        <v>3361</v>
      </c>
      <c r="C824" t="s">
        <v>3362</v>
      </c>
      <c r="D824" t="s">
        <v>3363</v>
      </c>
      <c r="E824" t="s">
        <v>149</v>
      </c>
      <c r="F824" t="s">
        <v>49</v>
      </c>
      <c r="G824" t="s">
        <v>50</v>
      </c>
      <c r="H824" t="s">
        <v>72</v>
      </c>
      <c r="I824" t="s">
        <v>96</v>
      </c>
      <c r="J824" t="s">
        <v>59</v>
      </c>
      <c r="K824">
        <v>3</v>
      </c>
      <c r="L824">
        <v>1352.98</v>
      </c>
      <c r="M824">
        <v>0.2</v>
      </c>
    </row>
    <row r="825" spans="1:13" x14ac:dyDescent="0.25">
      <c r="A825" t="s">
        <v>3364</v>
      </c>
      <c r="B825" t="s">
        <v>3365</v>
      </c>
      <c r="C825" t="s">
        <v>3366</v>
      </c>
      <c r="D825" t="s">
        <v>3367</v>
      </c>
      <c r="E825" t="s">
        <v>200</v>
      </c>
      <c r="F825" t="s">
        <v>30</v>
      </c>
      <c r="G825" t="s">
        <v>65</v>
      </c>
      <c r="H825" t="s">
        <v>42</v>
      </c>
      <c r="I825" t="s">
        <v>43</v>
      </c>
      <c r="J825" t="s">
        <v>126</v>
      </c>
      <c r="K825">
        <v>7</v>
      </c>
      <c r="L825">
        <v>1130.3699999999999</v>
      </c>
      <c r="M825">
        <v>0.15</v>
      </c>
    </row>
    <row r="826" spans="1:13" x14ac:dyDescent="0.25">
      <c r="A826" t="s">
        <v>3368</v>
      </c>
      <c r="B826" t="s">
        <v>3369</v>
      </c>
      <c r="C826" t="s">
        <v>3370</v>
      </c>
      <c r="D826" t="s">
        <v>3371</v>
      </c>
      <c r="E826" t="s">
        <v>71</v>
      </c>
      <c r="F826" t="s">
        <v>40</v>
      </c>
      <c r="G826" t="s">
        <v>144</v>
      </c>
      <c r="H826" t="s">
        <v>58</v>
      </c>
      <c r="I826" t="s">
        <v>96</v>
      </c>
      <c r="J826" t="s">
        <v>126</v>
      </c>
      <c r="K826">
        <v>4</v>
      </c>
      <c r="L826">
        <v>1154.57</v>
      </c>
      <c r="M826">
        <v>0</v>
      </c>
    </row>
    <row r="827" spans="1:13" x14ac:dyDescent="0.25">
      <c r="A827" t="s">
        <v>3372</v>
      </c>
      <c r="B827" t="s">
        <v>3373</v>
      </c>
      <c r="C827" t="s">
        <v>3374</v>
      </c>
      <c r="D827" t="s">
        <v>3375</v>
      </c>
      <c r="E827" t="s">
        <v>200</v>
      </c>
      <c r="F827" t="s">
        <v>56</v>
      </c>
      <c r="G827" t="s">
        <v>57</v>
      </c>
      <c r="H827" t="s">
        <v>72</v>
      </c>
      <c r="I827" t="s">
        <v>43</v>
      </c>
      <c r="J827" t="s">
        <v>59</v>
      </c>
      <c r="K827">
        <v>3</v>
      </c>
      <c r="L827">
        <v>382.9</v>
      </c>
      <c r="M827">
        <v>0.2</v>
      </c>
    </row>
    <row r="828" spans="1:13" x14ac:dyDescent="0.25">
      <c r="A828" t="s">
        <v>3376</v>
      </c>
      <c r="B828" t="s">
        <v>3377</v>
      </c>
      <c r="C828" t="s">
        <v>419</v>
      </c>
      <c r="D828" t="s">
        <v>3378</v>
      </c>
      <c r="E828" t="s">
        <v>149</v>
      </c>
      <c r="F828" t="s">
        <v>30</v>
      </c>
      <c r="G828" t="s">
        <v>195</v>
      </c>
      <c r="H828" t="s">
        <v>72</v>
      </c>
      <c r="I828" t="s">
        <v>43</v>
      </c>
      <c r="J828" t="s">
        <v>73</v>
      </c>
      <c r="K828">
        <v>2</v>
      </c>
      <c r="L828">
        <v>1064.0899999999999</v>
      </c>
      <c r="M828">
        <v>0.2</v>
      </c>
    </row>
    <row r="829" spans="1:13" x14ac:dyDescent="0.25">
      <c r="A829" t="s">
        <v>3379</v>
      </c>
      <c r="B829" t="s">
        <v>3380</v>
      </c>
      <c r="C829" t="s">
        <v>3381</v>
      </c>
      <c r="D829" t="s">
        <v>3382</v>
      </c>
      <c r="E829" t="s">
        <v>64</v>
      </c>
      <c r="F829" t="s">
        <v>84</v>
      </c>
      <c r="G829" t="s">
        <v>85</v>
      </c>
      <c r="H829" t="s">
        <v>72</v>
      </c>
      <c r="I829" t="s">
        <v>51</v>
      </c>
      <c r="J829" t="s">
        <v>126</v>
      </c>
      <c r="K829">
        <v>7</v>
      </c>
      <c r="L829">
        <v>1394.71</v>
      </c>
      <c r="M829">
        <v>0</v>
      </c>
    </row>
    <row r="830" spans="1:13" x14ac:dyDescent="0.25">
      <c r="A830" t="s">
        <v>3383</v>
      </c>
      <c r="B830" t="s">
        <v>3384</v>
      </c>
      <c r="C830" t="s">
        <v>3385</v>
      </c>
      <c r="D830" t="s">
        <v>3386</v>
      </c>
      <c r="E830" t="s">
        <v>39</v>
      </c>
      <c r="F830" t="s">
        <v>30</v>
      </c>
      <c r="G830" t="s">
        <v>65</v>
      </c>
      <c r="H830" t="s">
        <v>42</v>
      </c>
      <c r="I830" t="s">
        <v>51</v>
      </c>
      <c r="J830" t="s">
        <v>59</v>
      </c>
      <c r="K830">
        <v>1</v>
      </c>
      <c r="L830">
        <v>647.72</v>
      </c>
      <c r="M830">
        <v>0.15</v>
      </c>
    </row>
    <row r="831" spans="1:13" x14ac:dyDescent="0.25">
      <c r="A831" t="s">
        <v>3387</v>
      </c>
      <c r="B831" t="s">
        <v>3388</v>
      </c>
      <c r="C831" t="s">
        <v>3389</v>
      </c>
      <c r="D831" t="s">
        <v>3390</v>
      </c>
      <c r="E831" t="s">
        <v>71</v>
      </c>
      <c r="F831" t="s">
        <v>49</v>
      </c>
      <c r="G831" t="s">
        <v>286</v>
      </c>
      <c r="H831" t="s">
        <v>32</v>
      </c>
      <c r="I831" t="s">
        <v>51</v>
      </c>
      <c r="J831" t="s">
        <v>126</v>
      </c>
      <c r="K831">
        <v>1</v>
      </c>
      <c r="L831">
        <v>489.96</v>
      </c>
      <c r="M831">
        <v>0</v>
      </c>
    </row>
    <row r="832" spans="1:13" x14ac:dyDescent="0.25">
      <c r="A832" t="s">
        <v>3391</v>
      </c>
      <c r="B832" t="s">
        <v>3392</v>
      </c>
      <c r="C832" t="s">
        <v>3393</v>
      </c>
      <c r="D832" t="s">
        <v>3394</v>
      </c>
      <c r="E832" t="s">
        <v>200</v>
      </c>
      <c r="F832" t="s">
        <v>84</v>
      </c>
      <c r="G832" t="s">
        <v>90</v>
      </c>
      <c r="H832" t="s">
        <v>42</v>
      </c>
      <c r="I832" t="s">
        <v>66</v>
      </c>
      <c r="J832" t="s">
        <v>59</v>
      </c>
      <c r="K832">
        <v>3</v>
      </c>
      <c r="L832">
        <v>164.63</v>
      </c>
      <c r="M832">
        <v>0.05</v>
      </c>
    </row>
    <row r="833" spans="1:13" x14ac:dyDescent="0.25">
      <c r="A833" t="s">
        <v>3395</v>
      </c>
      <c r="B833" t="s">
        <v>3396</v>
      </c>
      <c r="C833" t="s">
        <v>3397</v>
      </c>
      <c r="D833" t="s">
        <v>3398</v>
      </c>
      <c r="E833" t="s">
        <v>64</v>
      </c>
      <c r="F833" t="s">
        <v>40</v>
      </c>
      <c r="G833" t="s">
        <v>106</v>
      </c>
      <c r="H833" t="s">
        <v>58</v>
      </c>
      <c r="I833" t="s">
        <v>43</v>
      </c>
      <c r="J833" t="s">
        <v>59</v>
      </c>
      <c r="K833">
        <v>6</v>
      </c>
      <c r="L833">
        <v>506.85</v>
      </c>
      <c r="M833">
        <v>0.2</v>
      </c>
    </row>
    <row r="834" spans="1:13" x14ac:dyDescent="0.25">
      <c r="A834" t="s">
        <v>3399</v>
      </c>
      <c r="B834" t="s">
        <v>3400</v>
      </c>
      <c r="C834" t="s">
        <v>3401</v>
      </c>
      <c r="D834" t="s">
        <v>3402</v>
      </c>
      <c r="E834" t="s">
        <v>116</v>
      </c>
      <c r="F834" t="s">
        <v>30</v>
      </c>
      <c r="G834" t="s">
        <v>139</v>
      </c>
      <c r="H834" t="s">
        <v>72</v>
      </c>
      <c r="I834" t="s">
        <v>43</v>
      </c>
      <c r="J834" t="s">
        <v>34</v>
      </c>
      <c r="K834">
        <v>10</v>
      </c>
      <c r="L834">
        <v>193.73</v>
      </c>
      <c r="M834">
        <v>0.2</v>
      </c>
    </row>
    <row r="835" spans="1:13" x14ac:dyDescent="0.25">
      <c r="A835" t="s">
        <v>3403</v>
      </c>
      <c r="B835" t="s">
        <v>3404</v>
      </c>
      <c r="C835" t="s">
        <v>3405</v>
      </c>
      <c r="D835" t="s">
        <v>3406</v>
      </c>
      <c r="E835" t="s">
        <v>71</v>
      </c>
      <c r="F835" t="s">
        <v>84</v>
      </c>
      <c r="G835" t="s">
        <v>264</v>
      </c>
      <c r="H835" t="s">
        <v>72</v>
      </c>
      <c r="I835" t="s">
        <v>51</v>
      </c>
      <c r="J835" t="s">
        <v>73</v>
      </c>
      <c r="K835">
        <v>4</v>
      </c>
      <c r="L835">
        <v>1484.62</v>
      </c>
      <c r="M835">
        <v>0.15</v>
      </c>
    </row>
    <row r="836" spans="1:13" x14ac:dyDescent="0.25">
      <c r="A836" t="s">
        <v>3407</v>
      </c>
      <c r="B836" t="s">
        <v>3408</v>
      </c>
      <c r="C836" t="s">
        <v>3409</v>
      </c>
      <c r="D836" t="s">
        <v>3410</v>
      </c>
      <c r="E836" t="s">
        <v>29</v>
      </c>
      <c r="F836" t="s">
        <v>40</v>
      </c>
      <c r="G836" t="s">
        <v>315</v>
      </c>
      <c r="H836" t="s">
        <v>32</v>
      </c>
      <c r="I836" t="s">
        <v>96</v>
      </c>
      <c r="J836" t="s">
        <v>126</v>
      </c>
      <c r="K836">
        <v>8</v>
      </c>
      <c r="L836">
        <v>1343.95</v>
      </c>
      <c r="M836">
        <v>0.2</v>
      </c>
    </row>
    <row r="837" spans="1:13" x14ac:dyDescent="0.25">
      <c r="A837" t="s">
        <v>3411</v>
      </c>
      <c r="B837" t="s">
        <v>3412</v>
      </c>
      <c r="C837" t="s">
        <v>3413</v>
      </c>
      <c r="D837" t="s">
        <v>3414</v>
      </c>
      <c r="E837" t="s">
        <v>78</v>
      </c>
      <c r="F837" t="s">
        <v>56</v>
      </c>
      <c r="G837" t="s">
        <v>95</v>
      </c>
      <c r="H837" t="s">
        <v>32</v>
      </c>
      <c r="I837" t="s">
        <v>33</v>
      </c>
      <c r="J837" t="s">
        <v>126</v>
      </c>
      <c r="K837">
        <v>3</v>
      </c>
      <c r="L837">
        <v>904.74</v>
      </c>
      <c r="M837">
        <v>0.05</v>
      </c>
    </row>
    <row r="838" spans="1:13" x14ac:dyDescent="0.25">
      <c r="A838" t="s">
        <v>3415</v>
      </c>
      <c r="B838" t="s">
        <v>3416</v>
      </c>
      <c r="C838" t="s">
        <v>3417</v>
      </c>
      <c r="D838" t="s">
        <v>3418</v>
      </c>
      <c r="E838" t="s">
        <v>78</v>
      </c>
      <c r="F838" t="s">
        <v>40</v>
      </c>
      <c r="G838" t="s">
        <v>144</v>
      </c>
      <c r="H838" t="s">
        <v>42</v>
      </c>
      <c r="I838" t="s">
        <v>96</v>
      </c>
      <c r="J838" t="s">
        <v>59</v>
      </c>
      <c r="K838">
        <v>9</v>
      </c>
      <c r="L838">
        <v>260.79000000000002</v>
      </c>
      <c r="M838">
        <v>0.1</v>
      </c>
    </row>
    <row r="839" spans="1:13" x14ac:dyDescent="0.25">
      <c r="A839" t="s">
        <v>3419</v>
      </c>
      <c r="B839" t="s">
        <v>3420</v>
      </c>
      <c r="C839" t="s">
        <v>3421</v>
      </c>
      <c r="D839" t="s">
        <v>3422</v>
      </c>
      <c r="E839" t="s">
        <v>83</v>
      </c>
      <c r="F839" t="s">
        <v>30</v>
      </c>
      <c r="G839" t="s">
        <v>139</v>
      </c>
      <c r="H839" t="s">
        <v>58</v>
      </c>
      <c r="I839" t="s">
        <v>66</v>
      </c>
      <c r="J839" t="s">
        <v>73</v>
      </c>
      <c r="K839">
        <v>9</v>
      </c>
      <c r="L839">
        <v>1049.6300000000001</v>
      </c>
      <c r="M839">
        <v>0.1</v>
      </c>
    </row>
    <row r="840" spans="1:13" x14ac:dyDescent="0.25">
      <c r="A840" t="s">
        <v>3423</v>
      </c>
      <c r="B840" t="s">
        <v>3424</v>
      </c>
      <c r="C840" t="s">
        <v>3425</v>
      </c>
      <c r="D840" t="s">
        <v>3426</v>
      </c>
      <c r="E840" t="s">
        <v>116</v>
      </c>
      <c r="F840" t="s">
        <v>30</v>
      </c>
      <c r="G840" t="s">
        <v>31</v>
      </c>
      <c r="H840" t="s">
        <v>32</v>
      </c>
      <c r="I840" t="s">
        <v>43</v>
      </c>
      <c r="J840" t="s">
        <v>59</v>
      </c>
      <c r="K840">
        <v>4</v>
      </c>
      <c r="L840">
        <v>82.73</v>
      </c>
      <c r="M840">
        <v>0.05</v>
      </c>
    </row>
    <row r="841" spans="1:13" x14ac:dyDescent="0.25">
      <c r="A841" t="s">
        <v>3427</v>
      </c>
      <c r="B841" t="s">
        <v>3428</v>
      </c>
      <c r="C841" t="s">
        <v>3429</v>
      </c>
      <c r="D841" t="s">
        <v>3430</v>
      </c>
      <c r="E841" t="s">
        <v>39</v>
      </c>
      <c r="F841" t="s">
        <v>30</v>
      </c>
      <c r="G841" t="s">
        <v>139</v>
      </c>
      <c r="H841" t="s">
        <v>58</v>
      </c>
      <c r="I841" t="s">
        <v>66</v>
      </c>
      <c r="J841" t="s">
        <v>126</v>
      </c>
      <c r="K841">
        <v>6</v>
      </c>
      <c r="L841">
        <v>187.53</v>
      </c>
      <c r="M841">
        <v>0.2</v>
      </c>
    </row>
    <row r="842" spans="1:13" x14ac:dyDescent="0.25">
      <c r="A842" t="s">
        <v>3431</v>
      </c>
      <c r="B842" t="s">
        <v>3432</v>
      </c>
      <c r="C842" t="s">
        <v>3433</v>
      </c>
      <c r="D842" t="s">
        <v>3434</v>
      </c>
      <c r="E842" t="s">
        <v>149</v>
      </c>
      <c r="F842" t="s">
        <v>40</v>
      </c>
      <c r="G842" t="s">
        <v>315</v>
      </c>
      <c r="H842" t="s">
        <v>32</v>
      </c>
      <c r="I842" t="s">
        <v>66</v>
      </c>
      <c r="J842" t="s">
        <v>73</v>
      </c>
      <c r="K842">
        <v>1</v>
      </c>
      <c r="L842">
        <v>497.08</v>
      </c>
      <c r="M842">
        <v>0.2</v>
      </c>
    </row>
    <row r="843" spans="1:13" x14ac:dyDescent="0.25">
      <c r="A843" t="s">
        <v>3435</v>
      </c>
      <c r="B843" t="s">
        <v>3436</v>
      </c>
      <c r="C843" t="s">
        <v>3437</v>
      </c>
      <c r="D843" t="s">
        <v>3438</v>
      </c>
      <c r="E843" t="s">
        <v>78</v>
      </c>
      <c r="F843" t="s">
        <v>40</v>
      </c>
      <c r="G843" t="s">
        <v>144</v>
      </c>
      <c r="H843" t="s">
        <v>58</v>
      </c>
      <c r="I843" t="s">
        <v>33</v>
      </c>
      <c r="J843" t="s">
        <v>73</v>
      </c>
      <c r="K843">
        <v>7</v>
      </c>
      <c r="L843">
        <v>1088.06</v>
      </c>
      <c r="M843">
        <v>0.2</v>
      </c>
    </row>
    <row r="844" spans="1:13" x14ac:dyDescent="0.25">
      <c r="A844" t="s">
        <v>3439</v>
      </c>
      <c r="B844" t="s">
        <v>3440</v>
      </c>
      <c r="C844" t="s">
        <v>3441</v>
      </c>
      <c r="D844" t="s">
        <v>3442</v>
      </c>
      <c r="E844" t="s">
        <v>39</v>
      </c>
      <c r="F844" t="s">
        <v>40</v>
      </c>
      <c r="G844" t="s">
        <v>565</v>
      </c>
      <c r="H844" t="s">
        <v>42</v>
      </c>
      <c r="I844" t="s">
        <v>66</v>
      </c>
      <c r="J844" t="s">
        <v>73</v>
      </c>
      <c r="K844">
        <v>4</v>
      </c>
      <c r="L844">
        <v>246.13</v>
      </c>
      <c r="M844">
        <v>0.2</v>
      </c>
    </row>
    <row r="845" spans="1:13" x14ac:dyDescent="0.25">
      <c r="A845" t="s">
        <v>3443</v>
      </c>
      <c r="B845" t="s">
        <v>3444</v>
      </c>
      <c r="C845" t="s">
        <v>3445</v>
      </c>
      <c r="D845" t="s">
        <v>3446</v>
      </c>
      <c r="E845" t="s">
        <v>200</v>
      </c>
      <c r="F845" t="s">
        <v>30</v>
      </c>
      <c r="G845" t="s">
        <v>31</v>
      </c>
      <c r="H845" t="s">
        <v>72</v>
      </c>
      <c r="I845" t="s">
        <v>66</v>
      </c>
      <c r="J845" t="s">
        <v>126</v>
      </c>
      <c r="K845">
        <v>8</v>
      </c>
      <c r="L845">
        <v>295.45999999999998</v>
      </c>
      <c r="M845">
        <v>0.2</v>
      </c>
    </row>
    <row r="846" spans="1:13" x14ac:dyDescent="0.25">
      <c r="A846" t="s">
        <v>3447</v>
      </c>
      <c r="B846" t="s">
        <v>3448</v>
      </c>
      <c r="C846" t="s">
        <v>3449</v>
      </c>
      <c r="D846" t="s">
        <v>3450</v>
      </c>
      <c r="E846" t="s">
        <v>149</v>
      </c>
      <c r="F846" t="s">
        <v>40</v>
      </c>
      <c r="G846" t="s">
        <v>106</v>
      </c>
      <c r="H846" t="s">
        <v>72</v>
      </c>
      <c r="I846" t="s">
        <v>96</v>
      </c>
      <c r="J846" t="s">
        <v>34</v>
      </c>
      <c r="K846">
        <v>2</v>
      </c>
      <c r="L846">
        <v>118.14</v>
      </c>
      <c r="M846">
        <v>0.1</v>
      </c>
    </row>
    <row r="847" spans="1:13" x14ac:dyDescent="0.25">
      <c r="A847" t="s">
        <v>3451</v>
      </c>
      <c r="B847" t="s">
        <v>3452</v>
      </c>
      <c r="C847" t="s">
        <v>3453</v>
      </c>
      <c r="D847" t="s">
        <v>3454</v>
      </c>
      <c r="E847" t="s">
        <v>64</v>
      </c>
      <c r="F847" t="s">
        <v>40</v>
      </c>
      <c r="G847" t="s">
        <v>144</v>
      </c>
      <c r="H847" t="s">
        <v>32</v>
      </c>
      <c r="I847" t="s">
        <v>51</v>
      </c>
      <c r="J847" t="s">
        <v>73</v>
      </c>
      <c r="K847">
        <v>1</v>
      </c>
      <c r="L847">
        <v>576.14</v>
      </c>
      <c r="M847">
        <v>0</v>
      </c>
    </row>
    <row r="848" spans="1:13" x14ac:dyDescent="0.25">
      <c r="A848" t="s">
        <v>3455</v>
      </c>
      <c r="B848" t="s">
        <v>3456</v>
      </c>
      <c r="C848" t="s">
        <v>3457</v>
      </c>
      <c r="D848" t="s">
        <v>3458</v>
      </c>
      <c r="E848" t="s">
        <v>83</v>
      </c>
      <c r="F848" t="s">
        <v>56</v>
      </c>
      <c r="G848" t="s">
        <v>101</v>
      </c>
      <c r="H848" t="s">
        <v>58</v>
      </c>
      <c r="I848" t="s">
        <v>51</v>
      </c>
      <c r="J848" t="s">
        <v>73</v>
      </c>
      <c r="K848">
        <v>2</v>
      </c>
      <c r="L848">
        <v>1437.06</v>
      </c>
      <c r="M848">
        <v>0.15</v>
      </c>
    </row>
    <row r="849" spans="1:13" x14ac:dyDescent="0.25">
      <c r="A849" t="s">
        <v>3459</v>
      </c>
      <c r="B849" t="s">
        <v>3460</v>
      </c>
      <c r="C849" t="s">
        <v>3461</v>
      </c>
      <c r="D849" t="s">
        <v>3462</v>
      </c>
      <c r="E849" t="s">
        <v>200</v>
      </c>
      <c r="F849" t="s">
        <v>30</v>
      </c>
      <c r="G849" t="s">
        <v>65</v>
      </c>
      <c r="H849" t="s">
        <v>32</v>
      </c>
      <c r="I849" t="s">
        <v>33</v>
      </c>
      <c r="J849" t="s">
        <v>59</v>
      </c>
      <c r="K849">
        <v>3</v>
      </c>
      <c r="L849">
        <v>507.66</v>
      </c>
      <c r="M849">
        <v>0</v>
      </c>
    </row>
    <row r="850" spans="1:13" x14ac:dyDescent="0.25">
      <c r="A850" t="s">
        <v>3463</v>
      </c>
      <c r="B850" t="s">
        <v>3464</v>
      </c>
      <c r="C850" t="s">
        <v>3465</v>
      </c>
      <c r="D850" t="s">
        <v>3466</v>
      </c>
      <c r="E850" t="s">
        <v>64</v>
      </c>
      <c r="F850" t="s">
        <v>56</v>
      </c>
      <c r="G850" t="s">
        <v>111</v>
      </c>
      <c r="H850" t="s">
        <v>72</v>
      </c>
      <c r="I850" t="s">
        <v>51</v>
      </c>
      <c r="J850" t="s">
        <v>73</v>
      </c>
      <c r="K850">
        <v>9</v>
      </c>
      <c r="L850">
        <v>455.66</v>
      </c>
      <c r="M850">
        <v>0.1</v>
      </c>
    </row>
    <row r="851" spans="1:13" x14ac:dyDescent="0.25">
      <c r="A851" t="s">
        <v>3467</v>
      </c>
      <c r="B851" t="s">
        <v>3468</v>
      </c>
      <c r="C851" t="s">
        <v>3469</v>
      </c>
      <c r="D851" t="s">
        <v>3470</v>
      </c>
      <c r="E851" t="s">
        <v>48</v>
      </c>
      <c r="F851" t="s">
        <v>84</v>
      </c>
      <c r="G851" t="s">
        <v>412</v>
      </c>
      <c r="H851" t="s">
        <v>32</v>
      </c>
      <c r="I851" t="s">
        <v>96</v>
      </c>
      <c r="J851" t="s">
        <v>73</v>
      </c>
      <c r="K851">
        <v>7</v>
      </c>
      <c r="L851">
        <v>350.44</v>
      </c>
      <c r="M851">
        <v>0.2</v>
      </c>
    </row>
    <row r="852" spans="1:13" x14ac:dyDescent="0.25">
      <c r="A852" t="s">
        <v>3471</v>
      </c>
      <c r="B852" t="s">
        <v>3472</v>
      </c>
      <c r="C852" t="s">
        <v>3473</v>
      </c>
      <c r="D852" t="s">
        <v>3474</v>
      </c>
      <c r="E852" t="s">
        <v>71</v>
      </c>
      <c r="F852" t="s">
        <v>56</v>
      </c>
      <c r="G852" t="s">
        <v>111</v>
      </c>
      <c r="H852" t="s">
        <v>32</v>
      </c>
      <c r="I852" t="s">
        <v>33</v>
      </c>
      <c r="J852" t="s">
        <v>73</v>
      </c>
      <c r="K852">
        <v>6</v>
      </c>
      <c r="L852">
        <v>510.58</v>
      </c>
      <c r="M852">
        <v>0</v>
      </c>
    </row>
    <row r="853" spans="1:13" x14ac:dyDescent="0.25">
      <c r="A853" t="s">
        <v>3475</v>
      </c>
      <c r="B853" t="s">
        <v>3476</v>
      </c>
      <c r="C853" t="s">
        <v>3477</v>
      </c>
      <c r="D853" t="s">
        <v>3478</v>
      </c>
      <c r="E853" t="s">
        <v>83</v>
      </c>
      <c r="F853" t="s">
        <v>30</v>
      </c>
      <c r="G853" t="s">
        <v>195</v>
      </c>
      <c r="H853" t="s">
        <v>58</v>
      </c>
      <c r="I853" t="s">
        <v>66</v>
      </c>
      <c r="J853" t="s">
        <v>126</v>
      </c>
      <c r="K853">
        <v>5</v>
      </c>
      <c r="L853">
        <v>238.08</v>
      </c>
      <c r="M853">
        <v>0.15</v>
      </c>
    </row>
    <row r="854" spans="1:13" x14ac:dyDescent="0.25">
      <c r="A854" t="s">
        <v>3479</v>
      </c>
      <c r="B854" t="s">
        <v>3480</v>
      </c>
      <c r="C854" t="s">
        <v>3481</v>
      </c>
      <c r="D854" t="s">
        <v>3482</v>
      </c>
      <c r="E854" t="s">
        <v>29</v>
      </c>
      <c r="F854" t="s">
        <v>56</v>
      </c>
      <c r="G854" t="s">
        <v>101</v>
      </c>
      <c r="H854" t="s">
        <v>72</v>
      </c>
      <c r="I854" t="s">
        <v>66</v>
      </c>
      <c r="J854" t="s">
        <v>73</v>
      </c>
      <c r="K854">
        <v>3</v>
      </c>
      <c r="L854">
        <v>1294.6500000000001</v>
      </c>
      <c r="M854">
        <v>0.2</v>
      </c>
    </row>
    <row r="855" spans="1:13" x14ac:dyDescent="0.25">
      <c r="A855" t="s">
        <v>3483</v>
      </c>
      <c r="B855" t="s">
        <v>3484</v>
      </c>
      <c r="C855" t="s">
        <v>3485</v>
      </c>
      <c r="D855" t="s">
        <v>3486</v>
      </c>
      <c r="E855" t="s">
        <v>200</v>
      </c>
      <c r="F855" t="s">
        <v>56</v>
      </c>
      <c r="G855" t="s">
        <v>101</v>
      </c>
      <c r="H855" t="s">
        <v>32</v>
      </c>
      <c r="I855" t="s">
        <v>66</v>
      </c>
      <c r="J855" t="s">
        <v>73</v>
      </c>
      <c r="K855">
        <v>5</v>
      </c>
      <c r="L855">
        <v>873.1</v>
      </c>
      <c r="M855">
        <v>0</v>
      </c>
    </row>
    <row r="856" spans="1:13" x14ac:dyDescent="0.25">
      <c r="A856" t="s">
        <v>3487</v>
      </c>
      <c r="B856" t="s">
        <v>3488</v>
      </c>
      <c r="C856" t="s">
        <v>3489</v>
      </c>
      <c r="D856" t="s">
        <v>3490</v>
      </c>
      <c r="E856" t="s">
        <v>200</v>
      </c>
      <c r="F856" t="s">
        <v>49</v>
      </c>
      <c r="G856" t="s">
        <v>226</v>
      </c>
      <c r="H856" t="s">
        <v>58</v>
      </c>
      <c r="I856" t="s">
        <v>43</v>
      </c>
      <c r="J856" t="s">
        <v>73</v>
      </c>
      <c r="K856">
        <v>7</v>
      </c>
      <c r="L856">
        <v>1044.73</v>
      </c>
      <c r="M856">
        <v>0.15</v>
      </c>
    </row>
    <row r="857" spans="1:13" x14ac:dyDescent="0.25">
      <c r="A857" t="s">
        <v>3491</v>
      </c>
      <c r="B857" t="s">
        <v>3492</v>
      </c>
      <c r="C857" t="s">
        <v>3493</v>
      </c>
      <c r="D857" t="s">
        <v>3494</v>
      </c>
      <c r="E857" t="s">
        <v>78</v>
      </c>
      <c r="F857" t="s">
        <v>40</v>
      </c>
      <c r="G857" t="s">
        <v>565</v>
      </c>
      <c r="H857" t="s">
        <v>32</v>
      </c>
      <c r="I857" t="s">
        <v>33</v>
      </c>
      <c r="J857" t="s">
        <v>34</v>
      </c>
      <c r="K857">
        <v>4</v>
      </c>
      <c r="L857">
        <v>805.72</v>
      </c>
      <c r="M857">
        <v>0.1</v>
      </c>
    </row>
    <row r="858" spans="1:13" x14ac:dyDescent="0.25">
      <c r="A858" t="s">
        <v>3495</v>
      </c>
      <c r="B858" t="s">
        <v>3496</v>
      </c>
      <c r="C858" t="s">
        <v>3497</v>
      </c>
      <c r="D858" t="s">
        <v>3498</v>
      </c>
      <c r="E858" t="s">
        <v>39</v>
      </c>
      <c r="F858" t="s">
        <v>56</v>
      </c>
      <c r="G858" t="s">
        <v>95</v>
      </c>
      <c r="H858" t="s">
        <v>58</v>
      </c>
      <c r="I858" t="s">
        <v>33</v>
      </c>
      <c r="J858" t="s">
        <v>34</v>
      </c>
      <c r="K858">
        <v>4</v>
      </c>
      <c r="L858">
        <v>552.14</v>
      </c>
      <c r="M858">
        <v>0</v>
      </c>
    </row>
    <row r="859" spans="1:13" x14ac:dyDescent="0.25">
      <c r="A859" t="s">
        <v>3499</v>
      </c>
      <c r="B859" t="s">
        <v>3500</v>
      </c>
      <c r="C859" t="s">
        <v>3501</v>
      </c>
      <c r="D859" t="s">
        <v>3502</v>
      </c>
      <c r="E859" t="s">
        <v>71</v>
      </c>
      <c r="F859" t="s">
        <v>84</v>
      </c>
      <c r="G859" t="s">
        <v>85</v>
      </c>
      <c r="H859" t="s">
        <v>42</v>
      </c>
      <c r="I859" t="s">
        <v>43</v>
      </c>
      <c r="J859" t="s">
        <v>73</v>
      </c>
      <c r="K859">
        <v>3</v>
      </c>
      <c r="L859">
        <v>452.63</v>
      </c>
      <c r="M859">
        <v>0.15</v>
      </c>
    </row>
    <row r="860" spans="1:13" x14ac:dyDescent="0.25">
      <c r="A860" t="s">
        <v>3503</v>
      </c>
      <c r="B860" t="s">
        <v>3504</v>
      </c>
      <c r="C860" t="s">
        <v>3505</v>
      </c>
      <c r="D860" t="s">
        <v>3506</v>
      </c>
      <c r="E860" t="s">
        <v>116</v>
      </c>
      <c r="F860" t="s">
        <v>30</v>
      </c>
      <c r="G860" t="s">
        <v>195</v>
      </c>
      <c r="H860" t="s">
        <v>32</v>
      </c>
      <c r="I860" t="s">
        <v>51</v>
      </c>
      <c r="J860" t="s">
        <v>126</v>
      </c>
      <c r="K860">
        <v>7</v>
      </c>
      <c r="L860">
        <v>1103.6300000000001</v>
      </c>
      <c r="M860">
        <v>0.05</v>
      </c>
    </row>
    <row r="861" spans="1:13" x14ac:dyDescent="0.25">
      <c r="A861" t="s">
        <v>3507</v>
      </c>
      <c r="B861" t="s">
        <v>3508</v>
      </c>
      <c r="C861" t="s">
        <v>3509</v>
      </c>
      <c r="D861" t="s">
        <v>3510</v>
      </c>
      <c r="E861" t="s">
        <v>48</v>
      </c>
      <c r="F861" t="s">
        <v>84</v>
      </c>
      <c r="G861" t="s">
        <v>85</v>
      </c>
      <c r="H861" t="s">
        <v>42</v>
      </c>
      <c r="I861" t="s">
        <v>43</v>
      </c>
      <c r="J861" t="s">
        <v>73</v>
      </c>
      <c r="K861">
        <v>2</v>
      </c>
      <c r="L861">
        <v>132.31</v>
      </c>
      <c r="M861">
        <v>0</v>
      </c>
    </row>
    <row r="862" spans="1:13" x14ac:dyDescent="0.25">
      <c r="A862" t="s">
        <v>3511</v>
      </c>
      <c r="B862" t="s">
        <v>3512</v>
      </c>
      <c r="C862" t="s">
        <v>3513</v>
      </c>
      <c r="D862" t="s">
        <v>3514</v>
      </c>
      <c r="E862" t="s">
        <v>29</v>
      </c>
      <c r="F862" t="s">
        <v>49</v>
      </c>
      <c r="G862" t="s">
        <v>226</v>
      </c>
      <c r="H862" t="s">
        <v>32</v>
      </c>
      <c r="I862" t="s">
        <v>66</v>
      </c>
      <c r="J862" t="s">
        <v>126</v>
      </c>
      <c r="K862">
        <v>8</v>
      </c>
      <c r="L862">
        <v>1088</v>
      </c>
      <c r="M862">
        <v>0.2</v>
      </c>
    </row>
    <row r="863" spans="1:13" x14ac:dyDescent="0.25">
      <c r="A863" t="s">
        <v>3515</v>
      </c>
      <c r="B863" t="s">
        <v>3516</v>
      </c>
      <c r="C863" t="s">
        <v>3517</v>
      </c>
      <c r="D863" t="s">
        <v>3518</v>
      </c>
      <c r="E863" t="s">
        <v>83</v>
      </c>
      <c r="F863" t="s">
        <v>30</v>
      </c>
      <c r="G863" t="s">
        <v>139</v>
      </c>
      <c r="H863" t="s">
        <v>42</v>
      </c>
      <c r="I863" t="s">
        <v>33</v>
      </c>
      <c r="J863" t="s">
        <v>59</v>
      </c>
      <c r="K863">
        <v>7</v>
      </c>
      <c r="L863">
        <v>253.12</v>
      </c>
      <c r="M863">
        <v>0.1</v>
      </c>
    </row>
    <row r="864" spans="1:13" x14ac:dyDescent="0.25">
      <c r="A864" t="s">
        <v>3519</v>
      </c>
      <c r="B864" t="s">
        <v>3520</v>
      </c>
      <c r="C864" t="s">
        <v>3521</v>
      </c>
      <c r="D864" t="s">
        <v>3522</v>
      </c>
      <c r="E864" t="s">
        <v>39</v>
      </c>
      <c r="F864" t="s">
        <v>49</v>
      </c>
      <c r="G864" t="s">
        <v>286</v>
      </c>
      <c r="H864" t="s">
        <v>42</v>
      </c>
      <c r="I864" t="s">
        <v>43</v>
      </c>
      <c r="J864" t="s">
        <v>73</v>
      </c>
      <c r="K864">
        <v>2</v>
      </c>
      <c r="L864">
        <v>418.66</v>
      </c>
      <c r="M864">
        <v>0.15</v>
      </c>
    </row>
    <row r="865" spans="1:13" x14ac:dyDescent="0.25">
      <c r="A865" t="s">
        <v>3523</v>
      </c>
      <c r="B865" t="s">
        <v>3524</v>
      </c>
      <c r="C865" t="s">
        <v>3525</v>
      </c>
      <c r="D865" t="s">
        <v>3526</v>
      </c>
      <c r="E865" t="s">
        <v>149</v>
      </c>
      <c r="F865" t="s">
        <v>30</v>
      </c>
      <c r="G865" t="s">
        <v>139</v>
      </c>
      <c r="H865" t="s">
        <v>42</v>
      </c>
      <c r="I865" t="s">
        <v>96</v>
      </c>
      <c r="J865" t="s">
        <v>59</v>
      </c>
      <c r="K865">
        <v>2</v>
      </c>
      <c r="L865">
        <v>913.55</v>
      </c>
      <c r="M865">
        <v>0.2</v>
      </c>
    </row>
    <row r="866" spans="1:13" x14ac:dyDescent="0.25">
      <c r="A866" t="s">
        <v>3527</v>
      </c>
      <c r="B866" t="s">
        <v>3528</v>
      </c>
      <c r="C866" t="s">
        <v>3529</v>
      </c>
      <c r="D866" t="s">
        <v>3530</v>
      </c>
      <c r="E866" t="s">
        <v>149</v>
      </c>
      <c r="F866" t="s">
        <v>30</v>
      </c>
      <c r="G866" t="s">
        <v>269</v>
      </c>
      <c r="H866" t="s">
        <v>58</v>
      </c>
      <c r="I866" t="s">
        <v>51</v>
      </c>
      <c r="J866" t="s">
        <v>126</v>
      </c>
      <c r="K866">
        <v>7</v>
      </c>
      <c r="L866">
        <v>1207.96</v>
      </c>
      <c r="M866">
        <v>0</v>
      </c>
    </row>
    <row r="867" spans="1:13" x14ac:dyDescent="0.25">
      <c r="A867" t="s">
        <v>3531</v>
      </c>
      <c r="B867" t="s">
        <v>3532</v>
      </c>
      <c r="C867" t="s">
        <v>3533</v>
      </c>
      <c r="D867" t="s">
        <v>3534</v>
      </c>
      <c r="E867" t="s">
        <v>71</v>
      </c>
      <c r="F867" t="s">
        <v>56</v>
      </c>
      <c r="G867" t="s">
        <v>95</v>
      </c>
      <c r="H867" t="s">
        <v>32</v>
      </c>
      <c r="I867" t="s">
        <v>43</v>
      </c>
      <c r="J867" t="s">
        <v>126</v>
      </c>
      <c r="K867">
        <v>9</v>
      </c>
      <c r="L867">
        <v>434.08</v>
      </c>
      <c r="M867">
        <v>0</v>
      </c>
    </row>
    <row r="868" spans="1:13" x14ac:dyDescent="0.25">
      <c r="A868" t="s">
        <v>3535</v>
      </c>
      <c r="B868" t="s">
        <v>3536</v>
      </c>
      <c r="C868" t="s">
        <v>3537</v>
      </c>
      <c r="D868" t="s">
        <v>3538</v>
      </c>
      <c r="E868" t="s">
        <v>64</v>
      </c>
      <c r="F868" t="s">
        <v>30</v>
      </c>
      <c r="G868" t="s">
        <v>65</v>
      </c>
      <c r="H868" t="s">
        <v>32</v>
      </c>
      <c r="I868" t="s">
        <v>33</v>
      </c>
      <c r="J868" t="s">
        <v>34</v>
      </c>
      <c r="K868">
        <v>10</v>
      </c>
      <c r="L868">
        <v>141.28</v>
      </c>
      <c r="M868">
        <v>0.15</v>
      </c>
    </row>
    <row r="869" spans="1:13" x14ac:dyDescent="0.25">
      <c r="A869" t="s">
        <v>3539</v>
      </c>
      <c r="B869" t="s">
        <v>3540</v>
      </c>
      <c r="C869" t="s">
        <v>3541</v>
      </c>
      <c r="D869" t="s">
        <v>3542</v>
      </c>
      <c r="E869" t="s">
        <v>29</v>
      </c>
      <c r="F869" t="s">
        <v>56</v>
      </c>
      <c r="G869" t="s">
        <v>190</v>
      </c>
      <c r="H869" t="s">
        <v>72</v>
      </c>
      <c r="I869" t="s">
        <v>66</v>
      </c>
      <c r="J869" t="s">
        <v>34</v>
      </c>
      <c r="K869">
        <v>7</v>
      </c>
      <c r="L869">
        <v>1131.24</v>
      </c>
      <c r="M869">
        <v>0.15</v>
      </c>
    </row>
    <row r="870" spans="1:13" x14ac:dyDescent="0.25">
      <c r="A870" t="s">
        <v>3543</v>
      </c>
      <c r="B870" t="s">
        <v>3544</v>
      </c>
      <c r="C870" t="s">
        <v>3545</v>
      </c>
      <c r="D870" t="s">
        <v>3546</v>
      </c>
      <c r="E870" t="s">
        <v>116</v>
      </c>
      <c r="F870" t="s">
        <v>84</v>
      </c>
      <c r="G870" t="s">
        <v>264</v>
      </c>
      <c r="H870" t="s">
        <v>72</v>
      </c>
      <c r="I870" t="s">
        <v>51</v>
      </c>
      <c r="J870" t="s">
        <v>34</v>
      </c>
      <c r="K870">
        <v>9</v>
      </c>
      <c r="L870">
        <v>1346.32</v>
      </c>
      <c r="M870">
        <v>0</v>
      </c>
    </row>
    <row r="871" spans="1:13" x14ac:dyDescent="0.25">
      <c r="A871" t="s">
        <v>3547</v>
      </c>
      <c r="B871" t="s">
        <v>3548</v>
      </c>
      <c r="C871" t="s">
        <v>3549</v>
      </c>
      <c r="D871" t="s">
        <v>3550</v>
      </c>
      <c r="E871" t="s">
        <v>48</v>
      </c>
      <c r="F871" t="s">
        <v>30</v>
      </c>
      <c r="G871" t="s">
        <v>195</v>
      </c>
      <c r="H871" t="s">
        <v>72</v>
      </c>
      <c r="I871" t="s">
        <v>43</v>
      </c>
      <c r="J871" t="s">
        <v>73</v>
      </c>
      <c r="K871">
        <v>2</v>
      </c>
      <c r="L871">
        <v>131.94999999999999</v>
      </c>
      <c r="M871">
        <v>0.2</v>
      </c>
    </row>
    <row r="872" spans="1:13" x14ac:dyDescent="0.25">
      <c r="A872" t="s">
        <v>3551</v>
      </c>
      <c r="B872" t="s">
        <v>3552</v>
      </c>
      <c r="C872" t="s">
        <v>3553</v>
      </c>
      <c r="D872" t="s">
        <v>3554</v>
      </c>
      <c r="E872" t="s">
        <v>83</v>
      </c>
      <c r="F872" t="s">
        <v>40</v>
      </c>
      <c r="G872" t="s">
        <v>315</v>
      </c>
      <c r="H872" t="s">
        <v>58</v>
      </c>
      <c r="I872" t="s">
        <v>66</v>
      </c>
      <c r="J872" t="s">
        <v>34</v>
      </c>
      <c r="K872">
        <v>3</v>
      </c>
      <c r="L872">
        <v>679.51</v>
      </c>
      <c r="M872">
        <v>0.05</v>
      </c>
    </row>
    <row r="873" spans="1:13" x14ac:dyDescent="0.25">
      <c r="A873" t="s">
        <v>3555</v>
      </c>
      <c r="B873" t="s">
        <v>3556</v>
      </c>
      <c r="C873" t="s">
        <v>3557</v>
      </c>
      <c r="D873" t="s">
        <v>3558</v>
      </c>
      <c r="E873" t="s">
        <v>39</v>
      </c>
      <c r="F873" t="s">
        <v>30</v>
      </c>
      <c r="G873" t="s">
        <v>139</v>
      </c>
      <c r="H873" t="s">
        <v>42</v>
      </c>
      <c r="I873" t="s">
        <v>51</v>
      </c>
      <c r="J873" t="s">
        <v>126</v>
      </c>
      <c r="K873">
        <v>3</v>
      </c>
      <c r="L873">
        <v>916.21</v>
      </c>
      <c r="M873">
        <v>0.15</v>
      </c>
    </row>
    <row r="874" spans="1:13" x14ac:dyDescent="0.25">
      <c r="A874" t="s">
        <v>3559</v>
      </c>
      <c r="B874" t="s">
        <v>3560</v>
      </c>
      <c r="C874" t="s">
        <v>3561</v>
      </c>
      <c r="D874" t="s">
        <v>3562</v>
      </c>
      <c r="E874" t="s">
        <v>116</v>
      </c>
      <c r="F874" t="s">
        <v>49</v>
      </c>
      <c r="G874" t="s">
        <v>117</v>
      </c>
      <c r="H874" t="s">
        <v>72</v>
      </c>
      <c r="I874" t="s">
        <v>51</v>
      </c>
      <c r="J874" t="s">
        <v>59</v>
      </c>
      <c r="K874">
        <v>3</v>
      </c>
      <c r="L874">
        <v>690.39</v>
      </c>
      <c r="M874">
        <v>0.05</v>
      </c>
    </row>
    <row r="875" spans="1:13" x14ac:dyDescent="0.25">
      <c r="A875" t="s">
        <v>3563</v>
      </c>
      <c r="B875" t="s">
        <v>3564</v>
      </c>
      <c r="C875" t="s">
        <v>3565</v>
      </c>
      <c r="D875" t="s">
        <v>3566</v>
      </c>
      <c r="E875" t="s">
        <v>116</v>
      </c>
      <c r="F875" t="s">
        <v>30</v>
      </c>
      <c r="G875" t="s">
        <v>195</v>
      </c>
      <c r="H875" t="s">
        <v>42</v>
      </c>
      <c r="I875" t="s">
        <v>43</v>
      </c>
      <c r="J875" t="s">
        <v>126</v>
      </c>
      <c r="K875">
        <v>8</v>
      </c>
      <c r="L875">
        <v>398.05</v>
      </c>
      <c r="M875">
        <v>0.05</v>
      </c>
    </row>
    <row r="876" spans="1:13" x14ac:dyDescent="0.25">
      <c r="A876" t="s">
        <v>3567</v>
      </c>
      <c r="B876" t="s">
        <v>3568</v>
      </c>
      <c r="C876" t="s">
        <v>3569</v>
      </c>
      <c r="D876" t="s">
        <v>3570</v>
      </c>
      <c r="E876" t="s">
        <v>29</v>
      </c>
      <c r="F876" t="s">
        <v>49</v>
      </c>
      <c r="G876" t="s">
        <v>226</v>
      </c>
      <c r="H876" t="s">
        <v>58</v>
      </c>
      <c r="I876" t="s">
        <v>33</v>
      </c>
      <c r="J876" t="s">
        <v>59</v>
      </c>
      <c r="K876">
        <v>3</v>
      </c>
      <c r="L876">
        <v>1287.6500000000001</v>
      </c>
      <c r="M876">
        <v>0.1</v>
      </c>
    </row>
    <row r="877" spans="1:13" x14ac:dyDescent="0.25">
      <c r="A877" t="s">
        <v>3571</v>
      </c>
      <c r="B877" t="s">
        <v>3572</v>
      </c>
      <c r="C877" t="s">
        <v>3573</v>
      </c>
      <c r="D877" t="s">
        <v>3574</v>
      </c>
      <c r="E877" t="s">
        <v>78</v>
      </c>
      <c r="F877" t="s">
        <v>49</v>
      </c>
      <c r="G877" t="s">
        <v>50</v>
      </c>
      <c r="H877" t="s">
        <v>32</v>
      </c>
      <c r="I877" t="s">
        <v>43</v>
      </c>
      <c r="J877" t="s">
        <v>126</v>
      </c>
      <c r="K877">
        <v>1</v>
      </c>
      <c r="L877">
        <v>1317.95</v>
      </c>
      <c r="M877">
        <v>0.15</v>
      </c>
    </row>
    <row r="878" spans="1:13" x14ac:dyDescent="0.25">
      <c r="A878" t="s">
        <v>3575</v>
      </c>
      <c r="B878" t="s">
        <v>3576</v>
      </c>
      <c r="C878" t="s">
        <v>3577</v>
      </c>
      <c r="D878" t="s">
        <v>3578</v>
      </c>
      <c r="E878" t="s">
        <v>48</v>
      </c>
      <c r="F878" t="s">
        <v>40</v>
      </c>
      <c r="G878" t="s">
        <v>565</v>
      </c>
      <c r="H878" t="s">
        <v>42</v>
      </c>
      <c r="I878" t="s">
        <v>51</v>
      </c>
      <c r="J878" t="s">
        <v>59</v>
      </c>
      <c r="K878">
        <v>4</v>
      </c>
      <c r="L878">
        <v>1282.94</v>
      </c>
      <c r="M878">
        <v>0.1</v>
      </c>
    </row>
    <row r="879" spans="1:13" x14ac:dyDescent="0.25">
      <c r="A879" t="s">
        <v>3579</v>
      </c>
      <c r="B879" t="s">
        <v>3580</v>
      </c>
      <c r="C879" t="s">
        <v>3581</v>
      </c>
      <c r="D879" t="s">
        <v>3582</v>
      </c>
      <c r="E879" t="s">
        <v>200</v>
      </c>
      <c r="F879" t="s">
        <v>56</v>
      </c>
      <c r="G879" t="s">
        <v>101</v>
      </c>
      <c r="H879" t="s">
        <v>42</v>
      </c>
      <c r="I879" t="s">
        <v>43</v>
      </c>
      <c r="J879" t="s">
        <v>34</v>
      </c>
      <c r="K879">
        <v>2</v>
      </c>
      <c r="L879">
        <v>282.70999999999998</v>
      </c>
      <c r="M879">
        <v>0.1</v>
      </c>
    </row>
    <row r="880" spans="1:13" x14ac:dyDescent="0.25">
      <c r="A880" t="s">
        <v>3583</v>
      </c>
      <c r="B880" t="s">
        <v>3584</v>
      </c>
      <c r="C880" t="s">
        <v>3585</v>
      </c>
      <c r="D880" t="s">
        <v>3586</v>
      </c>
      <c r="E880" t="s">
        <v>83</v>
      </c>
      <c r="F880" t="s">
        <v>49</v>
      </c>
      <c r="G880" t="s">
        <v>286</v>
      </c>
      <c r="H880" t="s">
        <v>58</v>
      </c>
      <c r="I880" t="s">
        <v>96</v>
      </c>
      <c r="J880" t="s">
        <v>126</v>
      </c>
      <c r="K880">
        <v>8</v>
      </c>
      <c r="L880">
        <v>1057.9000000000001</v>
      </c>
      <c r="M880">
        <v>0</v>
      </c>
    </row>
    <row r="881" spans="1:13" x14ac:dyDescent="0.25">
      <c r="A881" t="s">
        <v>3587</v>
      </c>
      <c r="B881" t="s">
        <v>3588</v>
      </c>
      <c r="C881" t="s">
        <v>3589</v>
      </c>
      <c r="D881" t="s">
        <v>3590</v>
      </c>
      <c r="E881" t="s">
        <v>39</v>
      </c>
      <c r="F881" t="s">
        <v>84</v>
      </c>
      <c r="G881" t="s">
        <v>90</v>
      </c>
      <c r="H881" t="s">
        <v>32</v>
      </c>
      <c r="I881" t="s">
        <v>66</v>
      </c>
      <c r="J881" t="s">
        <v>34</v>
      </c>
      <c r="K881">
        <v>10</v>
      </c>
      <c r="L881">
        <v>61.52</v>
      </c>
      <c r="M881">
        <v>0.1</v>
      </c>
    </row>
    <row r="882" spans="1:13" x14ac:dyDescent="0.25">
      <c r="A882" t="s">
        <v>3591</v>
      </c>
      <c r="B882" t="s">
        <v>3592</v>
      </c>
      <c r="C882" t="s">
        <v>3593</v>
      </c>
      <c r="D882" t="s">
        <v>532</v>
      </c>
      <c r="E882" t="s">
        <v>64</v>
      </c>
      <c r="F882" t="s">
        <v>49</v>
      </c>
      <c r="G882" t="s">
        <v>50</v>
      </c>
      <c r="H882" t="s">
        <v>72</v>
      </c>
      <c r="I882" t="s">
        <v>51</v>
      </c>
      <c r="J882" t="s">
        <v>59</v>
      </c>
      <c r="K882">
        <v>3</v>
      </c>
      <c r="L882">
        <v>389.33</v>
      </c>
      <c r="M882">
        <v>0</v>
      </c>
    </row>
    <row r="883" spans="1:13" x14ac:dyDescent="0.25">
      <c r="A883" t="s">
        <v>3594</v>
      </c>
      <c r="B883" t="s">
        <v>3595</v>
      </c>
      <c r="C883" t="s">
        <v>3596</v>
      </c>
      <c r="D883" t="s">
        <v>3597</v>
      </c>
      <c r="E883" t="s">
        <v>200</v>
      </c>
      <c r="F883" t="s">
        <v>49</v>
      </c>
      <c r="G883" t="s">
        <v>259</v>
      </c>
      <c r="H883" t="s">
        <v>32</v>
      </c>
      <c r="I883" t="s">
        <v>51</v>
      </c>
      <c r="J883" t="s">
        <v>34</v>
      </c>
      <c r="K883">
        <v>5</v>
      </c>
      <c r="L883">
        <v>332.95</v>
      </c>
      <c r="M883">
        <v>0</v>
      </c>
    </row>
    <row r="884" spans="1:13" x14ac:dyDescent="0.25">
      <c r="A884" t="s">
        <v>3598</v>
      </c>
      <c r="B884" t="s">
        <v>3599</v>
      </c>
      <c r="C884" t="s">
        <v>3600</v>
      </c>
      <c r="D884" t="s">
        <v>3601</v>
      </c>
      <c r="E884" t="s">
        <v>71</v>
      </c>
      <c r="F884" t="s">
        <v>49</v>
      </c>
      <c r="G884" t="s">
        <v>226</v>
      </c>
      <c r="H884" t="s">
        <v>42</v>
      </c>
      <c r="I884" t="s">
        <v>66</v>
      </c>
      <c r="J884" t="s">
        <v>34</v>
      </c>
      <c r="K884">
        <v>3</v>
      </c>
      <c r="L884">
        <v>721.12</v>
      </c>
      <c r="M884">
        <v>0.2</v>
      </c>
    </row>
    <row r="885" spans="1:13" x14ac:dyDescent="0.25">
      <c r="A885" t="s">
        <v>3602</v>
      </c>
      <c r="B885" t="s">
        <v>3603</v>
      </c>
      <c r="C885" t="s">
        <v>3604</v>
      </c>
      <c r="D885" t="s">
        <v>3605</v>
      </c>
      <c r="E885" t="s">
        <v>116</v>
      </c>
      <c r="F885" t="s">
        <v>40</v>
      </c>
      <c r="G885" t="s">
        <v>41</v>
      </c>
      <c r="H885" t="s">
        <v>72</v>
      </c>
      <c r="I885" t="s">
        <v>96</v>
      </c>
      <c r="J885" t="s">
        <v>73</v>
      </c>
      <c r="K885">
        <v>6</v>
      </c>
      <c r="L885">
        <v>229.76</v>
      </c>
      <c r="M885">
        <v>0</v>
      </c>
    </row>
    <row r="886" spans="1:13" x14ac:dyDescent="0.25">
      <c r="A886" t="s">
        <v>3606</v>
      </c>
      <c r="B886" t="s">
        <v>3607</v>
      </c>
      <c r="C886" t="s">
        <v>3608</v>
      </c>
      <c r="D886" t="s">
        <v>3609</v>
      </c>
      <c r="E886" t="s">
        <v>149</v>
      </c>
      <c r="F886" t="s">
        <v>84</v>
      </c>
      <c r="G886" t="s">
        <v>90</v>
      </c>
      <c r="H886" t="s">
        <v>42</v>
      </c>
      <c r="I886" t="s">
        <v>33</v>
      </c>
      <c r="J886" t="s">
        <v>126</v>
      </c>
      <c r="K886">
        <v>8</v>
      </c>
      <c r="L886">
        <v>1087.5899999999999</v>
      </c>
      <c r="M886">
        <v>0</v>
      </c>
    </row>
    <row r="887" spans="1:13" x14ac:dyDescent="0.25">
      <c r="A887" t="s">
        <v>3610</v>
      </c>
      <c r="B887" t="s">
        <v>3611</v>
      </c>
      <c r="C887" t="s">
        <v>3612</v>
      </c>
      <c r="D887" t="s">
        <v>3613</v>
      </c>
      <c r="E887" t="s">
        <v>149</v>
      </c>
      <c r="F887" t="s">
        <v>40</v>
      </c>
      <c r="G887" t="s">
        <v>106</v>
      </c>
      <c r="H887" t="s">
        <v>72</v>
      </c>
      <c r="I887" t="s">
        <v>43</v>
      </c>
      <c r="J887" t="s">
        <v>126</v>
      </c>
      <c r="K887">
        <v>4</v>
      </c>
      <c r="L887">
        <v>907.4</v>
      </c>
      <c r="M887">
        <v>0.05</v>
      </c>
    </row>
    <row r="888" spans="1:13" x14ac:dyDescent="0.25">
      <c r="A888" t="s">
        <v>3614</v>
      </c>
      <c r="B888" t="s">
        <v>3615</v>
      </c>
      <c r="C888" t="s">
        <v>3616</v>
      </c>
      <c r="D888" t="s">
        <v>3617</v>
      </c>
      <c r="E888" t="s">
        <v>29</v>
      </c>
      <c r="F888" t="s">
        <v>40</v>
      </c>
      <c r="G888" t="s">
        <v>144</v>
      </c>
      <c r="H888" t="s">
        <v>42</v>
      </c>
      <c r="I888" t="s">
        <v>66</v>
      </c>
      <c r="J888" t="s">
        <v>59</v>
      </c>
      <c r="K888">
        <v>8</v>
      </c>
      <c r="L888">
        <v>1053.49</v>
      </c>
      <c r="M888">
        <v>0.1</v>
      </c>
    </row>
    <row r="889" spans="1:13" x14ac:dyDescent="0.25">
      <c r="A889" t="s">
        <v>3618</v>
      </c>
      <c r="B889" t="s">
        <v>3619</v>
      </c>
      <c r="C889" t="s">
        <v>3620</v>
      </c>
      <c r="D889" t="s">
        <v>3621</v>
      </c>
      <c r="E889" t="s">
        <v>71</v>
      </c>
      <c r="F889" t="s">
        <v>56</v>
      </c>
      <c r="G889" t="s">
        <v>95</v>
      </c>
      <c r="H889" t="s">
        <v>72</v>
      </c>
      <c r="I889" t="s">
        <v>33</v>
      </c>
      <c r="J889" t="s">
        <v>34</v>
      </c>
      <c r="K889">
        <v>6</v>
      </c>
      <c r="L889">
        <v>696.35</v>
      </c>
      <c r="M889">
        <v>0</v>
      </c>
    </row>
    <row r="890" spans="1:13" x14ac:dyDescent="0.25">
      <c r="A890" t="s">
        <v>3622</v>
      </c>
      <c r="B890" t="s">
        <v>3623</v>
      </c>
      <c r="C890" t="s">
        <v>3624</v>
      </c>
      <c r="D890" t="s">
        <v>3625</v>
      </c>
      <c r="E890" t="s">
        <v>149</v>
      </c>
      <c r="F890" t="s">
        <v>84</v>
      </c>
      <c r="G890" t="s">
        <v>90</v>
      </c>
      <c r="H890" t="s">
        <v>32</v>
      </c>
      <c r="I890" t="s">
        <v>51</v>
      </c>
      <c r="J890" t="s">
        <v>126</v>
      </c>
      <c r="K890">
        <v>2</v>
      </c>
      <c r="L890">
        <v>1407.78</v>
      </c>
      <c r="M890">
        <v>0</v>
      </c>
    </row>
    <row r="891" spans="1:13" x14ac:dyDescent="0.25">
      <c r="A891" t="s">
        <v>3626</v>
      </c>
      <c r="B891" t="s">
        <v>3627</v>
      </c>
      <c r="C891" t="s">
        <v>3628</v>
      </c>
      <c r="D891" t="s">
        <v>3629</v>
      </c>
      <c r="E891" t="s">
        <v>83</v>
      </c>
      <c r="F891" t="s">
        <v>40</v>
      </c>
      <c r="G891" t="s">
        <v>144</v>
      </c>
      <c r="H891" t="s">
        <v>32</v>
      </c>
      <c r="I891" t="s">
        <v>66</v>
      </c>
      <c r="J891" t="s">
        <v>34</v>
      </c>
      <c r="K891">
        <v>9</v>
      </c>
      <c r="L891">
        <v>955.78</v>
      </c>
      <c r="M891">
        <v>0.15</v>
      </c>
    </row>
    <row r="892" spans="1:13" x14ac:dyDescent="0.25">
      <c r="A892" t="s">
        <v>3630</v>
      </c>
      <c r="B892" t="s">
        <v>3631</v>
      </c>
      <c r="C892" t="s">
        <v>3632</v>
      </c>
      <c r="D892" t="s">
        <v>3633</v>
      </c>
      <c r="E892" t="s">
        <v>149</v>
      </c>
      <c r="F892" t="s">
        <v>56</v>
      </c>
      <c r="G892" t="s">
        <v>95</v>
      </c>
      <c r="H892" t="s">
        <v>42</v>
      </c>
      <c r="I892" t="s">
        <v>96</v>
      </c>
      <c r="J892" t="s">
        <v>34</v>
      </c>
      <c r="K892">
        <v>2</v>
      </c>
      <c r="L892">
        <v>1286.67</v>
      </c>
      <c r="M892">
        <v>0.05</v>
      </c>
    </row>
    <row r="893" spans="1:13" x14ac:dyDescent="0.25">
      <c r="A893" t="s">
        <v>3634</v>
      </c>
      <c r="B893" t="s">
        <v>3635</v>
      </c>
      <c r="C893" t="s">
        <v>3636</v>
      </c>
      <c r="D893" t="s">
        <v>3637</v>
      </c>
      <c r="E893" t="s">
        <v>29</v>
      </c>
      <c r="F893" t="s">
        <v>84</v>
      </c>
      <c r="G893" t="s">
        <v>412</v>
      </c>
      <c r="H893" t="s">
        <v>72</v>
      </c>
      <c r="I893" t="s">
        <v>51</v>
      </c>
      <c r="J893" t="s">
        <v>34</v>
      </c>
      <c r="K893">
        <v>7</v>
      </c>
      <c r="L893">
        <v>471.48</v>
      </c>
      <c r="M893">
        <v>0.2</v>
      </c>
    </row>
    <row r="894" spans="1:13" x14ac:dyDescent="0.25">
      <c r="A894" t="s">
        <v>3638</v>
      </c>
      <c r="B894" t="s">
        <v>3639</v>
      </c>
      <c r="C894" t="s">
        <v>3640</v>
      </c>
      <c r="D894" t="s">
        <v>3641</v>
      </c>
      <c r="E894" t="s">
        <v>71</v>
      </c>
      <c r="F894" t="s">
        <v>40</v>
      </c>
      <c r="G894" t="s">
        <v>41</v>
      </c>
      <c r="H894" t="s">
        <v>42</v>
      </c>
      <c r="I894" t="s">
        <v>43</v>
      </c>
      <c r="J894" t="s">
        <v>34</v>
      </c>
      <c r="K894">
        <v>3</v>
      </c>
      <c r="L894">
        <v>486.44</v>
      </c>
      <c r="M894">
        <v>0.15</v>
      </c>
    </row>
    <row r="895" spans="1:13" x14ac:dyDescent="0.25">
      <c r="A895" t="s">
        <v>3642</v>
      </c>
      <c r="B895" t="s">
        <v>3643</v>
      </c>
      <c r="C895" t="s">
        <v>3644</v>
      </c>
      <c r="D895" t="s">
        <v>3645</v>
      </c>
      <c r="E895" t="s">
        <v>64</v>
      </c>
      <c r="F895" t="s">
        <v>40</v>
      </c>
      <c r="G895" t="s">
        <v>565</v>
      </c>
      <c r="H895" t="s">
        <v>72</v>
      </c>
      <c r="I895" t="s">
        <v>96</v>
      </c>
      <c r="J895" t="s">
        <v>59</v>
      </c>
      <c r="K895">
        <v>7</v>
      </c>
      <c r="L895">
        <v>206.37</v>
      </c>
      <c r="M895">
        <v>0.2</v>
      </c>
    </row>
    <row r="896" spans="1:13" x14ac:dyDescent="0.25">
      <c r="A896" t="s">
        <v>3646</v>
      </c>
      <c r="B896" t="s">
        <v>3647</v>
      </c>
      <c r="C896" t="s">
        <v>3648</v>
      </c>
      <c r="D896" t="s">
        <v>3649</v>
      </c>
      <c r="E896" t="s">
        <v>116</v>
      </c>
      <c r="F896" t="s">
        <v>30</v>
      </c>
      <c r="G896" t="s">
        <v>139</v>
      </c>
      <c r="H896" t="s">
        <v>58</v>
      </c>
      <c r="I896" t="s">
        <v>33</v>
      </c>
      <c r="J896" t="s">
        <v>73</v>
      </c>
      <c r="K896">
        <v>10</v>
      </c>
      <c r="L896">
        <v>190.78</v>
      </c>
      <c r="M896">
        <v>0.1</v>
      </c>
    </row>
    <row r="897" spans="1:13" x14ac:dyDescent="0.25">
      <c r="A897" t="s">
        <v>3650</v>
      </c>
      <c r="B897" t="s">
        <v>3651</v>
      </c>
      <c r="C897" t="s">
        <v>3652</v>
      </c>
      <c r="D897" t="s">
        <v>3653</v>
      </c>
      <c r="E897" t="s">
        <v>64</v>
      </c>
      <c r="F897" t="s">
        <v>49</v>
      </c>
      <c r="G897" t="s">
        <v>117</v>
      </c>
      <c r="H897" t="s">
        <v>32</v>
      </c>
      <c r="I897" t="s">
        <v>33</v>
      </c>
      <c r="J897" t="s">
        <v>126</v>
      </c>
      <c r="K897">
        <v>10</v>
      </c>
      <c r="L897">
        <v>948.91</v>
      </c>
      <c r="M897">
        <v>0</v>
      </c>
    </row>
    <row r="898" spans="1:13" x14ac:dyDescent="0.25">
      <c r="A898" t="s">
        <v>3654</v>
      </c>
      <c r="B898" t="s">
        <v>3655</v>
      </c>
      <c r="C898" t="s">
        <v>3656</v>
      </c>
      <c r="D898" t="s">
        <v>3657</v>
      </c>
      <c r="E898" t="s">
        <v>48</v>
      </c>
      <c r="F898" t="s">
        <v>49</v>
      </c>
      <c r="G898" t="s">
        <v>50</v>
      </c>
      <c r="H898" t="s">
        <v>72</v>
      </c>
      <c r="I898" t="s">
        <v>33</v>
      </c>
      <c r="J898" t="s">
        <v>73</v>
      </c>
      <c r="K898">
        <v>4</v>
      </c>
      <c r="L898">
        <v>292.02999999999997</v>
      </c>
      <c r="M898">
        <v>0.05</v>
      </c>
    </row>
    <row r="899" spans="1:13" x14ac:dyDescent="0.25">
      <c r="A899" t="s">
        <v>3658</v>
      </c>
      <c r="B899" t="s">
        <v>3659</v>
      </c>
      <c r="C899" t="s">
        <v>3660</v>
      </c>
      <c r="D899" t="s">
        <v>3661</v>
      </c>
      <c r="E899" t="s">
        <v>29</v>
      </c>
      <c r="F899" t="s">
        <v>56</v>
      </c>
      <c r="G899" t="s">
        <v>95</v>
      </c>
      <c r="H899" t="s">
        <v>32</v>
      </c>
      <c r="I899" t="s">
        <v>96</v>
      </c>
      <c r="J899" t="s">
        <v>126</v>
      </c>
      <c r="K899">
        <v>10</v>
      </c>
      <c r="L899">
        <v>946.75</v>
      </c>
      <c r="M899">
        <v>0</v>
      </c>
    </row>
    <row r="900" spans="1:13" x14ac:dyDescent="0.25">
      <c r="A900" t="s">
        <v>3662</v>
      </c>
      <c r="B900" t="s">
        <v>3663</v>
      </c>
      <c r="C900" t="s">
        <v>3664</v>
      </c>
      <c r="D900" t="s">
        <v>3665</v>
      </c>
      <c r="E900" t="s">
        <v>48</v>
      </c>
      <c r="F900" t="s">
        <v>56</v>
      </c>
      <c r="G900" t="s">
        <v>101</v>
      </c>
      <c r="H900" t="s">
        <v>42</v>
      </c>
      <c r="I900" t="s">
        <v>51</v>
      </c>
      <c r="J900" t="s">
        <v>34</v>
      </c>
      <c r="K900">
        <v>6</v>
      </c>
      <c r="L900">
        <v>748.95</v>
      </c>
      <c r="M900">
        <v>0</v>
      </c>
    </row>
    <row r="901" spans="1:13" x14ac:dyDescent="0.25">
      <c r="A901" t="s">
        <v>3666</v>
      </c>
      <c r="B901" t="s">
        <v>3667</v>
      </c>
      <c r="C901" t="s">
        <v>3668</v>
      </c>
      <c r="D901" t="s">
        <v>3669</v>
      </c>
      <c r="E901" t="s">
        <v>116</v>
      </c>
      <c r="F901" t="s">
        <v>30</v>
      </c>
      <c r="G901" t="s">
        <v>195</v>
      </c>
      <c r="H901" t="s">
        <v>42</v>
      </c>
      <c r="I901" t="s">
        <v>43</v>
      </c>
      <c r="J901" t="s">
        <v>73</v>
      </c>
      <c r="K901">
        <v>6</v>
      </c>
      <c r="L901">
        <v>572.25</v>
      </c>
      <c r="M901">
        <v>0.2</v>
      </c>
    </row>
    <row r="902" spans="1:13" x14ac:dyDescent="0.25">
      <c r="A902" t="s">
        <v>3670</v>
      </c>
      <c r="B902" t="s">
        <v>3671</v>
      </c>
      <c r="C902" t="s">
        <v>3672</v>
      </c>
      <c r="D902" t="s">
        <v>3673</v>
      </c>
      <c r="E902" t="s">
        <v>83</v>
      </c>
      <c r="F902" t="s">
        <v>40</v>
      </c>
      <c r="G902" t="s">
        <v>144</v>
      </c>
      <c r="H902" t="s">
        <v>42</v>
      </c>
      <c r="I902" t="s">
        <v>33</v>
      </c>
      <c r="J902" t="s">
        <v>126</v>
      </c>
      <c r="K902">
        <v>6</v>
      </c>
      <c r="L902">
        <v>189.05</v>
      </c>
      <c r="M902">
        <v>0.05</v>
      </c>
    </row>
    <row r="903" spans="1:13" x14ac:dyDescent="0.25">
      <c r="A903" t="s">
        <v>3674</v>
      </c>
      <c r="B903" t="s">
        <v>3675</v>
      </c>
      <c r="C903" t="s">
        <v>3676</v>
      </c>
      <c r="D903" t="s">
        <v>3677</v>
      </c>
      <c r="E903" t="s">
        <v>116</v>
      </c>
      <c r="F903" t="s">
        <v>30</v>
      </c>
      <c r="G903" t="s">
        <v>139</v>
      </c>
      <c r="H903" t="s">
        <v>72</v>
      </c>
      <c r="I903" t="s">
        <v>43</v>
      </c>
      <c r="J903" t="s">
        <v>59</v>
      </c>
      <c r="K903">
        <v>1</v>
      </c>
      <c r="L903">
        <v>58.89</v>
      </c>
      <c r="M903">
        <v>0.15</v>
      </c>
    </row>
    <row r="904" spans="1:13" x14ac:dyDescent="0.25">
      <c r="A904" t="s">
        <v>3678</v>
      </c>
      <c r="B904" t="s">
        <v>3679</v>
      </c>
      <c r="C904" t="s">
        <v>3680</v>
      </c>
      <c r="D904" t="s">
        <v>3681</v>
      </c>
      <c r="E904" t="s">
        <v>48</v>
      </c>
      <c r="F904" t="s">
        <v>30</v>
      </c>
      <c r="G904" t="s">
        <v>269</v>
      </c>
      <c r="H904" t="s">
        <v>58</v>
      </c>
      <c r="I904" t="s">
        <v>96</v>
      </c>
      <c r="J904" t="s">
        <v>73</v>
      </c>
      <c r="K904">
        <v>3</v>
      </c>
      <c r="L904">
        <v>1095.7</v>
      </c>
      <c r="M904">
        <v>0.05</v>
      </c>
    </row>
    <row r="905" spans="1:13" x14ac:dyDescent="0.25">
      <c r="A905" t="s">
        <v>3682</v>
      </c>
      <c r="B905" t="s">
        <v>3683</v>
      </c>
      <c r="C905" t="s">
        <v>3684</v>
      </c>
      <c r="D905" t="s">
        <v>3685</v>
      </c>
      <c r="E905" t="s">
        <v>29</v>
      </c>
      <c r="F905" t="s">
        <v>49</v>
      </c>
      <c r="G905" t="s">
        <v>226</v>
      </c>
      <c r="H905" t="s">
        <v>58</v>
      </c>
      <c r="I905" t="s">
        <v>43</v>
      </c>
      <c r="J905" t="s">
        <v>73</v>
      </c>
      <c r="K905">
        <v>7</v>
      </c>
      <c r="L905">
        <v>662.55</v>
      </c>
      <c r="M905">
        <v>0</v>
      </c>
    </row>
    <row r="906" spans="1:13" x14ac:dyDescent="0.25">
      <c r="A906" t="s">
        <v>3686</v>
      </c>
      <c r="B906" t="s">
        <v>3687</v>
      </c>
      <c r="C906" t="s">
        <v>3688</v>
      </c>
      <c r="D906" t="s">
        <v>3689</v>
      </c>
      <c r="E906" t="s">
        <v>83</v>
      </c>
      <c r="F906" t="s">
        <v>84</v>
      </c>
      <c r="G906" t="s">
        <v>85</v>
      </c>
      <c r="H906" t="s">
        <v>42</v>
      </c>
      <c r="I906" t="s">
        <v>96</v>
      </c>
      <c r="J906" t="s">
        <v>59</v>
      </c>
      <c r="K906">
        <v>8</v>
      </c>
      <c r="L906">
        <v>1194.24</v>
      </c>
      <c r="M906">
        <v>0.1</v>
      </c>
    </row>
    <row r="907" spans="1:13" x14ac:dyDescent="0.25">
      <c r="A907" t="s">
        <v>3690</v>
      </c>
      <c r="B907" t="s">
        <v>3691</v>
      </c>
      <c r="C907" t="s">
        <v>3692</v>
      </c>
      <c r="D907" t="s">
        <v>3693</v>
      </c>
      <c r="E907" t="s">
        <v>149</v>
      </c>
      <c r="F907" t="s">
        <v>49</v>
      </c>
      <c r="G907" t="s">
        <v>286</v>
      </c>
      <c r="H907" t="s">
        <v>32</v>
      </c>
      <c r="I907" t="s">
        <v>96</v>
      </c>
      <c r="J907" t="s">
        <v>73</v>
      </c>
      <c r="K907">
        <v>6</v>
      </c>
      <c r="L907">
        <v>857.21</v>
      </c>
      <c r="M907">
        <v>0.2</v>
      </c>
    </row>
    <row r="908" spans="1:13" x14ac:dyDescent="0.25">
      <c r="A908" t="s">
        <v>3694</v>
      </c>
      <c r="B908" t="s">
        <v>3695</v>
      </c>
      <c r="C908" t="s">
        <v>3696</v>
      </c>
      <c r="D908" t="s">
        <v>3697</v>
      </c>
      <c r="E908" t="s">
        <v>149</v>
      </c>
      <c r="F908" t="s">
        <v>84</v>
      </c>
      <c r="G908" t="s">
        <v>90</v>
      </c>
      <c r="H908" t="s">
        <v>42</v>
      </c>
      <c r="I908" t="s">
        <v>51</v>
      </c>
      <c r="J908" t="s">
        <v>126</v>
      </c>
      <c r="K908">
        <v>9</v>
      </c>
      <c r="L908">
        <v>1242.6300000000001</v>
      </c>
      <c r="M908">
        <v>0.05</v>
      </c>
    </row>
    <row r="909" spans="1:13" x14ac:dyDescent="0.25">
      <c r="A909" t="s">
        <v>3698</v>
      </c>
      <c r="B909" t="s">
        <v>3699</v>
      </c>
      <c r="C909" t="s">
        <v>3700</v>
      </c>
      <c r="D909" t="s">
        <v>3701</v>
      </c>
      <c r="E909" t="s">
        <v>48</v>
      </c>
      <c r="F909" t="s">
        <v>84</v>
      </c>
      <c r="G909" t="s">
        <v>85</v>
      </c>
      <c r="H909" t="s">
        <v>72</v>
      </c>
      <c r="I909" t="s">
        <v>66</v>
      </c>
      <c r="J909" t="s">
        <v>126</v>
      </c>
      <c r="K909">
        <v>6</v>
      </c>
      <c r="L909">
        <v>122.87</v>
      </c>
      <c r="M909">
        <v>0.05</v>
      </c>
    </row>
    <row r="910" spans="1:13" x14ac:dyDescent="0.25">
      <c r="A910" t="s">
        <v>3702</v>
      </c>
      <c r="B910" t="s">
        <v>3703</v>
      </c>
      <c r="C910" t="s">
        <v>3704</v>
      </c>
      <c r="D910" t="s">
        <v>3705</v>
      </c>
      <c r="E910" t="s">
        <v>71</v>
      </c>
      <c r="F910" t="s">
        <v>30</v>
      </c>
      <c r="G910" t="s">
        <v>195</v>
      </c>
      <c r="H910" t="s">
        <v>32</v>
      </c>
      <c r="I910" t="s">
        <v>96</v>
      </c>
      <c r="J910" t="s">
        <v>59</v>
      </c>
      <c r="K910">
        <v>6</v>
      </c>
      <c r="L910">
        <v>857.69</v>
      </c>
      <c r="M910">
        <v>0</v>
      </c>
    </row>
    <row r="911" spans="1:13" x14ac:dyDescent="0.25">
      <c r="A911" t="s">
        <v>3706</v>
      </c>
      <c r="B911" t="s">
        <v>3707</v>
      </c>
      <c r="C911" t="s">
        <v>3708</v>
      </c>
      <c r="D911" t="s">
        <v>3709</v>
      </c>
      <c r="E911" t="s">
        <v>116</v>
      </c>
      <c r="F911" t="s">
        <v>40</v>
      </c>
      <c r="G911" t="s">
        <v>315</v>
      </c>
      <c r="H911" t="s">
        <v>42</v>
      </c>
      <c r="I911" t="s">
        <v>96</v>
      </c>
      <c r="J911" t="s">
        <v>59</v>
      </c>
      <c r="K911">
        <v>2</v>
      </c>
      <c r="L911">
        <v>1078.6500000000001</v>
      </c>
      <c r="M911">
        <v>0.15</v>
      </c>
    </row>
    <row r="912" spans="1:13" x14ac:dyDescent="0.25">
      <c r="A912" t="s">
        <v>3710</v>
      </c>
      <c r="B912" t="s">
        <v>3711</v>
      </c>
      <c r="C912" t="s">
        <v>3712</v>
      </c>
      <c r="D912" t="s">
        <v>3713</v>
      </c>
      <c r="E912" t="s">
        <v>200</v>
      </c>
      <c r="F912" t="s">
        <v>49</v>
      </c>
      <c r="G912" t="s">
        <v>117</v>
      </c>
      <c r="H912" t="s">
        <v>32</v>
      </c>
      <c r="I912" t="s">
        <v>96</v>
      </c>
      <c r="J912" t="s">
        <v>73</v>
      </c>
      <c r="K912">
        <v>7</v>
      </c>
      <c r="L912">
        <v>1485.54</v>
      </c>
      <c r="M912">
        <v>0</v>
      </c>
    </row>
    <row r="913" spans="1:13" x14ac:dyDescent="0.25">
      <c r="A913" t="s">
        <v>3714</v>
      </c>
      <c r="B913" t="s">
        <v>3715</v>
      </c>
      <c r="C913" t="s">
        <v>3716</v>
      </c>
      <c r="D913" t="s">
        <v>3717</v>
      </c>
      <c r="E913" t="s">
        <v>39</v>
      </c>
      <c r="F913" t="s">
        <v>40</v>
      </c>
      <c r="G913" t="s">
        <v>144</v>
      </c>
      <c r="H913" t="s">
        <v>42</v>
      </c>
      <c r="I913" t="s">
        <v>66</v>
      </c>
      <c r="J913" t="s">
        <v>73</v>
      </c>
      <c r="K913">
        <v>10</v>
      </c>
      <c r="L913">
        <v>438.28</v>
      </c>
      <c r="M913">
        <v>0</v>
      </c>
    </row>
    <row r="914" spans="1:13" x14ac:dyDescent="0.25">
      <c r="A914" t="s">
        <v>3718</v>
      </c>
      <c r="B914" t="s">
        <v>3719</v>
      </c>
      <c r="C914" t="s">
        <v>3720</v>
      </c>
      <c r="D914" t="s">
        <v>3721</v>
      </c>
      <c r="E914" t="s">
        <v>78</v>
      </c>
      <c r="F914" t="s">
        <v>56</v>
      </c>
      <c r="G914" t="s">
        <v>190</v>
      </c>
      <c r="H914" t="s">
        <v>32</v>
      </c>
      <c r="I914" t="s">
        <v>96</v>
      </c>
      <c r="J914" t="s">
        <v>59</v>
      </c>
      <c r="K914">
        <v>2</v>
      </c>
      <c r="L914">
        <v>972.49</v>
      </c>
      <c r="M914">
        <v>0.1</v>
      </c>
    </row>
    <row r="915" spans="1:13" x14ac:dyDescent="0.25">
      <c r="A915" t="s">
        <v>3722</v>
      </c>
      <c r="B915" t="s">
        <v>3723</v>
      </c>
      <c r="C915" t="s">
        <v>3724</v>
      </c>
      <c r="D915" t="s">
        <v>3725</v>
      </c>
      <c r="E915" t="s">
        <v>116</v>
      </c>
      <c r="F915" t="s">
        <v>40</v>
      </c>
      <c r="G915" t="s">
        <v>315</v>
      </c>
      <c r="H915" t="s">
        <v>58</v>
      </c>
      <c r="I915" t="s">
        <v>96</v>
      </c>
      <c r="J915" t="s">
        <v>34</v>
      </c>
      <c r="K915">
        <v>1</v>
      </c>
      <c r="L915">
        <v>748.32</v>
      </c>
      <c r="M915">
        <v>0.1</v>
      </c>
    </row>
    <row r="916" spans="1:13" x14ac:dyDescent="0.25">
      <c r="A916" t="s">
        <v>3726</v>
      </c>
      <c r="B916" t="s">
        <v>3727</v>
      </c>
      <c r="C916" t="s">
        <v>3728</v>
      </c>
      <c r="D916" t="s">
        <v>3729</v>
      </c>
      <c r="E916" t="s">
        <v>116</v>
      </c>
      <c r="F916" t="s">
        <v>56</v>
      </c>
      <c r="G916" t="s">
        <v>95</v>
      </c>
      <c r="H916" t="s">
        <v>32</v>
      </c>
      <c r="I916" t="s">
        <v>66</v>
      </c>
      <c r="J916" t="s">
        <v>34</v>
      </c>
      <c r="K916">
        <v>1</v>
      </c>
      <c r="L916">
        <v>86.03</v>
      </c>
      <c r="M916">
        <v>0</v>
      </c>
    </row>
    <row r="917" spans="1:13" x14ac:dyDescent="0.25">
      <c r="A917" t="s">
        <v>3730</v>
      </c>
      <c r="B917" t="s">
        <v>3731</v>
      </c>
      <c r="C917" t="s">
        <v>3732</v>
      </c>
      <c r="D917" t="s">
        <v>3733</v>
      </c>
      <c r="E917" t="s">
        <v>71</v>
      </c>
      <c r="F917" t="s">
        <v>40</v>
      </c>
      <c r="G917" t="s">
        <v>144</v>
      </c>
      <c r="H917" t="s">
        <v>32</v>
      </c>
      <c r="I917" t="s">
        <v>51</v>
      </c>
      <c r="J917" t="s">
        <v>126</v>
      </c>
      <c r="K917">
        <v>1</v>
      </c>
      <c r="L917">
        <v>1402.15</v>
      </c>
      <c r="M917">
        <v>0.05</v>
      </c>
    </row>
    <row r="918" spans="1:13" x14ac:dyDescent="0.25">
      <c r="A918" t="s">
        <v>3734</v>
      </c>
      <c r="B918" t="s">
        <v>3735</v>
      </c>
      <c r="C918" t="s">
        <v>3736</v>
      </c>
      <c r="D918" t="s">
        <v>3737</v>
      </c>
      <c r="E918" t="s">
        <v>83</v>
      </c>
      <c r="F918" t="s">
        <v>49</v>
      </c>
      <c r="G918" t="s">
        <v>50</v>
      </c>
      <c r="H918" t="s">
        <v>42</v>
      </c>
      <c r="I918" t="s">
        <v>51</v>
      </c>
      <c r="J918" t="s">
        <v>73</v>
      </c>
      <c r="K918">
        <v>3</v>
      </c>
      <c r="L918">
        <v>1052.52</v>
      </c>
      <c r="M918">
        <v>0.15</v>
      </c>
    </row>
    <row r="919" spans="1:13" x14ac:dyDescent="0.25">
      <c r="A919" t="s">
        <v>3738</v>
      </c>
      <c r="B919" t="s">
        <v>3739</v>
      </c>
      <c r="C919" t="s">
        <v>3740</v>
      </c>
      <c r="D919" t="s">
        <v>3741</v>
      </c>
      <c r="E919" t="s">
        <v>149</v>
      </c>
      <c r="F919" t="s">
        <v>49</v>
      </c>
      <c r="G919" t="s">
        <v>117</v>
      </c>
      <c r="H919" t="s">
        <v>42</v>
      </c>
      <c r="I919" t="s">
        <v>96</v>
      </c>
      <c r="J919" t="s">
        <v>59</v>
      </c>
      <c r="K919">
        <v>4</v>
      </c>
      <c r="L919">
        <v>789.82</v>
      </c>
      <c r="M919">
        <v>0.15</v>
      </c>
    </row>
    <row r="920" spans="1:13" x14ac:dyDescent="0.25">
      <c r="A920" t="s">
        <v>3742</v>
      </c>
      <c r="B920" t="s">
        <v>3743</v>
      </c>
      <c r="C920" t="s">
        <v>3744</v>
      </c>
      <c r="D920" t="s">
        <v>3745</v>
      </c>
      <c r="E920" t="s">
        <v>29</v>
      </c>
      <c r="F920" t="s">
        <v>84</v>
      </c>
      <c r="G920" t="s">
        <v>205</v>
      </c>
      <c r="H920" t="s">
        <v>72</v>
      </c>
      <c r="I920" t="s">
        <v>51</v>
      </c>
      <c r="J920" t="s">
        <v>126</v>
      </c>
      <c r="K920">
        <v>4</v>
      </c>
      <c r="L920">
        <v>539.22</v>
      </c>
      <c r="M920">
        <v>0.2</v>
      </c>
    </row>
    <row r="921" spans="1:13" x14ac:dyDescent="0.25">
      <c r="A921" t="s">
        <v>3746</v>
      </c>
      <c r="B921" t="s">
        <v>3747</v>
      </c>
      <c r="C921" t="s">
        <v>3748</v>
      </c>
      <c r="D921" t="s">
        <v>3749</v>
      </c>
      <c r="E921" t="s">
        <v>39</v>
      </c>
      <c r="F921" t="s">
        <v>49</v>
      </c>
      <c r="G921" t="s">
        <v>226</v>
      </c>
      <c r="H921" t="s">
        <v>72</v>
      </c>
      <c r="I921" t="s">
        <v>33</v>
      </c>
      <c r="J921" t="s">
        <v>59</v>
      </c>
      <c r="K921">
        <v>2</v>
      </c>
      <c r="L921">
        <v>294.06</v>
      </c>
      <c r="M921">
        <v>0.05</v>
      </c>
    </row>
    <row r="922" spans="1:13" x14ac:dyDescent="0.25">
      <c r="A922" t="s">
        <v>3750</v>
      </c>
      <c r="B922" t="s">
        <v>3751</v>
      </c>
      <c r="C922" t="s">
        <v>3752</v>
      </c>
      <c r="D922" t="s">
        <v>3753</v>
      </c>
      <c r="E922" t="s">
        <v>48</v>
      </c>
      <c r="F922" t="s">
        <v>40</v>
      </c>
      <c r="G922" t="s">
        <v>144</v>
      </c>
      <c r="H922" t="s">
        <v>42</v>
      </c>
      <c r="I922" t="s">
        <v>96</v>
      </c>
      <c r="J922" t="s">
        <v>73</v>
      </c>
      <c r="K922">
        <v>4</v>
      </c>
      <c r="L922">
        <v>1372.48</v>
      </c>
      <c r="M922">
        <v>0.05</v>
      </c>
    </row>
    <row r="923" spans="1:13" x14ac:dyDescent="0.25">
      <c r="A923" t="s">
        <v>3754</v>
      </c>
      <c r="B923" t="s">
        <v>3755</v>
      </c>
      <c r="C923" t="s">
        <v>3756</v>
      </c>
      <c r="D923" t="s">
        <v>3757</v>
      </c>
      <c r="E923" t="s">
        <v>149</v>
      </c>
      <c r="F923" t="s">
        <v>30</v>
      </c>
      <c r="G923" t="s">
        <v>65</v>
      </c>
      <c r="H923" t="s">
        <v>32</v>
      </c>
      <c r="I923" t="s">
        <v>43</v>
      </c>
      <c r="J923" t="s">
        <v>34</v>
      </c>
      <c r="K923">
        <v>10</v>
      </c>
      <c r="L923">
        <v>1427.97</v>
      </c>
      <c r="M923">
        <v>0.2</v>
      </c>
    </row>
    <row r="924" spans="1:13" x14ac:dyDescent="0.25">
      <c r="A924" t="s">
        <v>3758</v>
      </c>
      <c r="B924" t="s">
        <v>3759</v>
      </c>
      <c r="C924" t="s">
        <v>3760</v>
      </c>
      <c r="D924" t="s">
        <v>3761</v>
      </c>
      <c r="E924" t="s">
        <v>200</v>
      </c>
      <c r="F924" t="s">
        <v>30</v>
      </c>
      <c r="G924" t="s">
        <v>65</v>
      </c>
      <c r="H924" t="s">
        <v>58</v>
      </c>
      <c r="I924" t="s">
        <v>66</v>
      </c>
      <c r="J924" t="s">
        <v>126</v>
      </c>
      <c r="K924">
        <v>9</v>
      </c>
      <c r="L924">
        <v>57.45</v>
      </c>
      <c r="M924">
        <v>0.1</v>
      </c>
    </row>
    <row r="925" spans="1:13" x14ac:dyDescent="0.25">
      <c r="A925" t="s">
        <v>3762</v>
      </c>
      <c r="B925" t="s">
        <v>3763</v>
      </c>
      <c r="C925" t="s">
        <v>3764</v>
      </c>
      <c r="D925" t="s">
        <v>3765</v>
      </c>
      <c r="E925" t="s">
        <v>39</v>
      </c>
      <c r="F925" t="s">
        <v>30</v>
      </c>
      <c r="G925" t="s">
        <v>195</v>
      </c>
      <c r="H925" t="s">
        <v>32</v>
      </c>
      <c r="I925" t="s">
        <v>96</v>
      </c>
      <c r="J925" t="s">
        <v>59</v>
      </c>
      <c r="K925">
        <v>9</v>
      </c>
      <c r="L925">
        <v>760.75</v>
      </c>
      <c r="M925">
        <v>0.05</v>
      </c>
    </row>
    <row r="926" spans="1:13" x14ac:dyDescent="0.25">
      <c r="A926" t="s">
        <v>3766</v>
      </c>
      <c r="B926" t="s">
        <v>3767</v>
      </c>
      <c r="C926" t="s">
        <v>3768</v>
      </c>
      <c r="D926" t="s">
        <v>3769</v>
      </c>
      <c r="E926" t="s">
        <v>149</v>
      </c>
      <c r="F926" t="s">
        <v>49</v>
      </c>
      <c r="G926" t="s">
        <v>286</v>
      </c>
      <c r="H926" t="s">
        <v>58</v>
      </c>
      <c r="I926" t="s">
        <v>33</v>
      </c>
      <c r="J926" t="s">
        <v>34</v>
      </c>
      <c r="K926">
        <v>7</v>
      </c>
      <c r="L926">
        <v>451.6</v>
      </c>
      <c r="M926">
        <v>0</v>
      </c>
    </row>
    <row r="927" spans="1:13" x14ac:dyDescent="0.25">
      <c r="A927" t="s">
        <v>3770</v>
      </c>
      <c r="B927" t="s">
        <v>3771</v>
      </c>
      <c r="C927" t="s">
        <v>3772</v>
      </c>
      <c r="D927" t="s">
        <v>3773</v>
      </c>
      <c r="E927" t="s">
        <v>64</v>
      </c>
      <c r="F927" t="s">
        <v>30</v>
      </c>
      <c r="G927" t="s">
        <v>269</v>
      </c>
      <c r="H927" t="s">
        <v>58</v>
      </c>
      <c r="I927" t="s">
        <v>43</v>
      </c>
      <c r="J927" t="s">
        <v>126</v>
      </c>
      <c r="K927">
        <v>1</v>
      </c>
      <c r="L927">
        <v>341.08</v>
      </c>
      <c r="M927">
        <v>0</v>
      </c>
    </row>
    <row r="928" spans="1:13" x14ac:dyDescent="0.25">
      <c r="A928" t="s">
        <v>3774</v>
      </c>
      <c r="B928" t="s">
        <v>3775</v>
      </c>
      <c r="C928" t="s">
        <v>3776</v>
      </c>
      <c r="D928" t="s">
        <v>3777</v>
      </c>
      <c r="E928" t="s">
        <v>83</v>
      </c>
      <c r="F928" t="s">
        <v>49</v>
      </c>
      <c r="G928" t="s">
        <v>226</v>
      </c>
      <c r="H928" t="s">
        <v>58</v>
      </c>
      <c r="I928" t="s">
        <v>96</v>
      </c>
      <c r="J928" t="s">
        <v>73</v>
      </c>
      <c r="K928">
        <v>4</v>
      </c>
      <c r="L928">
        <v>598.42999999999995</v>
      </c>
      <c r="M928">
        <v>0.2</v>
      </c>
    </row>
    <row r="929" spans="1:13" x14ac:dyDescent="0.25">
      <c r="A929" t="s">
        <v>3778</v>
      </c>
      <c r="B929" t="s">
        <v>3779</v>
      </c>
      <c r="C929" t="s">
        <v>3780</v>
      </c>
      <c r="D929" t="s">
        <v>3781</v>
      </c>
      <c r="E929" t="s">
        <v>29</v>
      </c>
      <c r="F929" t="s">
        <v>40</v>
      </c>
      <c r="G929" t="s">
        <v>315</v>
      </c>
      <c r="H929" t="s">
        <v>42</v>
      </c>
      <c r="I929" t="s">
        <v>66</v>
      </c>
      <c r="J929" t="s">
        <v>73</v>
      </c>
      <c r="K929">
        <v>2</v>
      </c>
      <c r="L929">
        <v>1104.82</v>
      </c>
      <c r="M929">
        <v>0</v>
      </c>
    </row>
    <row r="930" spans="1:13" x14ac:dyDescent="0.25">
      <c r="A930" t="s">
        <v>3782</v>
      </c>
      <c r="B930" t="s">
        <v>3783</v>
      </c>
      <c r="C930" t="s">
        <v>3784</v>
      </c>
      <c r="D930" t="s">
        <v>3785</v>
      </c>
      <c r="E930" t="s">
        <v>48</v>
      </c>
      <c r="F930" t="s">
        <v>30</v>
      </c>
      <c r="G930" t="s">
        <v>65</v>
      </c>
      <c r="H930" t="s">
        <v>42</v>
      </c>
      <c r="I930" t="s">
        <v>96</v>
      </c>
      <c r="J930" t="s">
        <v>59</v>
      </c>
      <c r="K930">
        <v>3</v>
      </c>
      <c r="L930">
        <v>1351.31</v>
      </c>
      <c r="M930">
        <v>0</v>
      </c>
    </row>
    <row r="931" spans="1:13" x14ac:dyDescent="0.25">
      <c r="A931" t="s">
        <v>3786</v>
      </c>
      <c r="B931" t="s">
        <v>3787</v>
      </c>
      <c r="C931" t="s">
        <v>3070</v>
      </c>
      <c r="D931" t="s">
        <v>3788</v>
      </c>
      <c r="E931" t="s">
        <v>116</v>
      </c>
      <c r="F931" t="s">
        <v>30</v>
      </c>
      <c r="G931" t="s">
        <v>269</v>
      </c>
      <c r="H931" t="s">
        <v>32</v>
      </c>
      <c r="I931" t="s">
        <v>96</v>
      </c>
      <c r="J931" t="s">
        <v>73</v>
      </c>
      <c r="K931">
        <v>8</v>
      </c>
      <c r="L931">
        <v>897.1</v>
      </c>
      <c r="M931">
        <v>0.15</v>
      </c>
    </row>
    <row r="932" spans="1:13" x14ac:dyDescent="0.25">
      <c r="A932" t="s">
        <v>3789</v>
      </c>
      <c r="B932" t="s">
        <v>3790</v>
      </c>
      <c r="C932" t="s">
        <v>3791</v>
      </c>
      <c r="D932" t="s">
        <v>3792</v>
      </c>
      <c r="E932" t="s">
        <v>64</v>
      </c>
      <c r="F932" t="s">
        <v>40</v>
      </c>
      <c r="G932" t="s">
        <v>315</v>
      </c>
      <c r="H932" t="s">
        <v>72</v>
      </c>
      <c r="I932" t="s">
        <v>43</v>
      </c>
      <c r="J932" t="s">
        <v>126</v>
      </c>
      <c r="K932">
        <v>9</v>
      </c>
      <c r="L932">
        <v>1255.51</v>
      </c>
      <c r="M932">
        <v>0.15</v>
      </c>
    </row>
    <row r="933" spans="1:13" x14ac:dyDescent="0.25">
      <c r="A933" t="s">
        <v>3793</v>
      </c>
      <c r="B933" t="s">
        <v>3794</v>
      </c>
      <c r="C933" t="s">
        <v>3795</v>
      </c>
      <c r="D933" t="s">
        <v>1925</v>
      </c>
      <c r="E933" t="s">
        <v>200</v>
      </c>
      <c r="F933" t="s">
        <v>49</v>
      </c>
      <c r="G933" t="s">
        <v>50</v>
      </c>
      <c r="H933" t="s">
        <v>42</v>
      </c>
      <c r="I933" t="s">
        <v>66</v>
      </c>
      <c r="J933" t="s">
        <v>59</v>
      </c>
      <c r="K933">
        <v>5</v>
      </c>
      <c r="L933">
        <v>1484.84</v>
      </c>
      <c r="M933">
        <v>0.2</v>
      </c>
    </row>
    <row r="934" spans="1:13" x14ac:dyDescent="0.25">
      <c r="A934" t="s">
        <v>3796</v>
      </c>
      <c r="B934" t="s">
        <v>3797</v>
      </c>
      <c r="C934" t="s">
        <v>3798</v>
      </c>
      <c r="D934" t="s">
        <v>3799</v>
      </c>
      <c r="E934" t="s">
        <v>71</v>
      </c>
      <c r="F934" t="s">
        <v>40</v>
      </c>
      <c r="G934" t="s">
        <v>41</v>
      </c>
      <c r="H934" t="s">
        <v>32</v>
      </c>
      <c r="I934" t="s">
        <v>43</v>
      </c>
      <c r="J934" t="s">
        <v>34</v>
      </c>
      <c r="K934">
        <v>5</v>
      </c>
      <c r="L934">
        <v>734.27</v>
      </c>
      <c r="M934">
        <v>0.2</v>
      </c>
    </row>
    <row r="935" spans="1:13" x14ac:dyDescent="0.25">
      <c r="A935" t="s">
        <v>3800</v>
      </c>
      <c r="B935" t="s">
        <v>3801</v>
      </c>
      <c r="C935" t="s">
        <v>3802</v>
      </c>
      <c r="D935" t="s">
        <v>3803</v>
      </c>
      <c r="E935" t="s">
        <v>200</v>
      </c>
      <c r="F935" t="s">
        <v>56</v>
      </c>
      <c r="G935" t="s">
        <v>95</v>
      </c>
      <c r="H935" t="s">
        <v>72</v>
      </c>
      <c r="I935" t="s">
        <v>51</v>
      </c>
      <c r="J935" t="s">
        <v>73</v>
      </c>
      <c r="K935">
        <v>7</v>
      </c>
      <c r="L935">
        <v>872.71</v>
      </c>
      <c r="M935">
        <v>0.05</v>
      </c>
    </row>
    <row r="936" spans="1:13" x14ac:dyDescent="0.25">
      <c r="A936" t="s">
        <v>3804</v>
      </c>
      <c r="B936" t="s">
        <v>3805</v>
      </c>
      <c r="C936" t="s">
        <v>3806</v>
      </c>
      <c r="D936" t="s">
        <v>3807</v>
      </c>
      <c r="E936" t="s">
        <v>78</v>
      </c>
      <c r="F936" t="s">
        <v>49</v>
      </c>
      <c r="G936" t="s">
        <v>259</v>
      </c>
      <c r="H936" t="s">
        <v>42</v>
      </c>
      <c r="I936" t="s">
        <v>33</v>
      </c>
      <c r="J936" t="s">
        <v>34</v>
      </c>
      <c r="K936">
        <v>6</v>
      </c>
      <c r="L936">
        <v>274.8</v>
      </c>
      <c r="M936">
        <v>0.05</v>
      </c>
    </row>
    <row r="937" spans="1:13" x14ac:dyDescent="0.25">
      <c r="A937" t="s">
        <v>3808</v>
      </c>
      <c r="B937" t="s">
        <v>3809</v>
      </c>
      <c r="C937" t="s">
        <v>3810</v>
      </c>
      <c r="D937" t="s">
        <v>3811</v>
      </c>
      <c r="E937" t="s">
        <v>83</v>
      </c>
      <c r="F937" t="s">
        <v>40</v>
      </c>
      <c r="G937" t="s">
        <v>315</v>
      </c>
      <c r="H937" t="s">
        <v>42</v>
      </c>
      <c r="I937" t="s">
        <v>33</v>
      </c>
      <c r="J937" t="s">
        <v>59</v>
      </c>
      <c r="K937">
        <v>2</v>
      </c>
      <c r="L937">
        <v>1253.74</v>
      </c>
      <c r="M937">
        <v>0.1</v>
      </c>
    </row>
    <row r="938" spans="1:13" x14ac:dyDescent="0.25">
      <c r="A938" t="s">
        <v>3812</v>
      </c>
      <c r="B938" t="s">
        <v>3813</v>
      </c>
      <c r="C938" t="s">
        <v>3814</v>
      </c>
      <c r="D938" t="s">
        <v>3815</v>
      </c>
      <c r="E938" t="s">
        <v>48</v>
      </c>
      <c r="F938" t="s">
        <v>49</v>
      </c>
      <c r="G938" t="s">
        <v>286</v>
      </c>
      <c r="H938" t="s">
        <v>72</v>
      </c>
      <c r="I938" t="s">
        <v>66</v>
      </c>
      <c r="J938" t="s">
        <v>34</v>
      </c>
      <c r="K938">
        <v>5</v>
      </c>
      <c r="L938">
        <v>791.93</v>
      </c>
      <c r="M938">
        <v>0.15</v>
      </c>
    </row>
    <row r="939" spans="1:13" x14ac:dyDescent="0.25">
      <c r="A939" t="s">
        <v>3816</v>
      </c>
      <c r="B939" t="s">
        <v>3817</v>
      </c>
      <c r="C939" t="s">
        <v>3818</v>
      </c>
      <c r="D939" t="s">
        <v>3819</v>
      </c>
      <c r="E939" t="s">
        <v>200</v>
      </c>
      <c r="F939" t="s">
        <v>56</v>
      </c>
      <c r="G939" t="s">
        <v>95</v>
      </c>
      <c r="H939" t="s">
        <v>32</v>
      </c>
      <c r="I939" t="s">
        <v>96</v>
      </c>
      <c r="J939" t="s">
        <v>59</v>
      </c>
      <c r="K939">
        <v>10</v>
      </c>
      <c r="L939">
        <v>435.28</v>
      </c>
      <c r="M939">
        <v>0</v>
      </c>
    </row>
    <row r="940" spans="1:13" x14ac:dyDescent="0.25">
      <c r="A940" t="s">
        <v>3820</v>
      </c>
      <c r="B940" t="s">
        <v>3821</v>
      </c>
      <c r="C940" t="s">
        <v>3822</v>
      </c>
      <c r="D940" t="s">
        <v>3823</v>
      </c>
      <c r="E940" t="s">
        <v>64</v>
      </c>
      <c r="F940" t="s">
        <v>56</v>
      </c>
      <c r="G940" t="s">
        <v>190</v>
      </c>
      <c r="H940" t="s">
        <v>72</v>
      </c>
      <c r="I940" t="s">
        <v>51</v>
      </c>
      <c r="J940" t="s">
        <v>59</v>
      </c>
      <c r="K940">
        <v>5</v>
      </c>
      <c r="L940">
        <v>219.51</v>
      </c>
      <c r="M940">
        <v>0.15</v>
      </c>
    </row>
    <row r="941" spans="1:13" x14ac:dyDescent="0.25">
      <c r="A941" t="s">
        <v>3824</v>
      </c>
      <c r="B941" t="s">
        <v>3825</v>
      </c>
      <c r="C941" t="s">
        <v>3826</v>
      </c>
      <c r="D941" t="s">
        <v>3827</v>
      </c>
      <c r="E941" t="s">
        <v>116</v>
      </c>
      <c r="F941" t="s">
        <v>84</v>
      </c>
      <c r="G941" t="s">
        <v>85</v>
      </c>
      <c r="H941" t="s">
        <v>42</v>
      </c>
      <c r="I941" t="s">
        <v>96</v>
      </c>
      <c r="J941" t="s">
        <v>34</v>
      </c>
      <c r="K941">
        <v>6</v>
      </c>
      <c r="L941">
        <v>62.72</v>
      </c>
      <c r="M941">
        <v>0</v>
      </c>
    </row>
    <row r="942" spans="1:13" x14ac:dyDescent="0.25">
      <c r="A942" t="s">
        <v>3828</v>
      </c>
      <c r="B942" t="s">
        <v>3829</v>
      </c>
      <c r="C942" t="s">
        <v>3830</v>
      </c>
      <c r="D942" t="s">
        <v>3831</v>
      </c>
      <c r="E942" t="s">
        <v>29</v>
      </c>
      <c r="F942" t="s">
        <v>30</v>
      </c>
      <c r="G942" t="s">
        <v>139</v>
      </c>
      <c r="H942" t="s">
        <v>72</v>
      </c>
      <c r="I942" t="s">
        <v>43</v>
      </c>
      <c r="J942" t="s">
        <v>59</v>
      </c>
      <c r="K942">
        <v>6</v>
      </c>
      <c r="L942">
        <v>662.19</v>
      </c>
      <c r="M942">
        <v>0.15</v>
      </c>
    </row>
    <row r="943" spans="1:13" x14ac:dyDescent="0.25">
      <c r="A943" t="s">
        <v>3832</v>
      </c>
      <c r="B943" t="s">
        <v>3833</v>
      </c>
      <c r="C943" t="s">
        <v>3834</v>
      </c>
      <c r="D943" t="s">
        <v>3835</v>
      </c>
      <c r="E943" t="s">
        <v>29</v>
      </c>
      <c r="F943" t="s">
        <v>84</v>
      </c>
      <c r="G943" t="s">
        <v>205</v>
      </c>
      <c r="H943" t="s">
        <v>72</v>
      </c>
      <c r="I943" t="s">
        <v>96</v>
      </c>
      <c r="J943" t="s">
        <v>34</v>
      </c>
      <c r="K943">
        <v>8</v>
      </c>
      <c r="L943">
        <v>456.54</v>
      </c>
      <c r="M943">
        <v>0.15</v>
      </c>
    </row>
    <row r="944" spans="1:13" x14ac:dyDescent="0.25">
      <c r="A944" t="s">
        <v>3836</v>
      </c>
      <c r="B944" t="s">
        <v>3837</v>
      </c>
      <c r="C944" t="s">
        <v>3838</v>
      </c>
      <c r="D944" t="s">
        <v>3839</v>
      </c>
      <c r="E944" t="s">
        <v>71</v>
      </c>
      <c r="F944" t="s">
        <v>40</v>
      </c>
      <c r="G944" t="s">
        <v>315</v>
      </c>
      <c r="H944" t="s">
        <v>42</v>
      </c>
      <c r="I944" t="s">
        <v>96</v>
      </c>
      <c r="J944" t="s">
        <v>34</v>
      </c>
      <c r="K944">
        <v>7</v>
      </c>
      <c r="L944">
        <v>710.54</v>
      </c>
      <c r="M944">
        <v>0.1</v>
      </c>
    </row>
    <row r="945" spans="1:13" x14ac:dyDescent="0.25">
      <c r="A945" t="s">
        <v>3840</v>
      </c>
      <c r="B945" t="s">
        <v>3841</v>
      </c>
      <c r="C945" t="s">
        <v>3842</v>
      </c>
      <c r="D945" t="s">
        <v>3843</v>
      </c>
      <c r="E945" t="s">
        <v>149</v>
      </c>
      <c r="F945" t="s">
        <v>56</v>
      </c>
      <c r="G945" t="s">
        <v>95</v>
      </c>
      <c r="H945" t="s">
        <v>58</v>
      </c>
      <c r="I945" t="s">
        <v>43</v>
      </c>
      <c r="J945" t="s">
        <v>59</v>
      </c>
      <c r="K945">
        <v>5</v>
      </c>
      <c r="L945">
        <v>928.58</v>
      </c>
      <c r="M945">
        <v>0</v>
      </c>
    </row>
    <row r="946" spans="1:13" x14ac:dyDescent="0.25">
      <c r="A946" t="s">
        <v>3844</v>
      </c>
      <c r="B946" t="s">
        <v>3845</v>
      </c>
      <c r="C946" t="s">
        <v>3846</v>
      </c>
      <c r="D946" t="s">
        <v>3847</v>
      </c>
      <c r="E946" t="s">
        <v>64</v>
      </c>
      <c r="F946" t="s">
        <v>49</v>
      </c>
      <c r="G946" t="s">
        <v>259</v>
      </c>
      <c r="H946" t="s">
        <v>32</v>
      </c>
      <c r="I946" t="s">
        <v>66</v>
      </c>
      <c r="J946" t="s">
        <v>126</v>
      </c>
      <c r="K946">
        <v>1</v>
      </c>
      <c r="L946">
        <v>698.43</v>
      </c>
      <c r="M946">
        <v>0</v>
      </c>
    </row>
    <row r="947" spans="1:13" x14ac:dyDescent="0.25">
      <c r="A947" t="s">
        <v>3848</v>
      </c>
      <c r="B947" t="s">
        <v>3849</v>
      </c>
      <c r="C947" t="s">
        <v>3850</v>
      </c>
      <c r="D947" t="s">
        <v>3851</v>
      </c>
      <c r="E947" t="s">
        <v>29</v>
      </c>
      <c r="F947" t="s">
        <v>40</v>
      </c>
      <c r="G947" t="s">
        <v>565</v>
      </c>
      <c r="H947" t="s">
        <v>32</v>
      </c>
      <c r="I947" t="s">
        <v>43</v>
      </c>
      <c r="J947" t="s">
        <v>73</v>
      </c>
      <c r="K947">
        <v>1</v>
      </c>
      <c r="L947">
        <v>1040.53</v>
      </c>
      <c r="M947">
        <v>0</v>
      </c>
    </row>
    <row r="948" spans="1:13" x14ac:dyDescent="0.25">
      <c r="A948" t="s">
        <v>3852</v>
      </c>
      <c r="B948" t="s">
        <v>3853</v>
      </c>
      <c r="C948" t="s">
        <v>3854</v>
      </c>
      <c r="D948" t="s">
        <v>3855</v>
      </c>
      <c r="E948" t="s">
        <v>48</v>
      </c>
      <c r="F948" t="s">
        <v>84</v>
      </c>
      <c r="G948" t="s">
        <v>412</v>
      </c>
      <c r="H948" t="s">
        <v>72</v>
      </c>
      <c r="I948" t="s">
        <v>51</v>
      </c>
      <c r="J948" t="s">
        <v>126</v>
      </c>
      <c r="K948">
        <v>1</v>
      </c>
      <c r="L948">
        <v>1082.93</v>
      </c>
      <c r="M948">
        <v>0.1</v>
      </c>
    </row>
    <row r="949" spans="1:13" x14ac:dyDescent="0.25">
      <c r="A949" t="s">
        <v>3856</v>
      </c>
      <c r="B949" t="s">
        <v>3857</v>
      </c>
      <c r="C949" t="s">
        <v>3858</v>
      </c>
      <c r="D949" t="s">
        <v>3859</v>
      </c>
      <c r="E949" t="s">
        <v>116</v>
      </c>
      <c r="F949" t="s">
        <v>40</v>
      </c>
      <c r="G949" t="s">
        <v>144</v>
      </c>
      <c r="H949" t="s">
        <v>32</v>
      </c>
      <c r="I949" t="s">
        <v>33</v>
      </c>
      <c r="J949" t="s">
        <v>34</v>
      </c>
      <c r="K949">
        <v>2</v>
      </c>
      <c r="L949">
        <v>382.1</v>
      </c>
      <c r="M949">
        <v>0.1</v>
      </c>
    </row>
    <row r="950" spans="1:13" x14ac:dyDescent="0.25">
      <c r="A950" t="s">
        <v>3860</v>
      </c>
      <c r="B950" t="s">
        <v>3861</v>
      </c>
      <c r="C950" t="s">
        <v>3862</v>
      </c>
      <c r="D950" t="s">
        <v>3863</v>
      </c>
      <c r="E950" t="s">
        <v>149</v>
      </c>
      <c r="F950" t="s">
        <v>49</v>
      </c>
      <c r="G950" t="s">
        <v>286</v>
      </c>
      <c r="H950" t="s">
        <v>42</v>
      </c>
      <c r="I950" t="s">
        <v>33</v>
      </c>
      <c r="J950" t="s">
        <v>126</v>
      </c>
      <c r="K950">
        <v>9</v>
      </c>
      <c r="L950">
        <v>1233.0999999999999</v>
      </c>
      <c r="M950">
        <v>0.05</v>
      </c>
    </row>
    <row r="951" spans="1:13" x14ac:dyDescent="0.25">
      <c r="A951" t="s">
        <v>3864</v>
      </c>
      <c r="B951" t="s">
        <v>3865</v>
      </c>
      <c r="C951" t="s">
        <v>3866</v>
      </c>
      <c r="D951" t="s">
        <v>3867</v>
      </c>
      <c r="E951" t="s">
        <v>48</v>
      </c>
      <c r="F951" t="s">
        <v>30</v>
      </c>
      <c r="G951" t="s">
        <v>31</v>
      </c>
      <c r="H951" t="s">
        <v>42</v>
      </c>
      <c r="I951" t="s">
        <v>96</v>
      </c>
      <c r="J951" t="s">
        <v>59</v>
      </c>
      <c r="K951">
        <v>9</v>
      </c>
      <c r="L951">
        <v>268.60000000000002</v>
      </c>
      <c r="M951">
        <v>0</v>
      </c>
    </row>
    <row r="952" spans="1:13" x14ac:dyDescent="0.25">
      <c r="A952" t="s">
        <v>3868</v>
      </c>
      <c r="B952" t="s">
        <v>3869</v>
      </c>
      <c r="C952" t="s">
        <v>3870</v>
      </c>
      <c r="D952" t="s">
        <v>3871</v>
      </c>
      <c r="E952" t="s">
        <v>200</v>
      </c>
      <c r="F952" t="s">
        <v>84</v>
      </c>
      <c r="G952" t="s">
        <v>412</v>
      </c>
      <c r="H952" t="s">
        <v>42</v>
      </c>
      <c r="I952" t="s">
        <v>96</v>
      </c>
      <c r="J952" t="s">
        <v>73</v>
      </c>
      <c r="K952">
        <v>2</v>
      </c>
      <c r="L952">
        <v>595.91999999999996</v>
      </c>
      <c r="M952">
        <v>0.1</v>
      </c>
    </row>
    <row r="953" spans="1:13" x14ac:dyDescent="0.25">
      <c r="A953" t="s">
        <v>3872</v>
      </c>
      <c r="B953" t="s">
        <v>3873</v>
      </c>
      <c r="C953" t="s">
        <v>3874</v>
      </c>
      <c r="D953" t="s">
        <v>3875</v>
      </c>
      <c r="E953" t="s">
        <v>83</v>
      </c>
      <c r="F953" t="s">
        <v>49</v>
      </c>
      <c r="G953" t="s">
        <v>117</v>
      </c>
      <c r="H953" t="s">
        <v>42</v>
      </c>
      <c r="I953" t="s">
        <v>51</v>
      </c>
      <c r="J953" t="s">
        <v>59</v>
      </c>
      <c r="K953">
        <v>1</v>
      </c>
      <c r="L953">
        <v>877.1</v>
      </c>
      <c r="M953">
        <v>0.2</v>
      </c>
    </row>
    <row r="954" spans="1:13" x14ac:dyDescent="0.25">
      <c r="A954" t="s">
        <v>3876</v>
      </c>
      <c r="B954" t="s">
        <v>3877</v>
      </c>
      <c r="C954" t="s">
        <v>3878</v>
      </c>
      <c r="D954" t="s">
        <v>3879</v>
      </c>
      <c r="E954" t="s">
        <v>29</v>
      </c>
      <c r="F954" t="s">
        <v>56</v>
      </c>
      <c r="G954" t="s">
        <v>95</v>
      </c>
      <c r="H954" t="s">
        <v>58</v>
      </c>
      <c r="I954" t="s">
        <v>33</v>
      </c>
      <c r="J954" t="s">
        <v>34</v>
      </c>
      <c r="K954">
        <v>9</v>
      </c>
      <c r="L954">
        <v>546.26</v>
      </c>
      <c r="M954">
        <v>0</v>
      </c>
    </row>
    <row r="955" spans="1:13" x14ac:dyDescent="0.25">
      <c r="A955" t="s">
        <v>3880</v>
      </c>
      <c r="B955" t="s">
        <v>3881</v>
      </c>
      <c r="C955" t="s">
        <v>3882</v>
      </c>
      <c r="D955" t="s">
        <v>3883</v>
      </c>
      <c r="E955" t="s">
        <v>48</v>
      </c>
      <c r="F955" t="s">
        <v>84</v>
      </c>
      <c r="G955" t="s">
        <v>90</v>
      </c>
      <c r="H955" t="s">
        <v>58</v>
      </c>
      <c r="I955" t="s">
        <v>96</v>
      </c>
      <c r="J955" t="s">
        <v>126</v>
      </c>
      <c r="K955">
        <v>3</v>
      </c>
      <c r="L955">
        <v>518.85</v>
      </c>
      <c r="M955">
        <v>0.05</v>
      </c>
    </row>
    <row r="956" spans="1:13" x14ac:dyDescent="0.25">
      <c r="A956" t="s">
        <v>3884</v>
      </c>
      <c r="B956" t="s">
        <v>3885</v>
      </c>
      <c r="C956" t="s">
        <v>3886</v>
      </c>
      <c r="D956" t="s">
        <v>3887</v>
      </c>
      <c r="E956" t="s">
        <v>83</v>
      </c>
      <c r="F956" t="s">
        <v>30</v>
      </c>
      <c r="G956" t="s">
        <v>139</v>
      </c>
      <c r="H956" t="s">
        <v>58</v>
      </c>
      <c r="I956" t="s">
        <v>43</v>
      </c>
      <c r="J956" t="s">
        <v>59</v>
      </c>
      <c r="K956">
        <v>9</v>
      </c>
      <c r="L956">
        <v>1067.1199999999999</v>
      </c>
      <c r="M956">
        <v>0.2</v>
      </c>
    </row>
    <row r="957" spans="1:13" x14ac:dyDescent="0.25">
      <c r="A957" t="s">
        <v>3888</v>
      </c>
      <c r="B957" t="s">
        <v>3889</v>
      </c>
      <c r="C957" t="s">
        <v>3890</v>
      </c>
      <c r="D957" t="s">
        <v>3891</v>
      </c>
      <c r="E957" t="s">
        <v>149</v>
      </c>
      <c r="F957" t="s">
        <v>56</v>
      </c>
      <c r="G957" t="s">
        <v>101</v>
      </c>
      <c r="H957" t="s">
        <v>32</v>
      </c>
      <c r="I957" t="s">
        <v>51</v>
      </c>
      <c r="J957" t="s">
        <v>34</v>
      </c>
      <c r="K957">
        <v>3</v>
      </c>
      <c r="L957">
        <v>58.84</v>
      </c>
      <c r="M957">
        <v>0</v>
      </c>
    </row>
    <row r="958" spans="1:13" x14ac:dyDescent="0.25">
      <c r="A958" t="s">
        <v>3892</v>
      </c>
      <c r="B958" t="s">
        <v>3893</v>
      </c>
      <c r="C958" t="s">
        <v>3894</v>
      </c>
      <c r="D958" t="s">
        <v>3895</v>
      </c>
      <c r="E958" t="s">
        <v>39</v>
      </c>
      <c r="F958" t="s">
        <v>30</v>
      </c>
      <c r="G958" t="s">
        <v>269</v>
      </c>
      <c r="H958" t="s">
        <v>42</v>
      </c>
      <c r="I958" t="s">
        <v>96</v>
      </c>
      <c r="J958" t="s">
        <v>126</v>
      </c>
      <c r="K958">
        <v>3</v>
      </c>
      <c r="L958">
        <v>1351.19</v>
      </c>
      <c r="M958">
        <v>0.2</v>
      </c>
    </row>
    <row r="959" spans="1:13" x14ac:dyDescent="0.25">
      <c r="A959" t="s">
        <v>3896</v>
      </c>
      <c r="B959" t="s">
        <v>3897</v>
      </c>
      <c r="C959" t="s">
        <v>3898</v>
      </c>
      <c r="D959" t="s">
        <v>3899</v>
      </c>
      <c r="E959" t="s">
        <v>64</v>
      </c>
      <c r="F959" t="s">
        <v>56</v>
      </c>
      <c r="G959" t="s">
        <v>57</v>
      </c>
      <c r="H959" t="s">
        <v>32</v>
      </c>
      <c r="I959" t="s">
        <v>43</v>
      </c>
      <c r="J959" t="s">
        <v>59</v>
      </c>
      <c r="K959">
        <v>10</v>
      </c>
      <c r="L959">
        <v>1148.58</v>
      </c>
      <c r="M959">
        <v>0.2</v>
      </c>
    </row>
    <row r="960" spans="1:13" x14ac:dyDescent="0.25">
      <c r="A960" t="s">
        <v>3900</v>
      </c>
      <c r="B960" t="s">
        <v>3901</v>
      </c>
      <c r="C960" t="s">
        <v>3902</v>
      </c>
      <c r="D960" t="s">
        <v>3903</v>
      </c>
      <c r="E960" t="s">
        <v>48</v>
      </c>
      <c r="F960" t="s">
        <v>40</v>
      </c>
      <c r="G960" t="s">
        <v>41</v>
      </c>
      <c r="H960" t="s">
        <v>42</v>
      </c>
      <c r="I960" t="s">
        <v>66</v>
      </c>
      <c r="J960" t="s">
        <v>73</v>
      </c>
      <c r="K960">
        <v>5</v>
      </c>
      <c r="L960">
        <v>311.61</v>
      </c>
      <c r="M960">
        <v>0.1</v>
      </c>
    </row>
    <row r="961" spans="1:13" x14ac:dyDescent="0.25">
      <c r="A961" t="s">
        <v>3904</v>
      </c>
      <c r="B961" t="s">
        <v>3905</v>
      </c>
      <c r="C961" t="s">
        <v>3906</v>
      </c>
      <c r="D961" t="s">
        <v>3907</v>
      </c>
      <c r="E961" t="s">
        <v>78</v>
      </c>
      <c r="F961" t="s">
        <v>30</v>
      </c>
      <c r="G961" t="s">
        <v>269</v>
      </c>
      <c r="H961" t="s">
        <v>32</v>
      </c>
      <c r="I961" t="s">
        <v>43</v>
      </c>
      <c r="J961" t="s">
        <v>126</v>
      </c>
      <c r="K961">
        <v>2</v>
      </c>
      <c r="L961">
        <v>879.43</v>
      </c>
      <c r="M961">
        <v>0</v>
      </c>
    </row>
    <row r="962" spans="1:13" x14ac:dyDescent="0.25">
      <c r="A962" t="s">
        <v>3908</v>
      </c>
      <c r="B962" t="s">
        <v>3909</v>
      </c>
      <c r="C962" t="s">
        <v>3910</v>
      </c>
      <c r="D962" t="s">
        <v>3911</v>
      </c>
      <c r="E962" t="s">
        <v>116</v>
      </c>
      <c r="F962" t="s">
        <v>84</v>
      </c>
      <c r="G962" t="s">
        <v>85</v>
      </c>
      <c r="H962" t="s">
        <v>72</v>
      </c>
      <c r="I962" t="s">
        <v>43</v>
      </c>
      <c r="J962" t="s">
        <v>34</v>
      </c>
      <c r="K962">
        <v>9</v>
      </c>
      <c r="L962">
        <v>1028.31</v>
      </c>
      <c r="M962">
        <v>0.1</v>
      </c>
    </row>
    <row r="963" spans="1:13" x14ac:dyDescent="0.25">
      <c r="A963" t="s">
        <v>3912</v>
      </c>
      <c r="B963" t="s">
        <v>3913</v>
      </c>
      <c r="C963" t="s">
        <v>3914</v>
      </c>
      <c r="D963" t="s">
        <v>3915</v>
      </c>
      <c r="E963" t="s">
        <v>78</v>
      </c>
      <c r="F963" t="s">
        <v>30</v>
      </c>
      <c r="G963" t="s">
        <v>269</v>
      </c>
      <c r="H963" t="s">
        <v>32</v>
      </c>
      <c r="I963" t="s">
        <v>43</v>
      </c>
      <c r="J963" t="s">
        <v>59</v>
      </c>
      <c r="K963">
        <v>7</v>
      </c>
      <c r="L963">
        <v>666.73</v>
      </c>
      <c r="M963">
        <v>0</v>
      </c>
    </row>
    <row r="964" spans="1:13" x14ac:dyDescent="0.25">
      <c r="A964" t="s">
        <v>3916</v>
      </c>
      <c r="B964" t="s">
        <v>3917</v>
      </c>
      <c r="C964" t="s">
        <v>3918</v>
      </c>
      <c r="D964" t="s">
        <v>3919</v>
      </c>
      <c r="E964" t="s">
        <v>64</v>
      </c>
      <c r="F964" t="s">
        <v>40</v>
      </c>
      <c r="G964" t="s">
        <v>41</v>
      </c>
      <c r="H964" t="s">
        <v>58</v>
      </c>
      <c r="I964" t="s">
        <v>96</v>
      </c>
      <c r="J964" t="s">
        <v>59</v>
      </c>
      <c r="K964">
        <v>4</v>
      </c>
      <c r="L964">
        <v>506.42</v>
      </c>
      <c r="M964">
        <v>0.05</v>
      </c>
    </row>
    <row r="965" spans="1:13" x14ac:dyDescent="0.25">
      <c r="A965" t="s">
        <v>3920</v>
      </c>
      <c r="B965" t="s">
        <v>3921</v>
      </c>
      <c r="C965" t="s">
        <v>3922</v>
      </c>
      <c r="D965" t="s">
        <v>3923</v>
      </c>
      <c r="E965" t="s">
        <v>78</v>
      </c>
      <c r="F965" t="s">
        <v>40</v>
      </c>
      <c r="G965" t="s">
        <v>106</v>
      </c>
      <c r="H965" t="s">
        <v>58</v>
      </c>
      <c r="I965" t="s">
        <v>96</v>
      </c>
      <c r="J965" t="s">
        <v>126</v>
      </c>
      <c r="K965">
        <v>10</v>
      </c>
      <c r="L965">
        <v>1281.99</v>
      </c>
      <c r="M965">
        <v>0.15</v>
      </c>
    </row>
    <row r="966" spans="1:13" x14ac:dyDescent="0.25">
      <c r="A966" t="s">
        <v>3924</v>
      </c>
      <c r="B966" t="s">
        <v>3925</v>
      </c>
      <c r="C966" t="s">
        <v>3926</v>
      </c>
      <c r="D966" t="s">
        <v>3927</v>
      </c>
      <c r="E966" t="s">
        <v>200</v>
      </c>
      <c r="F966" t="s">
        <v>84</v>
      </c>
      <c r="G966" t="s">
        <v>205</v>
      </c>
      <c r="H966" t="s">
        <v>72</v>
      </c>
      <c r="I966" t="s">
        <v>66</v>
      </c>
      <c r="J966" t="s">
        <v>126</v>
      </c>
      <c r="K966">
        <v>7</v>
      </c>
      <c r="L966">
        <v>62.93</v>
      </c>
      <c r="M966">
        <v>0.05</v>
      </c>
    </row>
    <row r="967" spans="1:13" x14ac:dyDescent="0.25">
      <c r="A967" t="s">
        <v>3928</v>
      </c>
      <c r="B967" t="s">
        <v>3929</v>
      </c>
      <c r="C967" t="s">
        <v>3930</v>
      </c>
      <c r="D967" t="s">
        <v>3931</v>
      </c>
      <c r="E967" t="s">
        <v>71</v>
      </c>
      <c r="F967" t="s">
        <v>56</v>
      </c>
      <c r="G967" t="s">
        <v>95</v>
      </c>
      <c r="H967" t="s">
        <v>32</v>
      </c>
      <c r="I967" t="s">
        <v>66</v>
      </c>
      <c r="J967" t="s">
        <v>126</v>
      </c>
      <c r="K967">
        <v>10</v>
      </c>
      <c r="L967">
        <v>747.93</v>
      </c>
      <c r="M967">
        <v>0.15</v>
      </c>
    </row>
    <row r="968" spans="1:13" x14ac:dyDescent="0.25">
      <c r="A968" t="s">
        <v>3932</v>
      </c>
      <c r="B968" t="s">
        <v>3933</v>
      </c>
      <c r="C968" t="s">
        <v>3934</v>
      </c>
      <c r="D968" t="s">
        <v>3935</v>
      </c>
      <c r="E968" t="s">
        <v>116</v>
      </c>
      <c r="F968" t="s">
        <v>40</v>
      </c>
      <c r="G968" t="s">
        <v>565</v>
      </c>
      <c r="H968" t="s">
        <v>32</v>
      </c>
      <c r="I968" t="s">
        <v>51</v>
      </c>
      <c r="J968" t="s">
        <v>126</v>
      </c>
      <c r="K968">
        <v>5</v>
      </c>
      <c r="L968">
        <v>1420.7</v>
      </c>
      <c r="M968">
        <v>0.2</v>
      </c>
    </row>
    <row r="969" spans="1:13" x14ac:dyDescent="0.25">
      <c r="A969" t="s">
        <v>3936</v>
      </c>
      <c r="B969" t="s">
        <v>3937</v>
      </c>
      <c r="C969" t="s">
        <v>3938</v>
      </c>
      <c r="D969" t="s">
        <v>3939</v>
      </c>
      <c r="E969" t="s">
        <v>71</v>
      </c>
      <c r="F969" t="s">
        <v>49</v>
      </c>
      <c r="G969" t="s">
        <v>226</v>
      </c>
      <c r="H969" t="s">
        <v>32</v>
      </c>
      <c r="I969" t="s">
        <v>51</v>
      </c>
      <c r="J969" t="s">
        <v>73</v>
      </c>
      <c r="K969">
        <v>4</v>
      </c>
      <c r="L969">
        <v>465.58</v>
      </c>
      <c r="M969">
        <v>0</v>
      </c>
    </row>
    <row r="970" spans="1:13" x14ac:dyDescent="0.25">
      <c r="A970" t="s">
        <v>3940</v>
      </c>
      <c r="B970" t="s">
        <v>3941</v>
      </c>
      <c r="C970" t="s">
        <v>3942</v>
      </c>
      <c r="D970" t="s">
        <v>3943</v>
      </c>
      <c r="E970" t="s">
        <v>64</v>
      </c>
      <c r="F970" t="s">
        <v>40</v>
      </c>
      <c r="G970" t="s">
        <v>565</v>
      </c>
      <c r="H970" t="s">
        <v>72</v>
      </c>
      <c r="I970" t="s">
        <v>96</v>
      </c>
      <c r="J970" t="s">
        <v>34</v>
      </c>
      <c r="K970">
        <v>7</v>
      </c>
      <c r="L970">
        <v>92.43</v>
      </c>
      <c r="M970">
        <v>0.2</v>
      </c>
    </row>
    <row r="971" spans="1:13" x14ac:dyDescent="0.25">
      <c r="A971" t="s">
        <v>3944</v>
      </c>
      <c r="B971" t="s">
        <v>3945</v>
      </c>
      <c r="C971" t="s">
        <v>3946</v>
      </c>
      <c r="D971" t="s">
        <v>3947</v>
      </c>
      <c r="E971" t="s">
        <v>116</v>
      </c>
      <c r="F971" t="s">
        <v>40</v>
      </c>
      <c r="G971" t="s">
        <v>315</v>
      </c>
      <c r="H971" t="s">
        <v>32</v>
      </c>
      <c r="I971" t="s">
        <v>43</v>
      </c>
      <c r="J971" t="s">
        <v>73</v>
      </c>
      <c r="K971">
        <v>6</v>
      </c>
      <c r="L971">
        <v>537.41</v>
      </c>
      <c r="M971">
        <v>0.1</v>
      </c>
    </row>
    <row r="972" spans="1:13" x14ac:dyDescent="0.25">
      <c r="A972" t="s">
        <v>3948</v>
      </c>
      <c r="B972" t="s">
        <v>3949</v>
      </c>
      <c r="C972" t="s">
        <v>3950</v>
      </c>
      <c r="D972" t="s">
        <v>3951</v>
      </c>
      <c r="E972" t="s">
        <v>149</v>
      </c>
      <c r="F972" t="s">
        <v>40</v>
      </c>
      <c r="G972" t="s">
        <v>41</v>
      </c>
      <c r="H972" t="s">
        <v>72</v>
      </c>
      <c r="I972" t="s">
        <v>51</v>
      </c>
      <c r="J972" t="s">
        <v>126</v>
      </c>
      <c r="K972">
        <v>1</v>
      </c>
      <c r="L972">
        <v>82.98</v>
      </c>
      <c r="M972">
        <v>0.2</v>
      </c>
    </row>
    <row r="973" spans="1:13" x14ac:dyDescent="0.25">
      <c r="A973" t="s">
        <v>3952</v>
      </c>
      <c r="B973" t="s">
        <v>3953</v>
      </c>
      <c r="C973" t="s">
        <v>3954</v>
      </c>
      <c r="D973" t="s">
        <v>3955</v>
      </c>
      <c r="E973" t="s">
        <v>29</v>
      </c>
      <c r="F973" t="s">
        <v>56</v>
      </c>
      <c r="G973" t="s">
        <v>190</v>
      </c>
      <c r="H973" t="s">
        <v>72</v>
      </c>
      <c r="I973" t="s">
        <v>33</v>
      </c>
      <c r="J973" t="s">
        <v>34</v>
      </c>
      <c r="K973">
        <v>4</v>
      </c>
      <c r="L973">
        <v>534.26</v>
      </c>
      <c r="M973">
        <v>0.05</v>
      </c>
    </row>
    <row r="974" spans="1:13" x14ac:dyDescent="0.25">
      <c r="A974" t="s">
        <v>3956</v>
      </c>
      <c r="B974" t="s">
        <v>3957</v>
      </c>
      <c r="C974" t="s">
        <v>3958</v>
      </c>
      <c r="D974" t="s">
        <v>3959</v>
      </c>
      <c r="E974" t="s">
        <v>116</v>
      </c>
      <c r="F974" t="s">
        <v>56</v>
      </c>
      <c r="G974" t="s">
        <v>190</v>
      </c>
      <c r="H974" t="s">
        <v>58</v>
      </c>
      <c r="I974" t="s">
        <v>43</v>
      </c>
      <c r="J974" t="s">
        <v>34</v>
      </c>
      <c r="K974">
        <v>4</v>
      </c>
      <c r="L974">
        <v>1408.48</v>
      </c>
      <c r="M974">
        <v>0.1</v>
      </c>
    </row>
    <row r="975" spans="1:13" x14ac:dyDescent="0.25">
      <c r="A975" t="s">
        <v>3960</v>
      </c>
      <c r="B975" t="s">
        <v>3961</v>
      </c>
      <c r="C975" t="s">
        <v>3962</v>
      </c>
      <c r="D975" t="s">
        <v>3963</v>
      </c>
      <c r="E975" t="s">
        <v>39</v>
      </c>
      <c r="F975" t="s">
        <v>40</v>
      </c>
      <c r="G975" t="s">
        <v>315</v>
      </c>
      <c r="H975" t="s">
        <v>32</v>
      </c>
      <c r="I975" t="s">
        <v>51</v>
      </c>
      <c r="J975" t="s">
        <v>59</v>
      </c>
      <c r="K975">
        <v>9</v>
      </c>
      <c r="L975">
        <v>488.51</v>
      </c>
      <c r="M975">
        <v>0.15</v>
      </c>
    </row>
    <row r="976" spans="1:13" x14ac:dyDescent="0.25">
      <c r="A976" t="s">
        <v>3964</v>
      </c>
      <c r="B976" t="s">
        <v>3965</v>
      </c>
      <c r="C976" t="s">
        <v>3966</v>
      </c>
      <c r="D976" t="s">
        <v>3967</v>
      </c>
      <c r="E976" t="s">
        <v>29</v>
      </c>
      <c r="F976" t="s">
        <v>56</v>
      </c>
      <c r="G976" t="s">
        <v>95</v>
      </c>
      <c r="H976" t="s">
        <v>58</v>
      </c>
      <c r="I976" t="s">
        <v>33</v>
      </c>
      <c r="J976" t="s">
        <v>73</v>
      </c>
      <c r="K976">
        <v>9</v>
      </c>
      <c r="L976">
        <v>1369.39</v>
      </c>
      <c r="M976">
        <v>0</v>
      </c>
    </row>
    <row r="977" spans="1:13" x14ac:dyDescent="0.25">
      <c r="A977" t="s">
        <v>3968</v>
      </c>
      <c r="B977" t="s">
        <v>3969</v>
      </c>
      <c r="C977" t="s">
        <v>3970</v>
      </c>
      <c r="D977" t="s">
        <v>3971</v>
      </c>
      <c r="E977" t="s">
        <v>48</v>
      </c>
      <c r="F977" t="s">
        <v>56</v>
      </c>
      <c r="G977" t="s">
        <v>95</v>
      </c>
      <c r="H977" t="s">
        <v>32</v>
      </c>
      <c r="I977" t="s">
        <v>96</v>
      </c>
      <c r="J977" t="s">
        <v>126</v>
      </c>
      <c r="K977">
        <v>8</v>
      </c>
      <c r="L977">
        <v>1052.04</v>
      </c>
      <c r="M977">
        <v>0</v>
      </c>
    </row>
    <row r="978" spans="1:13" x14ac:dyDescent="0.25">
      <c r="A978" t="s">
        <v>3972</v>
      </c>
      <c r="B978" t="s">
        <v>3973</v>
      </c>
      <c r="C978" t="s">
        <v>3974</v>
      </c>
      <c r="D978" t="s">
        <v>3975</v>
      </c>
      <c r="E978" t="s">
        <v>29</v>
      </c>
      <c r="F978" t="s">
        <v>56</v>
      </c>
      <c r="G978" t="s">
        <v>101</v>
      </c>
      <c r="H978" t="s">
        <v>42</v>
      </c>
      <c r="I978" t="s">
        <v>51</v>
      </c>
      <c r="J978" t="s">
        <v>34</v>
      </c>
      <c r="K978">
        <v>10</v>
      </c>
      <c r="L978">
        <v>429.45</v>
      </c>
      <c r="M978">
        <v>0.1</v>
      </c>
    </row>
    <row r="979" spans="1:13" x14ac:dyDescent="0.25">
      <c r="A979" t="s">
        <v>3976</v>
      </c>
      <c r="B979" t="s">
        <v>3977</v>
      </c>
      <c r="C979" t="s">
        <v>3978</v>
      </c>
      <c r="D979" t="s">
        <v>3979</v>
      </c>
      <c r="E979" t="s">
        <v>39</v>
      </c>
      <c r="F979" t="s">
        <v>49</v>
      </c>
      <c r="G979" t="s">
        <v>286</v>
      </c>
      <c r="H979" t="s">
        <v>58</v>
      </c>
      <c r="I979" t="s">
        <v>51</v>
      </c>
      <c r="J979" t="s">
        <v>59</v>
      </c>
      <c r="K979">
        <v>9</v>
      </c>
      <c r="L979">
        <v>994.99</v>
      </c>
      <c r="M979">
        <v>0</v>
      </c>
    </row>
    <row r="980" spans="1:13" x14ac:dyDescent="0.25">
      <c r="A980" t="s">
        <v>3980</v>
      </c>
      <c r="B980" t="s">
        <v>3981</v>
      </c>
      <c r="C980" t="s">
        <v>3982</v>
      </c>
      <c r="D980" t="s">
        <v>3983</v>
      </c>
      <c r="E980" t="s">
        <v>29</v>
      </c>
      <c r="F980" t="s">
        <v>40</v>
      </c>
      <c r="G980" t="s">
        <v>106</v>
      </c>
      <c r="H980" t="s">
        <v>42</v>
      </c>
      <c r="I980" t="s">
        <v>96</v>
      </c>
      <c r="J980" t="s">
        <v>126</v>
      </c>
      <c r="K980">
        <v>6</v>
      </c>
      <c r="L980">
        <v>1139.52</v>
      </c>
      <c r="M980">
        <v>0.2</v>
      </c>
    </row>
    <row r="981" spans="1:13" x14ac:dyDescent="0.25">
      <c r="A981" t="s">
        <v>3984</v>
      </c>
      <c r="B981" t="s">
        <v>3985</v>
      </c>
      <c r="C981" t="s">
        <v>3986</v>
      </c>
      <c r="D981" t="s">
        <v>3987</v>
      </c>
      <c r="E981" t="s">
        <v>29</v>
      </c>
      <c r="F981" t="s">
        <v>40</v>
      </c>
      <c r="G981" t="s">
        <v>565</v>
      </c>
      <c r="H981" t="s">
        <v>58</v>
      </c>
      <c r="I981" t="s">
        <v>43</v>
      </c>
      <c r="J981" t="s">
        <v>34</v>
      </c>
      <c r="K981">
        <v>10</v>
      </c>
      <c r="L981">
        <v>644.4</v>
      </c>
      <c r="M981">
        <v>0.15</v>
      </c>
    </row>
    <row r="982" spans="1:13" x14ac:dyDescent="0.25">
      <c r="A982" t="s">
        <v>3988</v>
      </c>
      <c r="B982" t="s">
        <v>3989</v>
      </c>
      <c r="C982" t="s">
        <v>3990</v>
      </c>
      <c r="D982" t="s">
        <v>3991</v>
      </c>
      <c r="E982" t="s">
        <v>64</v>
      </c>
      <c r="F982" t="s">
        <v>84</v>
      </c>
      <c r="G982" t="s">
        <v>412</v>
      </c>
      <c r="H982" t="s">
        <v>58</v>
      </c>
      <c r="I982" t="s">
        <v>66</v>
      </c>
      <c r="J982" t="s">
        <v>34</v>
      </c>
      <c r="K982">
        <v>4</v>
      </c>
      <c r="L982">
        <v>142.02000000000001</v>
      </c>
      <c r="M982">
        <v>0.15</v>
      </c>
    </row>
    <row r="983" spans="1:13" x14ac:dyDescent="0.25">
      <c r="A983" t="s">
        <v>3992</v>
      </c>
      <c r="B983" t="s">
        <v>3993</v>
      </c>
      <c r="C983" t="s">
        <v>3994</v>
      </c>
      <c r="D983" t="s">
        <v>3995</v>
      </c>
      <c r="E983" t="s">
        <v>29</v>
      </c>
      <c r="F983" t="s">
        <v>84</v>
      </c>
      <c r="G983" t="s">
        <v>90</v>
      </c>
      <c r="H983" t="s">
        <v>58</v>
      </c>
      <c r="I983" t="s">
        <v>66</v>
      </c>
      <c r="J983" t="s">
        <v>73</v>
      </c>
      <c r="K983">
        <v>5</v>
      </c>
      <c r="L983">
        <v>33.32</v>
      </c>
      <c r="M983">
        <v>0.15</v>
      </c>
    </row>
    <row r="984" spans="1:13" x14ac:dyDescent="0.25">
      <c r="A984" t="s">
        <v>3996</v>
      </c>
      <c r="B984" t="s">
        <v>3997</v>
      </c>
      <c r="C984" t="s">
        <v>3998</v>
      </c>
      <c r="D984" t="s">
        <v>3999</v>
      </c>
      <c r="E984" t="s">
        <v>64</v>
      </c>
      <c r="F984" t="s">
        <v>49</v>
      </c>
      <c r="G984" t="s">
        <v>117</v>
      </c>
      <c r="H984" t="s">
        <v>72</v>
      </c>
      <c r="I984" t="s">
        <v>96</v>
      </c>
      <c r="J984" t="s">
        <v>126</v>
      </c>
      <c r="K984">
        <v>8</v>
      </c>
      <c r="L984">
        <v>1449.34</v>
      </c>
      <c r="M984">
        <v>0.2</v>
      </c>
    </row>
    <row r="985" spans="1:13" x14ac:dyDescent="0.25">
      <c r="A985" t="s">
        <v>4000</v>
      </c>
      <c r="B985" t="s">
        <v>4001</v>
      </c>
      <c r="C985" t="s">
        <v>4002</v>
      </c>
      <c r="D985" t="s">
        <v>4003</v>
      </c>
      <c r="E985" t="s">
        <v>83</v>
      </c>
      <c r="F985" t="s">
        <v>40</v>
      </c>
      <c r="G985" t="s">
        <v>315</v>
      </c>
      <c r="H985" t="s">
        <v>58</v>
      </c>
      <c r="I985" t="s">
        <v>66</v>
      </c>
      <c r="J985" t="s">
        <v>59</v>
      </c>
      <c r="K985">
        <v>8</v>
      </c>
      <c r="L985">
        <v>1430.64</v>
      </c>
      <c r="M985">
        <v>0</v>
      </c>
    </row>
    <row r="986" spans="1:13" x14ac:dyDescent="0.25">
      <c r="A986" t="s">
        <v>4004</v>
      </c>
      <c r="B986" t="s">
        <v>4005</v>
      </c>
      <c r="C986" t="s">
        <v>4006</v>
      </c>
      <c r="D986" t="s">
        <v>4007</v>
      </c>
      <c r="E986" t="s">
        <v>48</v>
      </c>
      <c r="F986" t="s">
        <v>30</v>
      </c>
      <c r="G986" t="s">
        <v>139</v>
      </c>
      <c r="H986" t="s">
        <v>32</v>
      </c>
      <c r="I986" t="s">
        <v>43</v>
      </c>
      <c r="J986" t="s">
        <v>34</v>
      </c>
      <c r="K986">
        <v>4</v>
      </c>
      <c r="L986">
        <v>989.13</v>
      </c>
      <c r="M986">
        <v>0</v>
      </c>
    </row>
    <row r="987" spans="1:13" x14ac:dyDescent="0.25">
      <c r="A987" t="s">
        <v>4008</v>
      </c>
      <c r="B987" t="s">
        <v>4009</v>
      </c>
      <c r="C987" t="s">
        <v>4010</v>
      </c>
      <c r="D987" t="s">
        <v>4011</v>
      </c>
      <c r="E987" t="s">
        <v>39</v>
      </c>
      <c r="F987" t="s">
        <v>56</v>
      </c>
      <c r="G987" t="s">
        <v>190</v>
      </c>
      <c r="H987" t="s">
        <v>58</v>
      </c>
      <c r="I987" t="s">
        <v>33</v>
      </c>
      <c r="J987" t="s">
        <v>126</v>
      </c>
      <c r="K987">
        <v>1</v>
      </c>
      <c r="L987">
        <v>1463.29</v>
      </c>
      <c r="M987">
        <v>0.2</v>
      </c>
    </row>
    <row r="988" spans="1:13" x14ac:dyDescent="0.25">
      <c r="A988" t="s">
        <v>4012</v>
      </c>
      <c r="B988" t="s">
        <v>4013</v>
      </c>
      <c r="C988" t="s">
        <v>4014</v>
      </c>
      <c r="D988" t="s">
        <v>2508</v>
      </c>
      <c r="E988" t="s">
        <v>116</v>
      </c>
      <c r="F988" t="s">
        <v>40</v>
      </c>
      <c r="G988" t="s">
        <v>565</v>
      </c>
      <c r="H988" t="s">
        <v>72</v>
      </c>
      <c r="I988" t="s">
        <v>66</v>
      </c>
      <c r="J988" t="s">
        <v>59</v>
      </c>
      <c r="K988">
        <v>2</v>
      </c>
      <c r="L988">
        <v>183.08</v>
      </c>
      <c r="M988">
        <v>0</v>
      </c>
    </row>
    <row r="989" spans="1:13" x14ac:dyDescent="0.25">
      <c r="A989" t="s">
        <v>4015</v>
      </c>
      <c r="B989" t="s">
        <v>4016</v>
      </c>
      <c r="C989" t="s">
        <v>4017</v>
      </c>
      <c r="D989" t="s">
        <v>4018</v>
      </c>
      <c r="E989" t="s">
        <v>149</v>
      </c>
      <c r="F989" t="s">
        <v>84</v>
      </c>
      <c r="G989" t="s">
        <v>85</v>
      </c>
      <c r="H989" t="s">
        <v>58</v>
      </c>
      <c r="I989" t="s">
        <v>96</v>
      </c>
      <c r="J989" t="s">
        <v>59</v>
      </c>
      <c r="K989">
        <v>10</v>
      </c>
      <c r="L989">
        <v>51.67</v>
      </c>
      <c r="M989">
        <v>0.05</v>
      </c>
    </row>
    <row r="990" spans="1:13" x14ac:dyDescent="0.25">
      <c r="A990" t="s">
        <v>4019</v>
      </c>
      <c r="B990" t="s">
        <v>4020</v>
      </c>
      <c r="C990" t="s">
        <v>4021</v>
      </c>
      <c r="D990" t="s">
        <v>4022</v>
      </c>
      <c r="E990" t="s">
        <v>48</v>
      </c>
      <c r="F990" t="s">
        <v>84</v>
      </c>
      <c r="G990" t="s">
        <v>205</v>
      </c>
      <c r="H990" t="s">
        <v>32</v>
      </c>
      <c r="I990" t="s">
        <v>51</v>
      </c>
      <c r="J990" t="s">
        <v>73</v>
      </c>
      <c r="K990">
        <v>3</v>
      </c>
      <c r="L990">
        <v>446.95</v>
      </c>
      <c r="M990">
        <v>0.15</v>
      </c>
    </row>
    <row r="991" spans="1:13" x14ac:dyDescent="0.25">
      <c r="A991" t="s">
        <v>4023</v>
      </c>
      <c r="B991" t="s">
        <v>4024</v>
      </c>
      <c r="C991" t="s">
        <v>4025</v>
      </c>
      <c r="D991" t="s">
        <v>4026</v>
      </c>
      <c r="E991" t="s">
        <v>78</v>
      </c>
      <c r="F991" t="s">
        <v>40</v>
      </c>
      <c r="G991" t="s">
        <v>315</v>
      </c>
      <c r="H991" t="s">
        <v>32</v>
      </c>
      <c r="I991" t="s">
        <v>43</v>
      </c>
      <c r="J991" t="s">
        <v>34</v>
      </c>
      <c r="K991">
        <v>7</v>
      </c>
      <c r="L991">
        <v>1410.81</v>
      </c>
      <c r="M991">
        <v>0.15</v>
      </c>
    </row>
    <row r="992" spans="1:13" x14ac:dyDescent="0.25">
      <c r="A992" t="s">
        <v>4027</v>
      </c>
      <c r="B992" t="s">
        <v>4028</v>
      </c>
      <c r="C992" t="s">
        <v>4029</v>
      </c>
      <c r="D992" t="s">
        <v>4030</v>
      </c>
      <c r="E992" t="s">
        <v>39</v>
      </c>
      <c r="F992" t="s">
        <v>40</v>
      </c>
      <c r="G992" t="s">
        <v>41</v>
      </c>
      <c r="H992" t="s">
        <v>42</v>
      </c>
      <c r="I992" t="s">
        <v>33</v>
      </c>
      <c r="J992" t="s">
        <v>126</v>
      </c>
      <c r="K992">
        <v>9</v>
      </c>
      <c r="L992">
        <v>1496.75</v>
      </c>
      <c r="M992">
        <v>0.2</v>
      </c>
    </row>
    <row r="993" spans="1:13" x14ac:dyDescent="0.25">
      <c r="A993" t="s">
        <v>4031</v>
      </c>
      <c r="B993" t="s">
        <v>4032</v>
      </c>
      <c r="C993" t="s">
        <v>4033</v>
      </c>
      <c r="D993" t="s">
        <v>4034</v>
      </c>
      <c r="E993" t="s">
        <v>78</v>
      </c>
      <c r="F993" t="s">
        <v>40</v>
      </c>
      <c r="G993" t="s">
        <v>565</v>
      </c>
      <c r="H993" t="s">
        <v>58</v>
      </c>
      <c r="I993" t="s">
        <v>43</v>
      </c>
      <c r="J993" t="s">
        <v>59</v>
      </c>
      <c r="K993">
        <v>4</v>
      </c>
      <c r="L993">
        <v>485.65</v>
      </c>
      <c r="M993">
        <v>0.15</v>
      </c>
    </row>
    <row r="994" spans="1:13" x14ac:dyDescent="0.25">
      <c r="A994" t="s">
        <v>4035</v>
      </c>
      <c r="B994" t="s">
        <v>4036</v>
      </c>
      <c r="C994" t="s">
        <v>4037</v>
      </c>
      <c r="D994" t="s">
        <v>4038</v>
      </c>
      <c r="E994" t="s">
        <v>71</v>
      </c>
      <c r="F994" t="s">
        <v>56</v>
      </c>
      <c r="G994" t="s">
        <v>95</v>
      </c>
      <c r="H994" t="s">
        <v>32</v>
      </c>
      <c r="I994" t="s">
        <v>66</v>
      </c>
      <c r="J994" t="s">
        <v>126</v>
      </c>
      <c r="K994">
        <v>7</v>
      </c>
      <c r="L994">
        <v>675.84</v>
      </c>
      <c r="M994">
        <v>0.05</v>
      </c>
    </row>
    <row r="995" spans="1:13" x14ac:dyDescent="0.25">
      <c r="A995" t="s">
        <v>4039</v>
      </c>
      <c r="B995" t="s">
        <v>4040</v>
      </c>
      <c r="C995" t="s">
        <v>4041</v>
      </c>
      <c r="D995" t="s">
        <v>4042</v>
      </c>
      <c r="E995" t="s">
        <v>39</v>
      </c>
      <c r="F995" t="s">
        <v>49</v>
      </c>
      <c r="G995" t="s">
        <v>226</v>
      </c>
      <c r="H995" t="s">
        <v>72</v>
      </c>
      <c r="I995" t="s">
        <v>96</v>
      </c>
      <c r="J995" t="s">
        <v>73</v>
      </c>
      <c r="K995">
        <v>3</v>
      </c>
      <c r="L995">
        <v>356.2</v>
      </c>
      <c r="M995">
        <v>0.15</v>
      </c>
    </row>
    <row r="996" spans="1:13" x14ac:dyDescent="0.25">
      <c r="A996" t="s">
        <v>4043</v>
      </c>
      <c r="B996" t="s">
        <v>4044</v>
      </c>
      <c r="C996" t="s">
        <v>4045</v>
      </c>
      <c r="D996" t="s">
        <v>4046</v>
      </c>
      <c r="E996" t="s">
        <v>71</v>
      </c>
      <c r="F996" t="s">
        <v>56</v>
      </c>
      <c r="G996" t="s">
        <v>101</v>
      </c>
      <c r="H996" t="s">
        <v>42</v>
      </c>
      <c r="I996" t="s">
        <v>43</v>
      </c>
      <c r="J996" t="s">
        <v>73</v>
      </c>
      <c r="K996">
        <v>9</v>
      </c>
      <c r="L996">
        <v>621.63</v>
      </c>
      <c r="M996">
        <v>0</v>
      </c>
    </row>
    <row r="997" spans="1:13" x14ac:dyDescent="0.25">
      <c r="A997" t="s">
        <v>4047</v>
      </c>
      <c r="B997" t="s">
        <v>4048</v>
      </c>
      <c r="C997" t="s">
        <v>4049</v>
      </c>
      <c r="D997" t="s">
        <v>4050</v>
      </c>
      <c r="E997" t="s">
        <v>149</v>
      </c>
      <c r="F997" t="s">
        <v>84</v>
      </c>
      <c r="G997" t="s">
        <v>90</v>
      </c>
      <c r="H997" t="s">
        <v>32</v>
      </c>
      <c r="I997" t="s">
        <v>43</v>
      </c>
      <c r="J997" t="s">
        <v>126</v>
      </c>
      <c r="K997">
        <v>8</v>
      </c>
      <c r="L997">
        <v>1071.4000000000001</v>
      </c>
      <c r="M997">
        <v>0.2</v>
      </c>
    </row>
    <row r="998" spans="1:13" x14ac:dyDescent="0.25">
      <c r="A998" t="s">
        <v>4051</v>
      </c>
      <c r="B998" t="s">
        <v>4052</v>
      </c>
      <c r="C998" t="s">
        <v>4053</v>
      </c>
      <c r="D998" t="s">
        <v>4054</v>
      </c>
      <c r="E998" t="s">
        <v>116</v>
      </c>
      <c r="F998" t="s">
        <v>30</v>
      </c>
      <c r="G998" t="s">
        <v>139</v>
      </c>
      <c r="H998" t="s">
        <v>58</v>
      </c>
      <c r="I998" t="s">
        <v>43</v>
      </c>
      <c r="J998" t="s">
        <v>34</v>
      </c>
      <c r="K998">
        <v>7</v>
      </c>
      <c r="L998">
        <v>1302.32</v>
      </c>
      <c r="M998">
        <v>0.1</v>
      </c>
    </row>
    <row r="999" spans="1:13" x14ac:dyDescent="0.25">
      <c r="A999" t="s">
        <v>4055</v>
      </c>
      <c r="B999" t="s">
        <v>4056</v>
      </c>
      <c r="C999" t="s">
        <v>4057</v>
      </c>
      <c r="D999" t="s">
        <v>4058</v>
      </c>
      <c r="E999" t="s">
        <v>116</v>
      </c>
      <c r="F999" t="s">
        <v>84</v>
      </c>
      <c r="G999" t="s">
        <v>412</v>
      </c>
      <c r="H999" t="s">
        <v>32</v>
      </c>
      <c r="I999" t="s">
        <v>51</v>
      </c>
      <c r="J999" t="s">
        <v>59</v>
      </c>
      <c r="K999">
        <v>10</v>
      </c>
      <c r="L999">
        <v>893.34</v>
      </c>
      <c r="M999">
        <v>0</v>
      </c>
    </row>
    <row r="1000" spans="1:13" x14ac:dyDescent="0.25">
      <c r="A1000" t="s">
        <v>4059</v>
      </c>
      <c r="B1000" t="s">
        <v>4060</v>
      </c>
      <c r="C1000" t="s">
        <v>4061</v>
      </c>
      <c r="D1000" t="s">
        <v>4062</v>
      </c>
      <c r="E1000" t="s">
        <v>149</v>
      </c>
      <c r="F1000" t="s">
        <v>84</v>
      </c>
      <c r="G1000" t="s">
        <v>264</v>
      </c>
      <c r="H1000" t="s">
        <v>32</v>
      </c>
      <c r="I1000" t="s">
        <v>43</v>
      </c>
      <c r="J1000" t="s">
        <v>126</v>
      </c>
      <c r="K1000">
        <v>3</v>
      </c>
      <c r="L1000">
        <v>1054.67</v>
      </c>
      <c r="M1000">
        <v>0.2</v>
      </c>
    </row>
    <row r="1001" spans="1:13" x14ac:dyDescent="0.25">
      <c r="A1001" t="s">
        <v>4063</v>
      </c>
      <c r="B1001" t="s">
        <v>4064</v>
      </c>
      <c r="C1001" t="s">
        <v>4065</v>
      </c>
      <c r="D1001" t="s">
        <v>4066</v>
      </c>
      <c r="E1001" t="s">
        <v>200</v>
      </c>
      <c r="F1001" t="s">
        <v>49</v>
      </c>
      <c r="G1001" t="s">
        <v>50</v>
      </c>
      <c r="H1001" t="s">
        <v>58</v>
      </c>
      <c r="I1001" t="s">
        <v>51</v>
      </c>
      <c r="J1001" t="s">
        <v>73</v>
      </c>
      <c r="K1001">
        <v>9</v>
      </c>
      <c r="L1001">
        <v>666.3</v>
      </c>
      <c r="M1001">
        <v>0.2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D15" sqref="D15"/>
    </sheetView>
  </sheetViews>
  <sheetFormatPr defaultRowHeight="15" x14ac:dyDescent="0.25"/>
  <cols>
    <col min="1" max="1" width="11.7109375" bestFit="1" customWidth="1"/>
    <col min="2" max="2" width="14.140625" bestFit="1" customWidth="1"/>
    <col min="3" max="3" width="13.7109375" bestFit="1" customWidth="1"/>
    <col min="4" max="4" width="9" bestFit="1" customWidth="1"/>
  </cols>
  <sheetData>
    <row r="1" spans="1:4" x14ac:dyDescent="0.25">
      <c r="A1" s="1" t="s">
        <v>4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64</v>
      </c>
      <c r="B2" t="s">
        <v>4067</v>
      </c>
      <c r="C2" t="s">
        <v>4068</v>
      </c>
      <c r="D2">
        <v>0.11</v>
      </c>
    </row>
    <row r="3" spans="1:4" x14ac:dyDescent="0.25">
      <c r="A3" t="s">
        <v>116</v>
      </c>
      <c r="B3" t="s">
        <v>4067</v>
      </c>
      <c r="C3" t="s">
        <v>4069</v>
      </c>
      <c r="D3">
        <v>0.06</v>
      </c>
    </row>
    <row r="4" spans="1:4" x14ac:dyDescent="0.25">
      <c r="A4" t="s">
        <v>48</v>
      </c>
      <c r="B4" t="s">
        <v>4067</v>
      </c>
      <c r="C4" t="s">
        <v>4070</v>
      </c>
      <c r="D4">
        <v>7.0000000000000007E-2</v>
      </c>
    </row>
    <row r="5" spans="1:4" x14ac:dyDescent="0.25">
      <c r="A5" t="s">
        <v>39</v>
      </c>
      <c r="B5" t="s">
        <v>4067</v>
      </c>
      <c r="C5" t="s">
        <v>4071</v>
      </c>
      <c r="D5">
        <v>7.0000000000000007E-2</v>
      </c>
    </row>
    <row r="6" spans="1:4" x14ac:dyDescent="0.25">
      <c r="A6" t="s">
        <v>29</v>
      </c>
      <c r="B6" t="s">
        <v>4067</v>
      </c>
      <c r="C6" t="s">
        <v>4072</v>
      </c>
      <c r="D6">
        <v>0.1</v>
      </c>
    </row>
    <row r="7" spans="1:4" x14ac:dyDescent="0.25">
      <c r="A7" t="s">
        <v>71</v>
      </c>
      <c r="B7" t="s">
        <v>4067</v>
      </c>
      <c r="C7" t="s">
        <v>4073</v>
      </c>
      <c r="D7">
        <v>0.12</v>
      </c>
    </row>
    <row r="8" spans="1:4" x14ac:dyDescent="0.25">
      <c r="A8" t="s">
        <v>149</v>
      </c>
      <c r="B8" t="s">
        <v>4074</v>
      </c>
      <c r="C8" t="s">
        <v>4075</v>
      </c>
      <c r="D8">
        <v>0.1</v>
      </c>
    </row>
    <row r="9" spans="1:4" x14ac:dyDescent="0.25">
      <c r="A9" t="s">
        <v>200</v>
      </c>
      <c r="B9" t="s">
        <v>4074</v>
      </c>
      <c r="C9" t="s">
        <v>4076</v>
      </c>
      <c r="D9">
        <v>0.1</v>
      </c>
    </row>
    <row r="10" spans="1:4" x14ac:dyDescent="0.25">
      <c r="A10" t="s">
        <v>78</v>
      </c>
      <c r="B10" t="s">
        <v>4077</v>
      </c>
      <c r="C10" t="s">
        <v>4078</v>
      </c>
      <c r="D10">
        <v>0.1</v>
      </c>
    </row>
    <row r="11" spans="1:4" x14ac:dyDescent="0.25">
      <c r="A11" t="s">
        <v>83</v>
      </c>
      <c r="B11" t="s">
        <v>4079</v>
      </c>
      <c r="C11" t="s">
        <v>4080</v>
      </c>
      <c r="D11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F17" sqref="F17"/>
    </sheetView>
  </sheetViews>
  <sheetFormatPr defaultRowHeight="15" x14ac:dyDescent="0.25"/>
  <cols>
    <col min="1" max="1" width="10.5703125" bestFit="1" customWidth="1"/>
    <col min="2" max="5" width="10" bestFit="1" customWidth="1"/>
  </cols>
  <sheetData>
    <row r="1" spans="1:5" x14ac:dyDescent="0.25">
      <c r="A1" s="1" t="s">
        <v>5</v>
      </c>
      <c r="B1" s="1" t="s">
        <v>4081</v>
      </c>
      <c r="C1" s="1" t="s">
        <v>4082</v>
      </c>
      <c r="D1" s="1" t="s">
        <v>4083</v>
      </c>
      <c r="E1" s="1" t="s">
        <v>4084</v>
      </c>
    </row>
    <row r="2" spans="1:5" x14ac:dyDescent="0.25">
      <c r="A2" t="s">
        <v>56</v>
      </c>
      <c r="B2">
        <v>50000</v>
      </c>
      <c r="C2">
        <v>55000</v>
      </c>
      <c r="D2">
        <v>60000</v>
      </c>
      <c r="E2">
        <v>70000</v>
      </c>
    </row>
    <row r="3" spans="1:5" x14ac:dyDescent="0.25">
      <c r="A3" t="s">
        <v>30</v>
      </c>
      <c r="B3">
        <v>40000</v>
      </c>
      <c r="C3">
        <v>42000</v>
      </c>
      <c r="D3">
        <v>45000</v>
      </c>
      <c r="E3">
        <v>50000</v>
      </c>
    </row>
    <row r="4" spans="1:5" x14ac:dyDescent="0.25">
      <c r="A4" t="s">
        <v>84</v>
      </c>
      <c r="B4">
        <v>30000</v>
      </c>
      <c r="C4">
        <v>32000</v>
      </c>
      <c r="D4">
        <v>34000</v>
      </c>
      <c r="E4">
        <v>38000</v>
      </c>
    </row>
    <row r="5" spans="1:5" x14ac:dyDescent="0.25">
      <c r="A5" t="s">
        <v>49</v>
      </c>
      <c r="B5">
        <v>35000</v>
      </c>
      <c r="C5">
        <v>37000</v>
      </c>
      <c r="D5">
        <v>39000</v>
      </c>
      <c r="E5">
        <v>42000</v>
      </c>
    </row>
    <row r="6" spans="1:5" x14ac:dyDescent="0.25">
      <c r="A6" t="s">
        <v>40</v>
      </c>
      <c r="B6">
        <v>45000</v>
      </c>
      <c r="C6">
        <v>47000</v>
      </c>
      <c r="D6">
        <v>49000</v>
      </c>
      <c r="E6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E12" sqref="E12"/>
    </sheetView>
  </sheetViews>
  <sheetFormatPr defaultRowHeight="15" x14ac:dyDescent="0.25"/>
  <cols>
    <col min="1" max="1" width="10.5703125" bestFit="1" customWidth="1"/>
    <col min="2" max="2" width="13.85546875" bestFit="1" customWidth="1"/>
  </cols>
  <sheetData>
    <row r="1" spans="1:2" x14ac:dyDescent="0.25">
      <c r="A1" s="1" t="s">
        <v>5</v>
      </c>
      <c r="B1" s="1" t="s">
        <v>4085</v>
      </c>
    </row>
    <row r="2" spans="1:2" x14ac:dyDescent="0.25">
      <c r="A2" t="s">
        <v>56</v>
      </c>
      <c r="B2">
        <v>450</v>
      </c>
    </row>
    <row r="3" spans="1:2" x14ac:dyDescent="0.25">
      <c r="A3" t="s">
        <v>30</v>
      </c>
      <c r="B3">
        <v>120</v>
      </c>
    </row>
    <row r="4" spans="1:2" x14ac:dyDescent="0.25">
      <c r="A4" t="s">
        <v>84</v>
      </c>
      <c r="B4">
        <v>200</v>
      </c>
    </row>
    <row r="5" spans="1:2" x14ac:dyDescent="0.25">
      <c r="A5" t="s">
        <v>49</v>
      </c>
      <c r="B5">
        <v>150</v>
      </c>
    </row>
    <row r="6" spans="1:2" x14ac:dyDescent="0.25">
      <c r="A6" t="s">
        <v>40</v>
      </c>
      <c r="B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>
      <selection activeCell="I12" sqref="I12"/>
    </sheetView>
  </sheetViews>
  <sheetFormatPr defaultRowHeight="15" x14ac:dyDescent="0.25"/>
  <sheetData>
    <row r="1" spans="1:1" x14ac:dyDescent="0.25">
      <c r="A1" s="1" t="s">
        <v>4086</v>
      </c>
    </row>
    <row r="2" spans="1:1" x14ac:dyDescent="0.25">
      <c r="A2" t="s">
        <v>4087</v>
      </c>
    </row>
    <row r="3" spans="1:1" x14ac:dyDescent="0.25">
      <c r="A3" t="s">
        <v>4088</v>
      </c>
    </row>
    <row r="4" spans="1:1" x14ac:dyDescent="0.25">
      <c r="A4" t="s">
        <v>4089</v>
      </c>
    </row>
    <row r="5" spans="1:1" x14ac:dyDescent="0.25">
      <c r="A5" t="s">
        <v>4090</v>
      </c>
    </row>
    <row r="6" spans="1:1" x14ac:dyDescent="0.25">
      <c r="A6" t="s">
        <v>4091</v>
      </c>
    </row>
    <row r="7" spans="1:1" x14ac:dyDescent="0.25">
      <c r="A7" t="s">
        <v>4092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C785-75E5-4F91-B6C7-A142E9C738F7}">
  <dimension ref="A1:Y1001"/>
  <sheetViews>
    <sheetView topLeftCell="K1" zoomScaleNormal="100" workbookViewId="0">
      <selection activeCell="I2" sqref="I2"/>
    </sheetView>
  </sheetViews>
  <sheetFormatPr defaultRowHeight="15" x14ac:dyDescent="0.25"/>
  <cols>
    <col min="1" max="1" width="11.140625" customWidth="1"/>
    <col min="2" max="2" width="13.42578125" customWidth="1"/>
    <col min="3" max="3" width="18" customWidth="1"/>
    <col min="4" max="4" width="17.5703125" customWidth="1"/>
    <col min="5" max="5" width="10.140625" customWidth="1"/>
    <col min="6" max="6" width="11" customWidth="1"/>
    <col min="7" max="7" width="10" customWidth="1"/>
    <col min="8" max="8" width="10.42578125" customWidth="1"/>
    <col min="9" max="9" width="19.140625" customWidth="1"/>
    <col min="11" max="11" width="10.85546875" customWidth="1"/>
    <col min="12" max="12" width="12.42578125" customWidth="1"/>
    <col min="13" max="13" width="15.85546875" customWidth="1"/>
    <col min="14" max="14" width="9.28515625" customWidth="1"/>
    <col min="15" max="15" width="15.7109375" customWidth="1"/>
    <col min="16" max="16" width="11.140625" customWidth="1"/>
    <col min="17" max="17" width="12.140625" customWidth="1"/>
    <col min="18" max="18" width="13.7109375" customWidth="1"/>
    <col min="19" max="19" width="19" customWidth="1"/>
    <col min="20" max="20" width="12" customWidth="1"/>
    <col min="21" max="21" width="12.42578125" customWidth="1"/>
    <col min="24" max="24" width="10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2</v>
      </c>
      <c r="L2">
        <v>222.21</v>
      </c>
      <c r="M2" s="3">
        <v>0.2</v>
      </c>
      <c r="N2" t="str">
        <f>VLOOKUP(Table1[[#This Row],[Country]],REF_Country!$A$1:$D$11,2,FALSE)</f>
        <v>Southeast Asia</v>
      </c>
      <c r="O2" t="str">
        <f>VLOOKUP(Table1[[#This Row],[Country]],REF_Country!$A$1:$D$11,3,FALSE)</f>
        <v>VN</v>
      </c>
      <c r="P2">
        <f>VLOOKUP(Table1[[#This Row],[Country]],REF_Country!$A$1:$D$11,4,FALSE)</f>
        <v>0.1</v>
      </c>
      <c r="Q2">
        <f>VLOOKUP(Table1[[#This Row],[Category]],REF_Target!$A$1:$E$6,2,FALSE)</f>
        <v>40000</v>
      </c>
      <c r="R2">
        <f>Table1[[#This Row],[Quantity]]*Table1[[#This Row],[Unit_Price]]</f>
        <v>444.42</v>
      </c>
      <c r="S2">
        <f>Table1[[#This Row],[Gross_Sales]]*Table1[[#This Row],[Discount_Rate]]</f>
        <v>88.884000000000015</v>
      </c>
      <c r="T2">
        <f>Table1[[#This Row],[Gross_Sales]]-Table1[[#This Row],[Discount_Amount]]</f>
        <v>355.536</v>
      </c>
      <c r="U2">
        <f>VLOOKUP(Table1[[#This Row],[Category]],REF_Cost!$A$1:$B$6,2,FALSE)*Table1[[#This Row],[Quantity]]</f>
        <v>240</v>
      </c>
      <c r="V2">
        <f>Table1[[#This Row],[Net_Sales]]-Table1[[#This Row],[Total_Cost]]</f>
        <v>115.536</v>
      </c>
      <c r="W2" t="str">
        <f>TEXT(Table1[[#This Row],[Order_Date]],"mmm")</f>
        <v>Feb</v>
      </c>
      <c r="X2">
        <f>ROUNDUP(MONTH(Table1[[#This Row],[Order_Date]])/3,0)</f>
        <v>1</v>
      </c>
      <c r="Y2">
        <f>YEAR(Table1[[#This Row],[Order_Date]])</f>
        <v>2024</v>
      </c>
    </row>
    <row r="3" spans="1:25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34</v>
      </c>
      <c r="K3">
        <v>4</v>
      </c>
      <c r="L3">
        <v>54.41</v>
      </c>
      <c r="M3" s="3">
        <v>0.2</v>
      </c>
      <c r="N3" t="str">
        <f>VLOOKUP(Table1[[#This Row],[Country]],REF_Country!$A$1:$D$11,2,FALSE)</f>
        <v>Southeast Asia</v>
      </c>
      <c r="O3" t="str">
        <f>VLOOKUP(Table1[[#This Row],[Country]],REF_Country!$A$1:$D$11,3,FALSE)</f>
        <v>TH</v>
      </c>
      <c r="P3">
        <f>VLOOKUP(Table1[[#This Row],[Country]],REF_Country!$A$1:$D$11,4,FALSE)</f>
        <v>7.0000000000000007E-2</v>
      </c>
      <c r="Q3">
        <f>VLOOKUP(Table1[[#This Row],[Category]],REF_Target!$A$1:$E$6,2,FALSE)</f>
        <v>45000</v>
      </c>
      <c r="R3">
        <f>Table1[[#This Row],[Quantity]]*Table1[[#This Row],[Unit_Price]]</f>
        <v>217.64</v>
      </c>
      <c r="S3">
        <f>Table1[[#This Row],[Gross_Sales]]*Table1[[#This Row],[Discount_Rate]]</f>
        <v>43.527999999999999</v>
      </c>
      <c r="T3">
        <f>Table1[[#This Row],[Gross_Sales]]-Table1[[#This Row],[Discount_Amount]]</f>
        <v>174.11199999999999</v>
      </c>
      <c r="U3">
        <f>VLOOKUP(Table1[[#This Row],[Category]],REF_Cost!$A$1:$B$6,2,FALSE)*Table1[[#This Row],[Quantity]]</f>
        <v>320</v>
      </c>
      <c r="V3">
        <f>Table1[[#This Row],[Net_Sales]]-Table1[[#This Row],[Total_Cost]]</f>
        <v>-145.88800000000001</v>
      </c>
      <c r="W3" t="str">
        <f>TEXT(Table1[[#This Row],[Order_Date]],"mmm")</f>
        <v>Jan</v>
      </c>
      <c r="X3">
        <f>ROUNDUP(MONTH(Table1[[#This Row],[Order_Date]])/3,0)</f>
        <v>1</v>
      </c>
      <c r="Y3">
        <f>YEAR(Table1[[#This Row],[Order_Date]])</f>
        <v>2024</v>
      </c>
    </row>
    <row r="4" spans="1:25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32</v>
      </c>
      <c r="I4" t="s">
        <v>51</v>
      </c>
      <c r="J4" t="s">
        <v>34</v>
      </c>
      <c r="K4">
        <v>4</v>
      </c>
      <c r="L4">
        <v>427.64</v>
      </c>
      <c r="M4" s="3">
        <v>0.05</v>
      </c>
      <c r="N4" t="str">
        <f>VLOOKUP(Table1[[#This Row],[Country]],REF_Country!$A$1:$D$11,2,FALSE)</f>
        <v>Southeast Asia</v>
      </c>
      <c r="O4" t="str">
        <f>VLOOKUP(Table1[[#This Row],[Country]],REF_Country!$A$1:$D$11,3,FALSE)</f>
        <v>SG</v>
      </c>
      <c r="P4">
        <f>VLOOKUP(Table1[[#This Row],[Country]],REF_Country!$A$1:$D$11,4,FALSE)</f>
        <v>7.0000000000000007E-2</v>
      </c>
      <c r="Q4">
        <f>VLOOKUP(Table1[[#This Row],[Category]],REF_Target!$A$1:$E$6,2,FALSE)</f>
        <v>35000</v>
      </c>
      <c r="R4">
        <f>Table1[[#This Row],[Quantity]]*Table1[[#This Row],[Unit_Price]]</f>
        <v>1710.56</v>
      </c>
      <c r="S4">
        <f>Table1[[#This Row],[Gross_Sales]]*Table1[[#This Row],[Discount_Rate]]</f>
        <v>85.528000000000006</v>
      </c>
      <c r="T4">
        <f>Table1[[#This Row],[Gross_Sales]]-Table1[[#This Row],[Discount_Amount]]</f>
        <v>1625.0319999999999</v>
      </c>
      <c r="U4">
        <f>VLOOKUP(Table1[[#This Row],[Category]],REF_Cost!$A$1:$B$6,2,FALSE)*Table1[[#This Row],[Quantity]]</f>
        <v>600</v>
      </c>
      <c r="V4">
        <f>Table1[[#This Row],[Net_Sales]]-Table1[[#This Row],[Total_Cost]]</f>
        <v>1025.0319999999999</v>
      </c>
      <c r="W4" t="str">
        <f>TEXT(Table1[[#This Row],[Order_Date]],"mmm")</f>
        <v>May</v>
      </c>
      <c r="X4">
        <f>ROUNDUP(MONTH(Table1[[#This Row],[Order_Date]])/3,0)</f>
        <v>2</v>
      </c>
      <c r="Y4">
        <f>YEAR(Table1[[#This Row],[Order_Date]])</f>
        <v>2024</v>
      </c>
    </row>
    <row r="5" spans="1:25" x14ac:dyDescent="0.25">
      <c r="A5" t="s">
        <v>52</v>
      </c>
      <c r="B5" t="s">
        <v>53</v>
      </c>
      <c r="C5" t="s">
        <v>54</v>
      </c>
      <c r="D5" t="s">
        <v>55</v>
      </c>
      <c r="E5" t="s">
        <v>29</v>
      </c>
      <c r="F5" t="s">
        <v>56</v>
      </c>
      <c r="G5" t="s">
        <v>57</v>
      </c>
      <c r="H5" t="s">
        <v>58</v>
      </c>
      <c r="I5" t="s">
        <v>33</v>
      </c>
      <c r="J5" t="s">
        <v>59</v>
      </c>
      <c r="K5">
        <v>7</v>
      </c>
      <c r="L5">
        <v>811.3</v>
      </c>
      <c r="M5" s="3">
        <v>0</v>
      </c>
      <c r="N5" t="str">
        <f>VLOOKUP(Table1[[#This Row],[Country]],REF_Country!$A$1:$D$11,2,FALSE)</f>
        <v>Southeast Asia</v>
      </c>
      <c r="O5" t="str">
        <f>VLOOKUP(Table1[[#This Row],[Country]],REF_Country!$A$1:$D$11,3,FALSE)</f>
        <v>VN</v>
      </c>
      <c r="P5">
        <f>VLOOKUP(Table1[[#This Row],[Country]],REF_Country!$A$1:$D$11,4,FALSE)</f>
        <v>0.1</v>
      </c>
      <c r="Q5">
        <f>VLOOKUP(Table1[[#This Row],[Category]],REF_Target!$A$1:$E$6,2,FALSE)</f>
        <v>50000</v>
      </c>
      <c r="R5">
        <f>Table1[[#This Row],[Quantity]]*Table1[[#This Row],[Unit_Price]]</f>
        <v>5679.0999999999995</v>
      </c>
      <c r="S5">
        <f>Table1[[#This Row],[Gross_Sales]]*Table1[[#This Row],[Discount_Rate]]</f>
        <v>0</v>
      </c>
      <c r="T5">
        <f>Table1[[#This Row],[Gross_Sales]]-Table1[[#This Row],[Discount_Amount]]</f>
        <v>5679.0999999999995</v>
      </c>
      <c r="U5">
        <f>VLOOKUP(Table1[[#This Row],[Category]],REF_Cost!$A$1:$B$6,2,FALSE)*Table1[[#This Row],[Quantity]]</f>
        <v>3150</v>
      </c>
      <c r="V5">
        <f>Table1[[#This Row],[Net_Sales]]-Table1[[#This Row],[Total_Cost]]</f>
        <v>2529.0999999999995</v>
      </c>
      <c r="W5" t="str">
        <f>TEXT(Table1[[#This Row],[Order_Date]],"mmm")</f>
        <v>Jul</v>
      </c>
      <c r="X5">
        <f>ROUNDUP(MONTH(Table1[[#This Row],[Order_Date]])/3,0)</f>
        <v>3</v>
      </c>
      <c r="Y5">
        <f>YEAR(Table1[[#This Row],[Order_Date]])</f>
        <v>2024</v>
      </c>
    </row>
    <row r="6" spans="1:25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30</v>
      </c>
      <c r="G6" t="s">
        <v>65</v>
      </c>
      <c r="H6" t="s">
        <v>42</v>
      </c>
      <c r="I6" t="s">
        <v>66</v>
      </c>
      <c r="J6" t="s">
        <v>34</v>
      </c>
      <c r="K6">
        <v>4</v>
      </c>
      <c r="L6">
        <v>1478.05</v>
      </c>
      <c r="M6" s="3">
        <v>0</v>
      </c>
      <c r="N6" t="str">
        <f>VLOOKUP(Table1[[#This Row],[Country]],REF_Country!$A$1:$D$11,2,FALSE)</f>
        <v>Southeast Asia</v>
      </c>
      <c r="O6" t="str">
        <f>VLOOKUP(Table1[[#This Row],[Country]],REF_Country!$A$1:$D$11,3,FALSE)</f>
        <v>ID</v>
      </c>
      <c r="P6">
        <f>VLOOKUP(Table1[[#This Row],[Country]],REF_Country!$A$1:$D$11,4,FALSE)</f>
        <v>0.11</v>
      </c>
      <c r="Q6">
        <f>VLOOKUP(Table1[[#This Row],[Category]],REF_Target!$A$1:$E$6,2,FALSE)</f>
        <v>40000</v>
      </c>
      <c r="R6">
        <f>Table1[[#This Row],[Quantity]]*Table1[[#This Row],[Unit_Price]]</f>
        <v>5912.2</v>
      </c>
      <c r="S6">
        <f>Table1[[#This Row],[Gross_Sales]]*Table1[[#This Row],[Discount_Rate]]</f>
        <v>0</v>
      </c>
      <c r="T6">
        <f>Table1[[#This Row],[Gross_Sales]]-Table1[[#This Row],[Discount_Amount]]</f>
        <v>5912.2</v>
      </c>
      <c r="U6">
        <f>VLOOKUP(Table1[[#This Row],[Category]],REF_Cost!$A$1:$B$6,2,FALSE)*Table1[[#This Row],[Quantity]]</f>
        <v>480</v>
      </c>
      <c r="V6">
        <f>Table1[[#This Row],[Net_Sales]]-Table1[[#This Row],[Total_Cost]]</f>
        <v>5432.2</v>
      </c>
      <c r="W6" t="str">
        <f>TEXT(Table1[[#This Row],[Order_Date]],"mmm")</f>
        <v>Apr</v>
      </c>
      <c r="X6">
        <f>ROUNDUP(MONTH(Table1[[#This Row],[Order_Date]])/3,0)</f>
        <v>2</v>
      </c>
      <c r="Y6">
        <f>YEAR(Table1[[#This Row],[Order_Date]])</f>
        <v>2024</v>
      </c>
    </row>
    <row r="7" spans="1:25" x14ac:dyDescent="0.25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30</v>
      </c>
      <c r="G7" t="s">
        <v>65</v>
      </c>
      <c r="H7" t="s">
        <v>72</v>
      </c>
      <c r="I7" t="s">
        <v>33</v>
      </c>
      <c r="J7" t="s">
        <v>73</v>
      </c>
      <c r="K7">
        <v>2</v>
      </c>
      <c r="L7">
        <v>1057.2</v>
      </c>
      <c r="M7" s="3">
        <v>0.15</v>
      </c>
      <c r="N7" t="str">
        <f>VLOOKUP(Table1[[#This Row],[Country]],REF_Country!$A$1:$D$11,2,FALSE)</f>
        <v>Southeast Asia</v>
      </c>
      <c r="O7" t="str">
        <f>VLOOKUP(Table1[[#This Row],[Country]],REF_Country!$A$1:$D$11,3,FALSE)</f>
        <v>PH</v>
      </c>
      <c r="P7">
        <f>VLOOKUP(Table1[[#This Row],[Country]],REF_Country!$A$1:$D$11,4,FALSE)</f>
        <v>0.12</v>
      </c>
      <c r="Q7">
        <f>VLOOKUP(Table1[[#This Row],[Category]],REF_Target!$A$1:$E$6,2,FALSE)</f>
        <v>40000</v>
      </c>
      <c r="R7">
        <f>Table1[[#This Row],[Quantity]]*Table1[[#This Row],[Unit_Price]]</f>
        <v>2114.4</v>
      </c>
      <c r="S7">
        <f>Table1[[#This Row],[Gross_Sales]]*Table1[[#This Row],[Discount_Rate]]</f>
        <v>317.16000000000003</v>
      </c>
      <c r="T7">
        <f>Table1[[#This Row],[Gross_Sales]]-Table1[[#This Row],[Discount_Amount]]</f>
        <v>1797.24</v>
      </c>
      <c r="U7">
        <f>VLOOKUP(Table1[[#This Row],[Category]],REF_Cost!$A$1:$B$6,2,FALSE)*Table1[[#This Row],[Quantity]]</f>
        <v>240</v>
      </c>
      <c r="V7">
        <f>Table1[[#This Row],[Net_Sales]]-Table1[[#This Row],[Total_Cost]]</f>
        <v>1557.24</v>
      </c>
      <c r="W7" t="str">
        <f>TEXT(Table1[[#This Row],[Order_Date]],"mmm")</f>
        <v>Jul</v>
      </c>
      <c r="X7">
        <f>ROUNDUP(MONTH(Table1[[#This Row],[Order_Date]])/3,0)</f>
        <v>3</v>
      </c>
      <c r="Y7">
        <f>YEAR(Table1[[#This Row],[Order_Date]])</f>
        <v>2024</v>
      </c>
    </row>
    <row r="8" spans="1:25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30</v>
      </c>
      <c r="G8" t="s">
        <v>65</v>
      </c>
      <c r="H8" t="s">
        <v>32</v>
      </c>
      <c r="I8" t="s">
        <v>66</v>
      </c>
      <c r="J8" t="s">
        <v>34</v>
      </c>
      <c r="K8">
        <v>1</v>
      </c>
      <c r="L8">
        <v>1266.6400000000001</v>
      </c>
      <c r="M8" s="3">
        <v>0</v>
      </c>
      <c r="N8" t="str">
        <f>VLOOKUP(Table1[[#This Row],[Country]],REF_Country!$A$1:$D$11,2,FALSE)</f>
        <v>Oceania</v>
      </c>
      <c r="O8" t="str">
        <f>VLOOKUP(Table1[[#This Row],[Country]],REF_Country!$A$1:$D$11,3,FALSE)</f>
        <v>AU</v>
      </c>
      <c r="P8">
        <f>VLOOKUP(Table1[[#This Row],[Country]],REF_Country!$A$1:$D$11,4,FALSE)</f>
        <v>0.1</v>
      </c>
      <c r="Q8">
        <f>VLOOKUP(Table1[[#This Row],[Category]],REF_Target!$A$1:$E$6,2,FALSE)</f>
        <v>40000</v>
      </c>
      <c r="R8">
        <f>Table1[[#This Row],[Quantity]]*Table1[[#This Row],[Unit_Price]]</f>
        <v>1266.6400000000001</v>
      </c>
      <c r="S8">
        <f>Table1[[#This Row],[Gross_Sales]]*Table1[[#This Row],[Discount_Rate]]</f>
        <v>0</v>
      </c>
      <c r="T8">
        <f>Table1[[#This Row],[Gross_Sales]]-Table1[[#This Row],[Discount_Amount]]</f>
        <v>1266.6400000000001</v>
      </c>
      <c r="U8">
        <f>VLOOKUP(Table1[[#This Row],[Category]],REF_Cost!$A$1:$B$6,2,FALSE)*Table1[[#This Row],[Quantity]]</f>
        <v>120</v>
      </c>
      <c r="V8">
        <f>Table1[[#This Row],[Net_Sales]]-Table1[[#This Row],[Total_Cost]]</f>
        <v>1146.6400000000001</v>
      </c>
      <c r="W8" t="str">
        <f>TEXT(Table1[[#This Row],[Order_Date]],"mmm")</f>
        <v>Aug</v>
      </c>
      <c r="X8">
        <f>ROUNDUP(MONTH(Table1[[#This Row],[Order_Date]])/3,0)</f>
        <v>3</v>
      </c>
      <c r="Y8">
        <f>YEAR(Table1[[#This Row],[Order_Date]])</f>
        <v>2024</v>
      </c>
    </row>
    <row r="9" spans="1:25" x14ac:dyDescent="0.25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42</v>
      </c>
      <c r="I9" t="s">
        <v>43</v>
      </c>
      <c r="J9" t="s">
        <v>59</v>
      </c>
      <c r="K9">
        <v>7</v>
      </c>
      <c r="L9">
        <v>988.33</v>
      </c>
      <c r="M9" s="3">
        <v>0.2</v>
      </c>
      <c r="N9" t="str">
        <f>VLOOKUP(Table1[[#This Row],[Country]],REF_Country!$A$1:$D$11,2,FALSE)</f>
        <v>South Asia</v>
      </c>
      <c r="O9" t="str">
        <f>VLOOKUP(Table1[[#This Row],[Country]],REF_Country!$A$1:$D$11,3,FALSE)</f>
        <v>IN</v>
      </c>
      <c r="P9">
        <f>VLOOKUP(Table1[[#This Row],[Country]],REF_Country!$A$1:$D$11,4,FALSE)</f>
        <v>0.18</v>
      </c>
      <c r="Q9">
        <f>VLOOKUP(Table1[[#This Row],[Category]],REF_Target!$A$1:$E$6,2,FALSE)</f>
        <v>30000</v>
      </c>
      <c r="R9">
        <f>Table1[[#This Row],[Quantity]]*Table1[[#This Row],[Unit_Price]]</f>
        <v>6918.31</v>
      </c>
      <c r="S9">
        <f>Table1[[#This Row],[Gross_Sales]]*Table1[[#This Row],[Discount_Rate]]</f>
        <v>1383.6620000000003</v>
      </c>
      <c r="T9">
        <f>Table1[[#This Row],[Gross_Sales]]-Table1[[#This Row],[Discount_Amount]]</f>
        <v>5534.6480000000001</v>
      </c>
      <c r="U9">
        <f>VLOOKUP(Table1[[#This Row],[Category]],REF_Cost!$A$1:$B$6,2,FALSE)*Table1[[#This Row],[Quantity]]</f>
        <v>1400</v>
      </c>
      <c r="V9">
        <f>Table1[[#This Row],[Net_Sales]]-Table1[[#This Row],[Total_Cost]]</f>
        <v>4134.6480000000001</v>
      </c>
      <c r="W9" t="str">
        <f>TEXT(Table1[[#This Row],[Order_Date]],"mmm")</f>
        <v>Feb</v>
      </c>
      <c r="X9">
        <f>ROUNDUP(MONTH(Table1[[#This Row],[Order_Date]])/3,0)</f>
        <v>1</v>
      </c>
      <c r="Y9">
        <f>YEAR(Table1[[#This Row],[Order_Date]])</f>
        <v>2024</v>
      </c>
    </row>
    <row r="10" spans="1:25" x14ac:dyDescent="0.25">
      <c r="A10" t="s">
        <v>86</v>
      </c>
      <c r="B10" t="s">
        <v>87</v>
      </c>
      <c r="C10" t="s">
        <v>88</v>
      </c>
      <c r="D10" t="s">
        <v>89</v>
      </c>
      <c r="E10" t="s">
        <v>78</v>
      </c>
      <c r="F10" t="s">
        <v>84</v>
      </c>
      <c r="G10" t="s">
        <v>90</v>
      </c>
      <c r="H10" t="s">
        <v>58</v>
      </c>
      <c r="I10" t="s">
        <v>43</v>
      </c>
      <c r="J10" t="s">
        <v>73</v>
      </c>
      <c r="K10">
        <v>10</v>
      </c>
      <c r="L10">
        <v>651.22</v>
      </c>
      <c r="M10" s="3">
        <v>0.1</v>
      </c>
      <c r="N10" t="str">
        <f>VLOOKUP(Table1[[#This Row],[Country]],REF_Country!$A$1:$D$11,2,FALSE)</f>
        <v>Oceania</v>
      </c>
      <c r="O10" t="str">
        <f>VLOOKUP(Table1[[#This Row],[Country]],REF_Country!$A$1:$D$11,3,FALSE)</f>
        <v>AU</v>
      </c>
      <c r="P10">
        <f>VLOOKUP(Table1[[#This Row],[Country]],REF_Country!$A$1:$D$11,4,FALSE)</f>
        <v>0.1</v>
      </c>
      <c r="Q10">
        <f>VLOOKUP(Table1[[#This Row],[Category]],REF_Target!$A$1:$E$6,2,FALSE)</f>
        <v>30000</v>
      </c>
      <c r="R10">
        <f>Table1[[#This Row],[Quantity]]*Table1[[#This Row],[Unit_Price]]</f>
        <v>6512.2000000000007</v>
      </c>
      <c r="S10">
        <f>Table1[[#This Row],[Gross_Sales]]*Table1[[#This Row],[Discount_Rate]]</f>
        <v>651.22000000000014</v>
      </c>
      <c r="T10">
        <f>Table1[[#This Row],[Gross_Sales]]-Table1[[#This Row],[Discount_Amount]]</f>
        <v>5860.9800000000005</v>
      </c>
      <c r="U10">
        <f>VLOOKUP(Table1[[#This Row],[Category]],REF_Cost!$A$1:$B$6,2,FALSE)*Table1[[#This Row],[Quantity]]</f>
        <v>2000</v>
      </c>
      <c r="V10">
        <f>Table1[[#This Row],[Net_Sales]]-Table1[[#This Row],[Total_Cost]]</f>
        <v>3860.9800000000005</v>
      </c>
      <c r="W10" t="str">
        <f>TEXT(Table1[[#This Row],[Order_Date]],"mmm")</f>
        <v>May</v>
      </c>
      <c r="X10">
        <f>ROUNDUP(MONTH(Table1[[#This Row],[Order_Date]])/3,0)</f>
        <v>2</v>
      </c>
      <c r="Y10">
        <f>YEAR(Table1[[#This Row],[Order_Date]])</f>
        <v>2024</v>
      </c>
    </row>
    <row r="11" spans="1:25" x14ac:dyDescent="0.25">
      <c r="A11" t="s">
        <v>91</v>
      </c>
      <c r="B11" t="s">
        <v>92</v>
      </c>
      <c r="C11" t="s">
        <v>93</v>
      </c>
      <c r="D11" t="s">
        <v>94</v>
      </c>
      <c r="E11" t="s">
        <v>64</v>
      </c>
      <c r="F11" t="s">
        <v>56</v>
      </c>
      <c r="G11" t="s">
        <v>95</v>
      </c>
      <c r="H11" t="s">
        <v>32</v>
      </c>
      <c r="I11" t="s">
        <v>96</v>
      </c>
      <c r="J11" t="s">
        <v>34</v>
      </c>
      <c r="K11">
        <v>7</v>
      </c>
      <c r="L11">
        <v>946.76</v>
      </c>
      <c r="M11" s="3">
        <v>0.15</v>
      </c>
      <c r="N11" t="str">
        <f>VLOOKUP(Table1[[#This Row],[Country]],REF_Country!$A$1:$D$11,2,FALSE)</f>
        <v>Southeast Asia</v>
      </c>
      <c r="O11" t="str">
        <f>VLOOKUP(Table1[[#This Row],[Country]],REF_Country!$A$1:$D$11,3,FALSE)</f>
        <v>ID</v>
      </c>
      <c r="P11">
        <f>VLOOKUP(Table1[[#This Row],[Country]],REF_Country!$A$1:$D$11,4,FALSE)</f>
        <v>0.11</v>
      </c>
      <c r="Q11">
        <f>VLOOKUP(Table1[[#This Row],[Category]],REF_Target!$A$1:$E$6,2,FALSE)</f>
        <v>50000</v>
      </c>
      <c r="R11">
        <f>Table1[[#This Row],[Quantity]]*Table1[[#This Row],[Unit_Price]]</f>
        <v>6627.32</v>
      </c>
      <c r="S11">
        <f>Table1[[#This Row],[Gross_Sales]]*Table1[[#This Row],[Discount_Rate]]</f>
        <v>994.09799999999996</v>
      </c>
      <c r="T11">
        <f>Table1[[#This Row],[Gross_Sales]]-Table1[[#This Row],[Discount_Amount]]</f>
        <v>5633.2219999999998</v>
      </c>
      <c r="U11">
        <f>VLOOKUP(Table1[[#This Row],[Category]],REF_Cost!$A$1:$B$6,2,FALSE)*Table1[[#This Row],[Quantity]]</f>
        <v>3150</v>
      </c>
      <c r="V11">
        <f>Table1[[#This Row],[Net_Sales]]-Table1[[#This Row],[Total_Cost]]</f>
        <v>2483.2219999999998</v>
      </c>
      <c r="W11" t="str">
        <f>TEXT(Table1[[#This Row],[Order_Date]],"mmm")</f>
        <v>Sep</v>
      </c>
      <c r="X11">
        <f>ROUNDUP(MONTH(Table1[[#This Row],[Order_Date]])/3,0)</f>
        <v>3</v>
      </c>
      <c r="Y11">
        <f>YEAR(Table1[[#This Row],[Order_Date]])</f>
        <v>2024</v>
      </c>
    </row>
    <row r="12" spans="1:25" x14ac:dyDescent="0.25">
      <c r="A12" t="s">
        <v>97</v>
      </c>
      <c r="B12" t="s">
        <v>98</v>
      </c>
      <c r="C12" t="s">
        <v>99</v>
      </c>
      <c r="D12" t="s">
        <v>100</v>
      </c>
      <c r="E12" t="s">
        <v>78</v>
      </c>
      <c r="F12" t="s">
        <v>56</v>
      </c>
      <c r="G12" t="s">
        <v>101</v>
      </c>
      <c r="H12" t="s">
        <v>58</v>
      </c>
      <c r="I12" t="s">
        <v>51</v>
      </c>
      <c r="J12" t="s">
        <v>59</v>
      </c>
      <c r="K12">
        <v>9</v>
      </c>
      <c r="L12">
        <v>1027.3399999999999</v>
      </c>
      <c r="M12" s="3">
        <v>0.05</v>
      </c>
      <c r="N12" t="str">
        <f>VLOOKUP(Table1[[#This Row],[Country]],REF_Country!$A$1:$D$11,2,FALSE)</f>
        <v>Oceania</v>
      </c>
      <c r="O12" t="str">
        <f>VLOOKUP(Table1[[#This Row],[Country]],REF_Country!$A$1:$D$11,3,FALSE)</f>
        <v>AU</v>
      </c>
      <c r="P12">
        <f>VLOOKUP(Table1[[#This Row],[Country]],REF_Country!$A$1:$D$11,4,FALSE)</f>
        <v>0.1</v>
      </c>
      <c r="Q12">
        <f>VLOOKUP(Table1[[#This Row],[Category]],REF_Target!$A$1:$E$6,2,FALSE)</f>
        <v>50000</v>
      </c>
      <c r="R12">
        <f>Table1[[#This Row],[Quantity]]*Table1[[#This Row],[Unit_Price]]</f>
        <v>9246.06</v>
      </c>
      <c r="S12">
        <f>Table1[[#This Row],[Gross_Sales]]*Table1[[#This Row],[Discount_Rate]]</f>
        <v>462.303</v>
      </c>
      <c r="T12">
        <f>Table1[[#This Row],[Gross_Sales]]-Table1[[#This Row],[Discount_Amount]]</f>
        <v>8783.7569999999996</v>
      </c>
      <c r="U12">
        <f>VLOOKUP(Table1[[#This Row],[Category]],REF_Cost!$A$1:$B$6,2,FALSE)*Table1[[#This Row],[Quantity]]</f>
        <v>4050</v>
      </c>
      <c r="V12">
        <f>Table1[[#This Row],[Net_Sales]]-Table1[[#This Row],[Total_Cost]]</f>
        <v>4733.7569999999996</v>
      </c>
      <c r="W12" t="str">
        <f>TEXT(Table1[[#This Row],[Order_Date]],"mmm")</f>
        <v>Aug</v>
      </c>
      <c r="X12">
        <f>ROUNDUP(MONTH(Table1[[#This Row],[Order_Date]])/3,0)</f>
        <v>3</v>
      </c>
      <c r="Y12">
        <f>YEAR(Table1[[#This Row],[Order_Date]])</f>
        <v>2024</v>
      </c>
    </row>
    <row r="13" spans="1:25" x14ac:dyDescent="0.25">
      <c r="A13" t="s">
        <v>102</v>
      </c>
      <c r="B13" t="s">
        <v>103</v>
      </c>
      <c r="C13" t="s">
        <v>104</v>
      </c>
      <c r="D13" t="s">
        <v>105</v>
      </c>
      <c r="E13" t="s">
        <v>29</v>
      </c>
      <c r="F13" t="s">
        <v>40</v>
      </c>
      <c r="G13" t="s">
        <v>106</v>
      </c>
      <c r="H13" t="s">
        <v>58</v>
      </c>
      <c r="I13" t="s">
        <v>33</v>
      </c>
      <c r="J13" t="s">
        <v>73</v>
      </c>
      <c r="K13">
        <v>2</v>
      </c>
      <c r="L13">
        <v>768.91</v>
      </c>
      <c r="M13" s="3">
        <v>0.2</v>
      </c>
      <c r="N13" t="str">
        <f>VLOOKUP(Table1[[#This Row],[Country]],REF_Country!$A$1:$D$11,2,FALSE)</f>
        <v>Southeast Asia</v>
      </c>
      <c r="O13" t="str">
        <f>VLOOKUP(Table1[[#This Row],[Country]],REF_Country!$A$1:$D$11,3,FALSE)</f>
        <v>VN</v>
      </c>
      <c r="P13">
        <f>VLOOKUP(Table1[[#This Row],[Country]],REF_Country!$A$1:$D$11,4,FALSE)</f>
        <v>0.1</v>
      </c>
      <c r="Q13">
        <f>VLOOKUP(Table1[[#This Row],[Category]],REF_Target!$A$1:$E$6,2,FALSE)</f>
        <v>45000</v>
      </c>
      <c r="R13">
        <f>Table1[[#This Row],[Quantity]]*Table1[[#This Row],[Unit_Price]]</f>
        <v>1537.82</v>
      </c>
      <c r="S13">
        <f>Table1[[#This Row],[Gross_Sales]]*Table1[[#This Row],[Discount_Rate]]</f>
        <v>307.56400000000002</v>
      </c>
      <c r="T13">
        <f>Table1[[#This Row],[Gross_Sales]]-Table1[[#This Row],[Discount_Amount]]</f>
        <v>1230.2559999999999</v>
      </c>
      <c r="U13">
        <f>VLOOKUP(Table1[[#This Row],[Category]],REF_Cost!$A$1:$B$6,2,FALSE)*Table1[[#This Row],[Quantity]]</f>
        <v>160</v>
      </c>
      <c r="V13">
        <f>Table1[[#This Row],[Net_Sales]]-Table1[[#This Row],[Total_Cost]]</f>
        <v>1070.2559999999999</v>
      </c>
      <c r="W13" t="str">
        <f>TEXT(Table1[[#This Row],[Order_Date]],"mmm")</f>
        <v>Mar</v>
      </c>
      <c r="X13">
        <f>ROUNDUP(MONTH(Table1[[#This Row],[Order_Date]])/3,0)</f>
        <v>1</v>
      </c>
      <c r="Y13">
        <f>YEAR(Table1[[#This Row],[Order_Date]])</f>
        <v>2024</v>
      </c>
    </row>
    <row r="14" spans="1:25" x14ac:dyDescent="0.25">
      <c r="A14" t="s">
        <v>107</v>
      </c>
      <c r="B14" t="s">
        <v>108</v>
      </c>
      <c r="C14" t="s">
        <v>109</v>
      </c>
      <c r="D14" t="s">
        <v>110</v>
      </c>
      <c r="E14" t="s">
        <v>78</v>
      </c>
      <c r="F14" t="s">
        <v>56</v>
      </c>
      <c r="G14" t="s">
        <v>111</v>
      </c>
      <c r="H14" t="s">
        <v>58</v>
      </c>
      <c r="I14" t="s">
        <v>66</v>
      </c>
      <c r="J14" t="s">
        <v>73</v>
      </c>
      <c r="K14">
        <v>1</v>
      </c>
      <c r="L14">
        <v>496.37</v>
      </c>
      <c r="M14" s="3">
        <v>0</v>
      </c>
      <c r="N14" t="str">
        <f>VLOOKUP(Table1[[#This Row],[Country]],REF_Country!$A$1:$D$11,2,FALSE)</f>
        <v>Oceania</v>
      </c>
      <c r="O14" t="str">
        <f>VLOOKUP(Table1[[#This Row],[Country]],REF_Country!$A$1:$D$11,3,FALSE)</f>
        <v>AU</v>
      </c>
      <c r="P14">
        <f>VLOOKUP(Table1[[#This Row],[Country]],REF_Country!$A$1:$D$11,4,FALSE)</f>
        <v>0.1</v>
      </c>
      <c r="Q14">
        <f>VLOOKUP(Table1[[#This Row],[Category]],REF_Target!$A$1:$E$6,2,FALSE)</f>
        <v>50000</v>
      </c>
      <c r="R14">
        <f>Table1[[#This Row],[Quantity]]*Table1[[#This Row],[Unit_Price]]</f>
        <v>496.37</v>
      </c>
      <c r="S14">
        <f>Table1[[#This Row],[Gross_Sales]]*Table1[[#This Row],[Discount_Rate]]</f>
        <v>0</v>
      </c>
      <c r="T14">
        <f>Table1[[#This Row],[Gross_Sales]]-Table1[[#This Row],[Discount_Amount]]</f>
        <v>496.37</v>
      </c>
      <c r="U14">
        <f>VLOOKUP(Table1[[#This Row],[Category]],REF_Cost!$A$1:$B$6,2,FALSE)*Table1[[#This Row],[Quantity]]</f>
        <v>450</v>
      </c>
      <c r="V14">
        <f>Table1[[#This Row],[Net_Sales]]-Table1[[#This Row],[Total_Cost]]</f>
        <v>46.370000000000005</v>
      </c>
      <c r="W14" t="str">
        <f>TEXT(Table1[[#This Row],[Order_Date]],"mmm")</f>
        <v>Jul</v>
      </c>
      <c r="X14">
        <f>ROUNDUP(MONTH(Table1[[#This Row],[Order_Date]])/3,0)</f>
        <v>3</v>
      </c>
      <c r="Y14">
        <f>YEAR(Table1[[#This Row],[Order_Date]])</f>
        <v>2024</v>
      </c>
    </row>
    <row r="15" spans="1:25" x14ac:dyDescent="0.2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49</v>
      </c>
      <c r="G15" t="s">
        <v>117</v>
      </c>
      <c r="H15" t="s">
        <v>72</v>
      </c>
      <c r="I15" t="s">
        <v>96</v>
      </c>
      <c r="J15" t="s">
        <v>73</v>
      </c>
      <c r="K15">
        <v>9</v>
      </c>
      <c r="L15">
        <v>1467.31</v>
      </c>
      <c r="M15" s="3">
        <v>0</v>
      </c>
      <c r="N15" t="str">
        <f>VLOOKUP(Table1[[#This Row],[Country]],REF_Country!$A$1:$D$11,2,FALSE)</f>
        <v>Southeast Asia</v>
      </c>
      <c r="O15" t="str">
        <f>VLOOKUP(Table1[[#This Row],[Country]],REF_Country!$A$1:$D$11,3,FALSE)</f>
        <v>MY</v>
      </c>
      <c r="P15">
        <f>VLOOKUP(Table1[[#This Row],[Country]],REF_Country!$A$1:$D$11,4,FALSE)</f>
        <v>0.06</v>
      </c>
      <c r="Q15">
        <f>VLOOKUP(Table1[[#This Row],[Category]],REF_Target!$A$1:$E$6,2,FALSE)</f>
        <v>35000</v>
      </c>
      <c r="R15">
        <f>Table1[[#This Row],[Quantity]]*Table1[[#This Row],[Unit_Price]]</f>
        <v>13205.789999999999</v>
      </c>
      <c r="S15">
        <f>Table1[[#This Row],[Gross_Sales]]*Table1[[#This Row],[Discount_Rate]]</f>
        <v>0</v>
      </c>
      <c r="T15">
        <f>Table1[[#This Row],[Gross_Sales]]-Table1[[#This Row],[Discount_Amount]]</f>
        <v>13205.789999999999</v>
      </c>
      <c r="U15">
        <f>VLOOKUP(Table1[[#This Row],[Category]],REF_Cost!$A$1:$B$6,2,FALSE)*Table1[[#This Row],[Quantity]]</f>
        <v>1350</v>
      </c>
      <c r="V15">
        <f>Table1[[#This Row],[Net_Sales]]-Table1[[#This Row],[Total_Cost]]</f>
        <v>11855.789999999999</v>
      </c>
      <c r="W15" t="str">
        <f>TEXT(Table1[[#This Row],[Order_Date]],"mmm")</f>
        <v>May</v>
      </c>
      <c r="X15">
        <f>ROUNDUP(MONTH(Table1[[#This Row],[Order_Date]])/3,0)</f>
        <v>2</v>
      </c>
      <c r="Y15">
        <f>YEAR(Table1[[#This Row],[Order_Date]])</f>
        <v>2024</v>
      </c>
    </row>
    <row r="16" spans="1:25" x14ac:dyDescent="0.25">
      <c r="A16" t="s">
        <v>118</v>
      </c>
      <c r="B16" t="s">
        <v>119</v>
      </c>
      <c r="C16" t="s">
        <v>120</v>
      </c>
      <c r="D16" t="s">
        <v>121</v>
      </c>
      <c r="E16" t="s">
        <v>39</v>
      </c>
      <c r="F16" t="s">
        <v>40</v>
      </c>
      <c r="G16" t="s">
        <v>106</v>
      </c>
      <c r="H16" t="s">
        <v>58</v>
      </c>
      <c r="I16" t="s">
        <v>96</v>
      </c>
      <c r="J16" t="s">
        <v>34</v>
      </c>
      <c r="K16">
        <v>7</v>
      </c>
      <c r="L16">
        <v>1073.73</v>
      </c>
      <c r="M16" s="3">
        <v>0.2</v>
      </c>
      <c r="N16" t="str">
        <f>VLOOKUP(Table1[[#This Row],[Country]],REF_Country!$A$1:$D$11,2,FALSE)</f>
        <v>Southeast Asia</v>
      </c>
      <c r="O16" t="str">
        <f>VLOOKUP(Table1[[#This Row],[Country]],REF_Country!$A$1:$D$11,3,FALSE)</f>
        <v>TH</v>
      </c>
      <c r="P16">
        <f>VLOOKUP(Table1[[#This Row],[Country]],REF_Country!$A$1:$D$11,4,FALSE)</f>
        <v>7.0000000000000007E-2</v>
      </c>
      <c r="Q16">
        <f>VLOOKUP(Table1[[#This Row],[Category]],REF_Target!$A$1:$E$6,2,FALSE)</f>
        <v>45000</v>
      </c>
      <c r="R16">
        <f>Table1[[#This Row],[Quantity]]*Table1[[#This Row],[Unit_Price]]</f>
        <v>7516.1100000000006</v>
      </c>
      <c r="S16">
        <f>Table1[[#This Row],[Gross_Sales]]*Table1[[#This Row],[Discount_Rate]]</f>
        <v>1503.2220000000002</v>
      </c>
      <c r="T16">
        <f>Table1[[#This Row],[Gross_Sales]]-Table1[[#This Row],[Discount_Amount]]</f>
        <v>6012.8880000000008</v>
      </c>
      <c r="U16">
        <f>VLOOKUP(Table1[[#This Row],[Category]],REF_Cost!$A$1:$B$6,2,FALSE)*Table1[[#This Row],[Quantity]]</f>
        <v>560</v>
      </c>
      <c r="V16">
        <f>Table1[[#This Row],[Net_Sales]]-Table1[[#This Row],[Total_Cost]]</f>
        <v>5452.8880000000008</v>
      </c>
      <c r="W16" t="str">
        <f>TEXT(Table1[[#This Row],[Order_Date]],"mmm")</f>
        <v>Sep</v>
      </c>
      <c r="X16">
        <f>ROUNDUP(MONTH(Table1[[#This Row],[Order_Date]])/3,0)</f>
        <v>3</v>
      </c>
      <c r="Y16">
        <f>YEAR(Table1[[#This Row],[Order_Date]])</f>
        <v>2024</v>
      </c>
    </row>
    <row r="17" spans="1:25" x14ac:dyDescent="0.25">
      <c r="A17" t="s">
        <v>122</v>
      </c>
      <c r="B17" t="s">
        <v>123</v>
      </c>
      <c r="C17" t="s">
        <v>124</v>
      </c>
      <c r="D17" t="s">
        <v>125</v>
      </c>
      <c r="E17" t="s">
        <v>71</v>
      </c>
      <c r="F17" t="s">
        <v>56</v>
      </c>
      <c r="G17" t="s">
        <v>111</v>
      </c>
      <c r="H17" t="s">
        <v>32</v>
      </c>
      <c r="I17" t="s">
        <v>51</v>
      </c>
      <c r="J17" t="s">
        <v>126</v>
      </c>
      <c r="K17">
        <v>10</v>
      </c>
      <c r="L17">
        <v>837.57</v>
      </c>
      <c r="M17" s="3">
        <v>0</v>
      </c>
      <c r="N17" t="str">
        <f>VLOOKUP(Table1[[#This Row],[Country]],REF_Country!$A$1:$D$11,2,FALSE)</f>
        <v>Southeast Asia</v>
      </c>
      <c r="O17" t="str">
        <f>VLOOKUP(Table1[[#This Row],[Country]],REF_Country!$A$1:$D$11,3,FALSE)</f>
        <v>PH</v>
      </c>
      <c r="P17">
        <f>VLOOKUP(Table1[[#This Row],[Country]],REF_Country!$A$1:$D$11,4,FALSE)</f>
        <v>0.12</v>
      </c>
      <c r="Q17">
        <f>VLOOKUP(Table1[[#This Row],[Category]],REF_Target!$A$1:$E$6,2,FALSE)</f>
        <v>50000</v>
      </c>
      <c r="R17">
        <f>Table1[[#This Row],[Quantity]]*Table1[[#This Row],[Unit_Price]]</f>
        <v>8375.7000000000007</v>
      </c>
      <c r="S17">
        <f>Table1[[#This Row],[Gross_Sales]]*Table1[[#This Row],[Discount_Rate]]</f>
        <v>0</v>
      </c>
      <c r="T17">
        <f>Table1[[#This Row],[Gross_Sales]]-Table1[[#This Row],[Discount_Amount]]</f>
        <v>8375.7000000000007</v>
      </c>
      <c r="U17">
        <f>VLOOKUP(Table1[[#This Row],[Category]],REF_Cost!$A$1:$B$6,2,FALSE)*Table1[[#This Row],[Quantity]]</f>
        <v>4500</v>
      </c>
      <c r="V17">
        <f>Table1[[#This Row],[Net_Sales]]-Table1[[#This Row],[Total_Cost]]</f>
        <v>3875.7000000000007</v>
      </c>
      <c r="W17" t="str">
        <f>TEXT(Table1[[#This Row],[Order_Date]],"mmm")</f>
        <v>May</v>
      </c>
      <c r="X17">
        <f>ROUNDUP(MONTH(Table1[[#This Row],[Order_Date]])/3,0)</f>
        <v>2</v>
      </c>
      <c r="Y17">
        <f>YEAR(Table1[[#This Row],[Order_Date]])</f>
        <v>2024</v>
      </c>
    </row>
    <row r="18" spans="1:25" x14ac:dyDescent="0.25">
      <c r="A18" t="s">
        <v>127</v>
      </c>
      <c r="B18" t="s">
        <v>128</v>
      </c>
      <c r="C18" t="s">
        <v>129</v>
      </c>
      <c r="D18" t="s">
        <v>130</v>
      </c>
      <c r="E18" t="s">
        <v>71</v>
      </c>
      <c r="F18" t="s">
        <v>56</v>
      </c>
      <c r="G18" t="s">
        <v>111</v>
      </c>
      <c r="H18" t="s">
        <v>72</v>
      </c>
      <c r="I18" t="s">
        <v>33</v>
      </c>
      <c r="J18" t="s">
        <v>34</v>
      </c>
      <c r="K18">
        <v>8</v>
      </c>
      <c r="L18">
        <v>368.44</v>
      </c>
      <c r="M18" s="3">
        <v>0</v>
      </c>
      <c r="N18" t="str">
        <f>VLOOKUP(Table1[[#This Row],[Country]],REF_Country!$A$1:$D$11,2,FALSE)</f>
        <v>Southeast Asia</v>
      </c>
      <c r="O18" t="str">
        <f>VLOOKUP(Table1[[#This Row],[Country]],REF_Country!$A$1:$D$11,3,FALSE)</f>
        <v>PH</v>
      </c>
      <c r="P18">
        <f>VLOOKUP(Table1[[#This Row],[Country]],REF_Country!$A$1:$D$11,4,FALSE)</f>
        <v>0.12</v>
      </c>
      <c r="Q18">
        <f>VLOOKUP(Table1[[#This Row],[Category]],REF_Target!$A$1:$E$6,2,FALSE)</f>
        <v>50000</v>
      </c>
      <c r="R18">
        <f>Table1[[#This Row],[Quantity]]*Table1[[#This Row],[Unit_Price]]</f>
        <v>2947.52</v>
      </c>
      <c r="S18">
        <f>Table1[[#This Row],[Gross_Sales]]*Table1[[#This Row],[Discount_Rate]]</f>
        <v>0</v>
      </c>
      <c r="T18">
        <f>Table1[[#This Row],[Gross_Sales]]-Table1[[#This Row],[Discount_Amount]]</f>
        <v>2947.52</v>
      </c>
      <c r="U18">
        <f>VLOOKUP(Table1[[#This Row],[Category]],REF_Cost!$A$1:$B$6,2,FALSE)*Table1[[#This Row],[Quantity]]</f>
        <v>3600</v>
      </c>
      <c r="V18">
        <f>Table1[[#This Row],[Net_Sales]]-Table1[[#This Row],[Total_Cost]]</f>
        <v>-652.48</v>
      </c>
      <c r="W18" t="str">
        <f>TEXT(Table1[[#This Row],[Order_Date]],"mmm")</f>
        <v>Feb</v>
      </c>
      <c r="X18">
        <f>ROUNDUP(MONTH(Table1[[#This Row],[Order_Date]])/3,0)</f>
        <v>1</v>
      </c>
      <c r="Y18">
        <f>YEAR(Table1[[#This Row],[Order_Date]])</f>
        <v>2024</v>
      </c>
    </row>
    <row r="19" spans="1:25" x14ac:dyDescent="0.25">
      <c r="A19" t="s">
        <v>131</v>
      </c>
      <c r="B19" t="s">
        <v>132</v>
      </c>
      <c r="C19" t="s">
        <v>133</v>
      </c>
      <c r="D19" t="s">
        <v>134</v>
      </c>
      <c r="E19" t="s">
        <v>116</v>
      </c>
      <c r="F19" t="s">
        <v>56</v>
      </c>
      <c r="G19" t="s">
        <v>57</v>
      </c>
      <c r="H19" t="s">
        <v>32</v>
      </c>
      <c r="I19" t="s">
        <v>51</v>
      </c>
      <c r="J19" t="s">
        <v>126</v>
      </c>
      <c r="K19">
        <v>7</v>
      </c>
      <c r="L19">
        <v>541.13</v>
      </c>
      <c r="M19" s="3">
        <v>0.1</v>
      </c>
      <c r="N19" t="str">
        <f>VLOOKUP(Table1[[#This Row],[Country]],REF_Country!$A$1:$D$11,2,FALSE)</f>
        <v>Southeast Asia</v>
      </c>
      <c r="O19" t="str">
        <f>VLOOKUP(Table1[[#This Row],[Country]],REF_Country!$A$1:$D$11,3,FALSE)</f>
        <v>MY</v>
      </c>
      <c r="P19">
        <f>VLOOKUP(Table1[[#This Row],[Country]],REF_Country!$A$1:$D$11,4,FALSE)</f>
        <v>0.06</v>
      </c>
      <c r="Q19">
        <f>VLOOKUP(Table1[[#This Row],[Category]],REF_Target!$A$1:$E$6,2,FALSE)</f>
        <v>50000</v>
      </c>
      <c r="R19">
        <f>Table1[[#This Row],[Quantity]]*Table1[[#This Row],[Unit_Price]]</f>
        <v>3787.91</v>
      </c>
      <c r="S19">
        <f>Table1[[#This Row],[Gross_Sales]]*Table1[[#This Row],[Discount_Rate]]</f>
        <v>378.791</v>
      </c>
      <c r="T19">
        <f>Table1[[#This Row],[Gross_Sales]]-Table1[[#This Row],[Discount_Amount]]</f>
        <v>3409.1189999999997</v>
      </c>
      <c r="U19">
        <f>VLOOKUP(Table1[[#This Row],[Category]],REF_Cost!$A$1:$B$6,2,FALSE)*Table1[[#This Row],[Quantity]]</f>
        <v>3150</v>
      </c>
      <c r="V19">
        <f>Table1[[#This Row],[Net_Sales]]-Table1[[#This Row],[Total_Cost]]</f>
        <v>259.11899999999969</v>
      </c>
      <c r="W19" t="str">
        <f>TEXT(Table1[[#This Row],[Order_Date]],"mmm")</f>
        <v>Aug</v>
      </c>
      <c r="X19">
        <f>ROUNDUP(MONTH(Table1[[#This Row],[Order_Date]])/3,0)</f>
        <v>3</v>
      </c>
      <c r="Y19">
        <f>YEAR(Table1[[#This Row],[Order_Date]])</f>
        <v>2024</v>
      </c>
    </row>
    <row r="20" spans="1:25" x14ac:dyDescent="0.25">
      <c r="A20" t="s">
        <v>135</v>
      </c>
      <c r="B20" t="s">
        <v>136</v>
      </c>
      <c r="C20" t="s">
        <v>137</v>
      </c>
      <c r="D20" t="s">
        <v>138</v>
      </c>
      <c r="E20" t="s">
        <v>39</v>
      </c>
      <c r="F20" t="s">
        <v>30</v>
      </c>
      <c r="G20" t="s">
        <v>139</v>
      </c>
      <c r="H20" t="s">
        <v>58</v>
      </c>
      <c r="I20" t="s">
        <v>96</v>
      </c>
      <c r="J20" t="s">
        <v>73</v>
      </c>
      <c r="K20">
        <v>7</v>
      </c>
      <c r="L20">
        <v>681.19</v>
      </c>
      <c r="M20" s="3">
        <v>0</v>
      </c>
      <c r="N20" t="str">
        <f>VLOOKUP(Table1[[#This Row],[Country]],REF_Country!$A$1:$D$11,2,FALSE)</f>
        <v>Southeast Asia</v>
      </c>
      <c r="O20" t="str">
        <f>VLOOKUP(Table1[[#This Row],[Country]],REF_Country!$A$1:$D$11,3,FALSE)</f>
        <v>TH</v>
      </c>
      <c r="P20">
        <f>VLOOKUP(Table1[[#This Row],[Country]],REF_Country!$A$1:$D$11,4,FALSE)</f>
        <v>7.0000000000000007E-2</v>
      </c>
      <c r="Q20">
        <f>VLOOKUP(Table1[[#This Row],[Category]],REF_Target!$A$1:$E$6,2,FALSE)</f>
        <v>40000</v>
      </c>
      <c r="R20">
        <f>Table1[[#This Row],[Quantity]]*Table1[[#This Row],[Unit_Price]]</f>
        <v>4768.33</v>
      </c>
      <c r="S20">
        <f>Table1[[#This Row],[Gross_Sales]]*Table1[[#This Row],[Discount_Rate]]</f>
        <v>0</v>
      </c>
      <c r="T20">
        <f>Table1[[#This Row],[Gross_Sales]]-Table1[[#This Row],[Discount_Amount]]</f>
        <v>4768.33</v>
      </c>
      <c r="U20">
        <f>VLOOKUP(Table1[[#This Row],[Category]],REF_Cost!$A$1:$B$6,2,FALSE)*Table1[[#This Row],[Quantity]]</f>
        <v>840</v>
      </c>
      <c r="V20">
        <f>Table1[[#This Row],[Net_Sales]]-Table1[[#This Row],[Total_Cost]]</f>
        <v>3928.33</v>
      </c>
      <c r="W20" t="str">
        <f>TEXT(Table1[[#This Row],[Order_Date]],"mmm")</f>
        <v>Jun</v>
      </c>
      <c r="X20">
        <f>ROUNDUP(MONTH(Table1[[#This Row],[Order_Date]])/3,0)</f>
        <v>2</v>
      </c>
      <c r="Y20">
        <f>YEAR(Table1[[#This Row],[Order_Date]])</f>
        <v>2024</v>
      </c>
    </row>
    <row r="21" spans="1:25" x14ac:dyDescent="0.25">
      <c r="A21" t="s">
        <v>140</v>
      </c>
      <c r="B21" t="s">
        <v>141</v>
      </c>
      <c r="C21" t="s">
        <v>142</v>
      </c>
      <c r="D21" t="s">
        <v>143</v>
      </c>
      <c r="E21" t="s">
        <v>64</v>
      </c>
      <c r="F21" t="s">
        <v>40</v>
      </c>
      <c r="G21" t="s">
        <v>144</v>
      </c>
      <c r="H21" t="s">
        <v>42</v>
      </c>
      <c r="I21" t="s">
        <v>96</v>
      </c>
      <c r="J21" t="s">
        <v>34</v>
      </c>
      <c r="K21">
        <v>4</v>
      </c>
      <c r="L21">
        <v>1453.96</v>
      </c>
      <c r="M21" s="3">
        <v>0</v>
      </c>
      <c r="N21" t="str">
        <f>VLOOKUP(Table1[[#This Row],[Country]],REF_Country!$A$1:$D$11,2,FALSE)</f>
        <v>Southeast Asia</v>
      </c>
      <c r="O21" t="str">
        <f>VLOOKUP(Table1[[#This Row],[Country]],REF_Country!$A$1:$D$11,3,FALSE)</f>
        <v>ID</v>
      </c>
      <c r="P21">
        <f>VLOOKUP(Table1[[#This Row],[Country]],REF_Country!$A$1:$D$11,4,FALSE)</f>
        <v>0.11</v>
      </c>
      <c r="Q21">
        <f>VLOOKUP(Table1[[#This Row],[Category]],REF_Target!$A$1:$E$6,2,FALSE)</f>
        <v>45000</v>
      </c>
      <c r="R21">
        <f>Table1[[#This Row],[Quantity]]*Table1[[#This Row],[Unit_Price]]</f>
        <v>5815.84</v>
      </c>
      <c r="S21">
        <f>Table1[[#This Row],[Gross_Sales]]*Table1[[#This Row],[Discount_Rate]]</f>
        <v>0</v>
      </c>
      <c r="T21">
        <f>Table1[[#This Row],[Gross_Sales]]-Table1[[#This Row],[Discount_Amount]]</f>
        <v>5815.84</v>
      </c>
      <c r="U21">
        <f>VLOOKUP(Table1[[#This Row],[Category]],REF_Cost!$A$1:$B$6,2,FALSE)*Table1[[#This Row],[Quantity]]</f>
        <v>320</v>
      </c>
      <c r="V21">
        <f>Table1[[#This Row],[Net_Sales]]-Table1[[#This Row],[Total_Cost]]</f>
        <v>5495.84</v>
      </c>
      <c r="W21" t="str">
        <f>TEXT(Table1[[#This Row],[Order_Date]],"mmm")</f>
        <v>Aug</v>
      </c>
      <c r="X21">
        <f>ROUNDUP(MONTH(Table1[[#This Row],[Order_Date]])/3,0)</f>
        <v>3</v>
      </c>
      <c r="Y21">
        <f>YEAR(Table1[[#This Row],[Order_Date]])</f>
        <v>2024</v>
      </c>
    </row>
    <row r="22" spans="1:25" x14ac:dyDescent="0.25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56</v>
      </c>
      <c r="G22" t="s">
        <v>57</v>
      </c>
      <c r="H22" t="s">
        <v>42</v>
      </c>
      <c r="I22" t="s">
        <v>33</v>
      </c>
      <c r="J22" t="s">
        <v>34</v>
      </c>
      <c r="K22">
        <v>8</v>
      </c>
      <c r="L22">
        <v>408.83</v>
      </c>
      <c r="M22" s="3">
        <v>0.05</v>
      </c>
      <c r="N22" t="str">
        <f>VLOOKUP(Table1[[#This Row],[Country]],REF_Country!$A$1:$D$11,2,FALSE)</f>
        <v>East Asia</v>
      </c>
      <c r="O22" t="str">
        <f>VLOOKUP(Table1[[#This Row],[Country]],REF_Country!$A$1:$D$11,3,FALSE)</f>
        <v>JP</v>
      </c>
      <c r="P22">
        <f>VLOOKUP(Table1[[#This Row],[Country]],REF_Country!$A$1:$D$11,4,FALSE)</f>
        <v>0.1</v>
      </c>
      <c r="Q22">
        <f>VLOOKUP(Table1[[#This Row],[Category]],REF_Target!$A$1:$E$6,2,FALSE)</f>
        <v>50000</v>
      </c>
      <c r="R22">
        <f>Table1[[#This Row],[Quantity]]*Table1[[#This Row],[Unit_Price]]</f>
        <v>3270.64</v>
      </c>
      <c r="S22">
        <f>Table1[[#This Row],[Gross_Sales]]*Table1[[#This Row],[Discount_Rate]]</f>
        <v>163.53200000000001</v>
      </c>
      <c r="T22">
        <f>Table1[[#This Row],[Gross_Sales]]-Table1[[#This Row],[Discount_Amount]]</f>
        <v>3107.1079999999997</v>
      </c>
      <c r="U22">
        <f>VLOOKUP(Table1[[#This Row],[Category]],REF_Cost!$A$1:$B$6,2,FALSE)*Table1[[#This Row],[Quantity]]</f>
        <v>3600</v>
      </c>
      <c r="V22">
        <f>Table1[[#This Row],[Net_Sales]]-Table1[[#This Row],[Total_Cost]]</f>
        <v>-492.89200000000028</v>
      </c>
      <c r="W22" t="str">
        <f>TEXT(Table1[[#This Row],[Order_Date]],"mmm")</f>
        <v>Jul</v>
      </c>
      <c r="X22">
        <f>ROUNDUP(MONTH(Table1[[#This Row],[Order_Date]])/3,0)</f>
        <v>3</v>
      </c>
      <c r="Y22">
        <f>YEAR(Table1[[#This Row],[Order_Date]])</f>
        <v>2024</v>
      </c>
    </row>
    <row r="23" spans="1:25" x14ac:dyDescent="0.25">
      <c r="A23" t="s">
        <v>150</v>
      </c>
      <c r="B23" t="s">
        <v>151</v>
      </c>
      <c r="C23" t="s">
        <v>152</v>
      </c>
      <c r="D23" t="s">
        <v>153</v>
      </c>
      <c r="E23" t="s">
        <v>64</v>
      </c>
      <c r="F23" t="s">
        <v>40</v>
      </c>
      <c r="G23" t="s">
        <v>41</v>
      </c>
      <c r="H23" t="s">
        <v>32</v>
      </c>
      <c r="I23" t="s">
        <v>33</v>
      </c>
      <c r="J23" t="s">
        <v>34</v>
      </c>
      <c r="K23">
        <v>6</v>
      </c>
      <c r="L23">
        <v>105.52</v>
      </c>
      <c r="M23" s="3">
        <v>0</v>
      </c>
      <c r="N23" t="str">
        <f>VLOOKUP(Table1[[#This Row],[Country]],REF_Country!$A$1:$D$11,2,FALSE)</f>
        <v>Southeast Asia</v>
      </c>
      <c r="O23" t="str">
        <f>VLOOKUP(Table1[[#This Row],[Country]],REF_Country!$A$1:$D$11,3,FALSE)</f>
        <v>ID</v>
      </c>
      <c r="P23">
        <f>VLOOKUP(Table1[[#This Row],[Country]],REF_Country!$A$1:$D$11,4,FALSE)</f>
        <v>0.11</v>
      </c>
      <c r="Q23">
        <f>VLOOKUP(Table1[[#This Row],[Category]],REF_Target!$A$1:$E$6,2,FALSE)</f>
        <v>45000</v>
      </c>
      <c r="R23">
        <f>Table1[[#This Row],[Quantity]]*Table1[[#This Row],[Unit_Price]]</f>
        <v>633.12</v>
      </c>
      <c r="S23">
        <f>Table1[[#This Row],[Gross_Sales]]*Table1[[#This Row],[Discount_Rate]]</f>
        <v>0</v>
      </c>
      <c r="T23">
        <f>Table1[[#This Row],[Gross_Sales]]-Table1[[#This Row],[Discount_Amount]]</f>
        <v>633.12</v>
      </c>
      <c r="U23">
        <f>VLOOKUP(Table1[[#This Row],[Category]],REF_Cost!$A$1:$B$6,2,FALSE)*Table1[[#This Row],[Quantity]]</f>
        <v>480</v>
      </c>
      <c r="V23">
        <f>Table1[[#This Row],[Net_Sales]]-Table1[[#This Row],[Total_Cost]]</f>
        <v>153.12</v>
      </c>
      <c r="W23" t="str">
        <f>TEXT(Table1[[#This Row],[Order_Date]],"mmm")</f>
        <v>Apr</v>
      </c>
      <c r="X23">
        <f>ROUNDUP(MONTH(Table1[[#This Row],[Order_Date]])/3,0)</f>
        <v>2</v>
      </c>
      <c r="Y23">
        <f>YEAR(Table1[[#This Row],[Order_Date]])</f>
        <v>2024</v>
      </c>
    </row>
    <row r="24" spans="1:25" x14ac:dyDescent="0.25">
      <c r="A24" t="s">
        <v>154</v>
      </c>
      <c r="B24" t="s">
        <v>155</v>
      </c>
      <c r="C24" t="s">
        <v>156</v>
      </c>
      <c r="D24" t="s">
        <v>157</v>
      </c>
      <c r="E24" t="s">
        <v>78</v>
      </c>
      <c r="F24" t="s">
        <v>56</v>
      </c>
      <c r="G24" t="s">
        <v>95</v>
      </c>
      <c r="H24" t="s">
        <v>72</v>
      </c>
      <c r="I24" t="s">
        <v>96</v>
      </c>
      <c r="J24" t="s">
        <v>126</v>
      </c>
      <c r="K24">
        <v>2</v>
      </c>
      <c r="L24">
        <v>116.75</v>
      </c>
      <c r="M24" s="3">
        <v>0.2</v>
      </c>
      <c r="N24" t="str">
        <f>VLOOKUP(Table1[[#This Row],[Country]],REF_Country!$A$1:$D$11,2,FALSE)</f>
        <v>Oceania</v>
      </c>
      <c r="O24" t="str">
        <f>VLOOKUP(Table1[[#This Row],[Country]],REF_Country!$A$1:$D$11,3,FALSE)</f>
        <v>AU</v>
      </c>
      <c r="P24">
        <f>VLOOKUP(Table1[[#This Row],[Country]],REF_Country!$A$1:$D$11,4,FALSE)</f>
        <v>0.1</v>
      </c>
      <c r="Q24">
        <f>VLOOKUP(Table1[[#This Row],[Category]],REF_Target!$A$1:$E$6,2,FALSE)</f>
        <v>50000</v>
      </c>
      <c r="R24">
        <f>Table1[[#This Row],[Quantity]]*Table1[[#This Row],[Unit_Price]]</f>
        <v>233.5</v>
      </c>
      <c r="S24">
        <f>Table1[[#This Row],[Gross_Sales]]*Table1[[#This Row],[Discount_Rate]]</f>
        <v>46.7</v>
      </c>
      <c r="T24">
        <f>Table1[[#This Row],[Gross_Sales]]-Table1[[#This Row],[Discount_Amount]]</f>
        <v>186.8</v>
      </c>
      <c r="U24">
        <f>VLOOKUP(Table1[[#This Row],[Category]],REF_Cost!$A$1:$B$6,2,FALSE)*Table1[[#This Row],[Quantity]]</f>
        <v>900</v>
      </c>
      <c r="V24">
        <f>Table1[[#This Row],[Net_Sales]]-Table1[[#This Row],[Total_Cost]]</f>
        <v>-713.2</v>
      </c>
      <c r="W24" t="str">
        <f>TEXT(Table1[[#This Row],[Order_Date]],"mmm")</f>
        <v>Sep</v>
      </c>
      <c r="X24">
        <f>ROUNDUP(MONTH(Table1[[#This Row],[Order_Date]])/3,0)</f>
        <v>3</v>
      </c>
      <c r="Y24">
        <f>YEAR(Table1[[#This Row],[Order_Date]])</f>
        <v>2024</v>
      </c>
    </row>
    <row r="25" spans="1:25" x14ac:dyDescent="0.25">
      <c r="A25" t="s">
        <v>158</v>
      </c>
      <c r="B25" t="s">
        <v>159</v>
      </c>
      <c r="C25" t="s">
        <v>160</v>
      </c>
      <c r="D25" t="s">
        <v>161</v>
      </c>
      <c r="E25" t="s">
        <v>64</v>
      </c>
      <c r="F25" t="s">
        <v>40</v>
      </c>
      <c r="G25" t="s">
        <v>144</v>
      </c>
      <c r="H25" t="s">
        <v>58</v>
      </c>
      <c r="I25" t="s">
        <v>66</v>
      </c>
      <c r="J25" t="s">
        <v>73</v>
      </c>
      <c r="K25">
        <v>10</v>
      </c>
      <c r="L25">
        <v>637.54999999999995</v>
      </c>
      <c r="M25" s="3">
        <v>0.15</v>
      </c>
      <c r="N25" t="str">
        <f>VLOOKUP(Table1[[#This Row],[Country]],REF_Country!$A$1:$D$11,2,FALSE)</f>
        <v>Southeast Asia</v>
      </c>
      <c r="O25" t="str">
        <f>VLOOKUP(Table1[[#This Row],[Country]],REF_Country!$A$1:$D$11,3,FALSE)</f>
        <v>ID</v>
      </c>
      <c r="P25">
        <f>VLOOKUP(Table1[[#This Row],[Country]],REF_Country!$A$1:$D$11,4,FALSE)</f>
        <v>0.11</v>
      </c>
      <c r="Q25">
        <f>VLOOKUP(Table1[[#This Row],[Category]],REF_Target!$A$1:$E$6,2,FALSE)</f>
        <v>45000</v>
      </c>
      <c r="R25">
        <f>Table1[[#This Row],[Quantity]]*Table1[[#This Row],[Unit_Price]]</f>
        <v>6375.5</v>
      </c>
      <c r="S25">
        <f>Table1[[#This Row],[Gross_Sales]]*Table1[[#This Row],[Discount_Rate]]</f>
        <v>956.32499999999993</v>
      </c>
      <c r="T25">
        <f>Table1[[#This Row],[Gross_Sales]]-Table1[[#This Row],[Discount_Amount]]</f>
        <v>5419.1750000000002</v>
      </c>
      <c r="U25">
        <f>VLOOKUP(Table1[[#This Row],[Category]],REF_Cost!$A$1:$B$6,2,FALSE)*Table1[[#This Row],[Quantity]]</f>
        <v>800</v>
      </c>
      <c r="V25">
        <f>Table1[[#This Row],[Net_Sales]]-Table1[[#This Row],[Total_Cost]]</f>
        <v>4619.1750000000002</v>
      </c>
      <c r="W25" t="str">
        <f>TEXT(Table1[[#This Row],[Order_Date]],"mmm")</f>
        <v>May</v>
      </c>
      <c r="X25">
        <f>ROUNDUP(MONTH(Table1[[#This Row],[Order_Date]])/3,0)</f>
        <v>2</v>
      </c>
      <c r="Y25">
        <f>YEAR(Table1[[#This Row],[Order_Date]])</f>
        <v>2024</v>
      </c>
    </row>
    <row r="26" spans="1:25" x14ac:dyDescent="0.25">
      <c r="A26" t="s">
        <v>162</v>
      </c>
      <c r="B26" t="s">
        <v>163</v>
      </c>
      <c r="C26" t="s">
        <v>164</v>
      </c>
      <c r="D26" t="s">
        <v>165</v>
      </c>
      <c r="E26" t="s">
        <v>149</v>
      </c>
      <c r="F26" t="s">
        <v>30</v>
      </c>
      <c r="G26" t="s">
        <v>65</v>
      </c>
      <c r="H26" t="s">
        <v>42</v>
      </c>
      <c r="I26" t="s">
        <v>33</v>
      </c>
      <c r="J26" t="s">
        <v>126</v>
      </c>
      <c r="K26">
        <v>2</v>
      </c>
      <c r="L26">
        <v>693.98</v>
      </c>
      <c r="M26" s="3">
        <v>0</v>
      </c>
      <c r="N26" t="str">
        <f>VLOOKUP(Table1[[#This Row],[Country]],REF_Country!$A$1:$D$11,2,FALSE)</f>
        <v>East Asia</v>
      </c>
      <c r="O26" t="str">
        <f>VLOOKUP(Table1[[#This Row],[Country]],REF_Country!$A$1:$D$11,3,FALSE)</f>
        <v>JP</v>
      </c>
      <c r="P26">
        <f>VLOOKUP(Table1[[#This Row],[Country]],REF_Country!$A$1:$D$11,4,FALSE)</f>
        <v>0.1</v>
      </c>
      <c r="Q26">
        <f>VLOOKUP(Table1[[#This Row],[Category]],REF_Target!$A$1:$E$6,2,FALSE)</f>
        <v>40000</v>
      </c>
      <c r="R26">
        <f>Table1[[#This Row],[Quantity]]*Table1[[#This Row],[Unit_Price]]</f>
        <v>1387.96</v>
      </c>
      <c r="S26">
        <f>Table1[[#This Row],[Gross_Sales]]*Table1[[#This Row],[Discount_Rate]]</f>
        <v>0</v>
      </c>
      <c r="T26">
        <f>Table1[[#This Row],[Gross_Sales]]-Table1[[#This Row],[Discount_Amount]]</f>
        <v>1387.96</v>
      </c>
      <c r="U26">
        <f>VLOOKUP(Table1[[#This Row],[Category]],REF_Cost!$A$1:$B$6,2,FALSE)*Table1[[#This Row],[Quantity]]</f>
        <v>240</v>
      </c>
      <c r="V26">
        <f>Table1[[#This Row],[Net_Sales]]-Table1[[#This Row],[Total_Cost]]</f>
        <v>1147.96</v>
      </c>
      <c r="W26" t="str">
        <f>TEXT(Table1[[#This Row],[Order_Date]],"mmm")</f>
        <v>Jun</v>
      </c>
      <c r="X26">
        <f>ROUNDUP(MONTH(Table1[[#This Row],[Order_Date]])/3,0)</f>
        <v>2</v>
      </c>
      <c r="Y26">
        <f>YEAR(Table1[[#This Row],[Order_Date]])</f>
        <v>2024</v>
      </c>
    </row>
    <row r="27" spans="1:25" x14ac:dyDescent="0.25">
      <c r="A27" t="s">
        <v>166</v>
      </c>
      <c r="B27" t="s">
        <v>167</v>
      </c>
      <c r="C27" t="s">
        <v>168</v>
      </c>
      <c r="D27" t="s">
        <v>169</v>
      </c>
      <c r="E27" t="s">
        <v>29</v>
      </c>
      <c r="F27" t="s">
        <v>30</v>
      </c>
      <c r="G27" t="s">
        <v>65</v>
      </c>
      <c r="H27" t="s">
        <v>58</v>
      </c>
      <c r="I27" t="s">
        <v>43</v>
      </c>
      <c r="J27" t="s">
        <v>34</v>
      </c>
      <c r="K27">
        <v>4</v>
      </c>
      <c r="L27">
        <v>1323.08</v>
      </c>
      <c r="M27" s="3">
        <v>0.05</v>
      </c>
      <c r="N27" t="str">
        <f>VLOOKUP(Table1[[#This Row],[Country]],REF_Country!$A$1:$D$11,2,FALSE)</f>
        <v>Southeast Asia</v>
      </c>
      <c r="O27" t="str">
        <f>VLOOKUP(Table1[[#This Row],[Country]],REF_Country!$A$1:$D$11,3,FALSE)</f>
        <v>VN</v>
      </c>
      <c r="P27">
        <f>VLOOKUP(Table1[[#This Row],[Country]],REF_Country!$A$1:$D$11,4,FALSE)</f>
        <v>0.1</v>
      </c>
      <c r="Q27">
        <f>VLOOKUP(Table1[[#This Row],[Category]],REF_Target!$A$1:$E$6,2,FALSE)</f>
        <v>40000</v>
      </c>
      <c r="R27">
        <f>Table1[[#This Row],[Quantity]]*Table1[[#This Row],[Unit_Price]]</f>
        <v>5292.32</v>
      </c>
      <c r="S27">
        <f>Table1[[#This Row],[Gross_Sales]]*Table1[[#This Row],[Discount_Rate]]</f>
        <v>264.61599999999999</v>
      </c>
      <c r="T27">
        <f>Table1[[#This Row],[Gross_Sales]]-Table1[[#This Row],[Discount_Amount]]</f>
        <v>5027.7039999999997</v>
      </c>
      <c r="U27">
        <f>VLOOKUP(Table1[[#This Row],[Category]],REF_Cost!$A$1:$B$6,2,FALSE)*Table1[[#This Row],[Quantity]]</f>
        <v>480</v>
      </c>
      <c r="V27">
        <f>Table1[[#This Row],[Net_Sales]]-Table1[[#This Row],[Total_Cost]]</f>
        <v>4547.7039999999997</v>
      </c>
      <c r="W27" t="str">
        <f>TEXT(Table1[[#This Row],[Order_Date]],"mmm")</f>
        <v>Oct</v>
      </c>
      <c r="X27">
        <f>ROUNDUP(MONTH(Table1[[#This Row],[Order_Date]])/3,0)</f>
        <v>4</v>
      </c>
      <c r="Y27">
        <f>YEAR(Table1[[#This Row],[Order_Date]])</f>
        <v>2024</v>
      </c>
    </row>
    <row r="28" spans="1:25" x14ac:dyDescent="0.25">
      <c r="A28" t="s">
        <v>170</v>
      </c>
      <c r="B28" t="s">
        <v>171</v>
      </c>
      <c r="C28" t="s">
        <v>172</v>
      </c>
      <c r="D28" t="s">
        <v>173</v>
      </c>
      <c r="E28" t="s">
        <v>78</v>
      </c>
      <c r="F28" t="s">
        <v>56</v>
      </c>
      <c r="G28" t="s">
        <v>111</v>
      </c>
      <c r="H28" t="s">
        <v>58</v>
      </c>
      <c r="I28" t="s">
        <v>51</v>
      </c>
      <c r="J28" t="s">
        <v>126</v>
      </c>
      <c r="K28">
        <v>2</v>
      </c>
      <c r="L28">
        <v>459.58</v>
      </c>
      <c r="M28" s="3">
        <v>0</v>
      </c>
      <c r="N28" t="str">
        <f>VLOOKUP(Table1[[#This Row],[Country]],REF_Country!$A$1:$D$11,2,FALSE)</f>
        <v>Oceania</v>
      </c>
      <c r="O28" t="str">
        <f>VLOOKUP(Table1[[#This Row],[Country]],REF_Country!$A$1:$D$11,3,FALSE)</f>
        <v>AU</v>
      </c>
      <c r="P28">
        <f>VLOOKUP(Table1[[#This Row],[Country]],REF_Country!$A$1:$D$11,4,FALSE)</f>
        <v>0.1</v>
      </c>
      <c r="Q28">
        <f>VLOOKUP(Table1[[#This Row],[Category]],REF_Target!$A$1:$E$6,2,FALSE)</f>
        <v>50000</v>
      </c>
      <c r="R28">
        <f>Table1[[#This Row],[Quantity]]*Table1[[#This Row],[Unit_Price]]</f>
        <v>919.16</v>
      </c>
      <c r="S28">
        <f>Table1[[#This Row],[Gross_Sales]]*Table1[[#This Row],[Discount_Rate]]</f>
        <v>0</v>
      </c>
      <c r="T28">
        <f>Table1[[#This Row],[Gross_Sales]]-Table1[[#This Row],[Discount_Amount]]</f>
        <v>919.16</v>
      </c>
      <c r="U28">
        <f>VLOOKUP(Table1[[#This Row],[Category]],REF_Cost!$A$1:$B$6,2,FALSE)*Table1[[#This Row],[Quantity]]</f>
        <v>900</v>
      </c>
      <c r="V28">
        <f>Table1[[#This Row],[Net_Sales]]-Table1[[#This Row],[Total_Cost]]</f>
        <v>19.159999999999968</v>
      </c>
      <c r="W28" t="str">
        <f>TEXT(Table1[[#This Row],[Order_Date]],"mmm")</f>
        <v>Dec</v>
      </c>
      <c r="X28">
        <f>ROUNDUP(MONTH(Table1[[#This Row],[Order_Date]])/3,0)</f>
        <v>4</v>
      </c>
      <c r="Y28">
        <f>YEAR(Table1[[#This Row],[Order_Date]])</f>
        <v>2024</v>
      </c>
    </row>
    <row r="29" spans="1:25" x14ac:dyDescent="0.25">
      <c r="A29" t="s">
        <v>174</v>
      </c>
      <c r="B29" t="s">
        <v>175</v>
      </c>
      <c r="C29" t="s">
        <v>176</v>
      </c>
      <c r="D29" t="s">
        <v>177</v>
      </c>
      <c r="E29" t="s">
        <v>83</v>
      </c>
      <c r="F29" t="s">
        <v>30</v>
      </c>
      <c r="G29" t="s">
        <v>65</v>
      </c>
      <c r="H29" t="s">
        <v>42</v>
      </c>
      <c r="I29" t="s">
        <v>66</v>
      </c>
      <c r="J29" t="s">
        <v>126</v>
      </c>
      <c r="K29">
        <v>5</v>
      </c>
      <c r="L29">
        <v>317.33999999999997</v>
      </c>
      <c r="M29" s="3">
        <v>0.15</v>
      </c>
      <c r="N29" t="str">
        <f>VLOOKUP(Table1[[#This Row],[Country]],REF_Country!$A$1:$D$11,2,FALSE)</f>
        <v>South Asia</v>
      </c>
      <c r="O29" t="str">
        <f>VLOOKUP(Table1[[#This Row],[Country]],REF_Country!$A$1:$D$11,3,FALSE)</f>
        <v>IN</v>
      </c>
      <c r="P29">
        <f>VLOOKUP(Table1[[#This Row],[Country]],REF_Country!$A$1:$D$11,4,FALSE)</f>
        <v>0.18</v>
      </c>
      <c r="Q29">
        <f>VLOOKUP(Table1[[#This Row],[Category]],REF_Target!$A$1:$E$6,2,FALSE)</f>
        <v>40000</v>
      </c>
      <c r="R29">
        <f>Table1[[#This Row],[Quantity]]*Table1[[#This Row],[Unit_Price]]</f>
        <v>1586.6999999999998</v>
      </c>
      <c r="S29">
        <f>Table1[[#This Row],[Gross_Sales]]*Table1[[#This Row],[Discount_Rate]]</f>
        <v>238.00499999999997</v>
      </c>
      <c r="T29">
        <f>Table1[[#This Row],[Gross_Sales]]-Table1[[#This Row],[Discount_Amount]]</f>
        <v>1348.6949999999999</v>
      </c>
      <c r="U29">
        <f>VLOOKUP(Table1[[#This Row],[Category]],REF_Cost!$A$1:$B$6,2,FALSE)*Table1[[#This Row],[Quantity]]</f>
        <v>600</v>
      </c>
      <c r="V29">
        <f>Table1[[#This Row],[Net_Sales]]-Table1[[#This Row],[Total_Cost]]</f>
        <v>748.69499999999994</v>
      </c>
      <c r="W29" t="str">
        <f>TEXT(Table1[[#This Row],[Order_Date]],"mmm")</f>
        <v>Mar</v>
      </c>
      <c r="X29">
        <f>ROUNDUP(MONTH(Table1[[#This Row],[Order_Date]])/3,0)</f>
        <v>1</v>
      </c>
      <c r="Y29">
        <f>YEAR(Table1[[#This Row],[Order_Date]])</f>
        <v>2024</v>
      </c>
    </row>
    <row r="30" spans="1:25" x14ac:dyDescent="0.25">
      <c r="A30" t="s">
        <v>178</v>
      </c>
      <c r="B30" t="s">
        <v>179</v>
      </c>
      <c r="C30" t="s">
        <v>180</v>
      </c>
      <c r="D30" t="s">
        <v>181</v>
      </c>
      <c r="E30" t="s">
        <v>29</v>
      </c>
      <c r="F30" t="s">
        <v>56</v>
      </c>
      <c r="G30" t="s">
        <v>101</v>
      </c>
      <c r="H30" t="s">
        <v>58</v>
      </c>
      <c r="I30" t="s">
        <v>43</v>
      </c>
      <c r="J30" t="s">
        <v>34</v>
      </c>
      <c r="K30">
        <v>3</v>
      </c>
      <c r="L30">
        <v>510.33</v>
      </c>
      <c r="M30" s="3">
        <v>0.2</v>
      </c>
      <c r="N30" t="str">
        <f>VLOOKUP(Table1[[#This Row],[Country]],REF_Country!$A$1:$D$11,2,FALSE)</f>
        <v>Southeast Asia</v>
      </c>
      <c r="O30" t="str">
        <f>VLOOKUP(Table1[[#This Row],[Country]],REF_Country!$A$1:$D$11,3,FALSE)</f>
        <v>VN</v>
      </c>
      <c r="P30">
        <f>VLOOKUP(Table1[[#This Row],[Country]],REF_Country!$A$1:$D$11,4,FALSE)</f>
        <v>0.1</v>
      </c>
      <c r="Q30">
        <f>VLOOKUP(Table1[[#This Row],[Category]],REF_Target!$A$1:$E$6,2,FALSE)</f>
        <v>50000</v>
      </c>
      <c r="R30">
        <f>Table1[[#This Row],[Quantity]]*Table1[[#This Row],[Unit_Price]]</f>
        <v>1530.99</v>
      </c>
      <c r="S30">
        <f>Table1[[#This Row],[Gross_Sales]]*Table1[[#This Row],[Discount_Rate]]</f>
        <v>306.19800000000004</v>
      </c>
      <c r="T30">
        <f>Table1[[#This Row],[Gross_Sales]]-Table1[[#This Row],[Discount_Amount]]</f>
        <v>1224.7919999999999</v>
      </c>
      <c r="U30">
        <f>VLOOKUP(Table1[[#This Row],[Category]],REF_Cost!$A$1:$B$6,2,FALSE)*Table1[[#This Row],[Quantity]]</f>
        <v>1350</v>
      </c>
      <c r="V30">
        <f>Table1[[#This Row],[Net_Sales]]-Table1[[#This Row],[Total_Cost]]</f>
        <v>-125.20800000000008</v>
      </c>
      <c r="W30" t="str">
        <f>TEXT(Table1[[#This Row],[Order_Date]],"mmm")</f>
        <v>Nov</v>
      </c>
      <c r="X30">
        <f>ROUNDUP(MONTH(Table1[[#This Row],[Order_Date]])/3,0)</f>
        <v>4</v>
      </c>
      <c r="Y30">
        <f>YEAR(Table1[[#This Row],[Order_Date]])</f>
        <v>2024</v>
      </c>
    </row>
    <row r="31" spans="1:25" x14ac:dyDescent="0.25">
      <c r="A31" t="s">
        <v>182</v>
      </c>
      <c r="B31" t="s">
        <v>183</v>
      </c>
      <c r="C31" t="s">
        <v>184</v>
      </c>
      <c r="D31" t="s">
        <v>185</v>
      </c>
      <c r="E31" t="s">
        <v>64</v>
      </c>
      <c r="F31" t="s">
        <v>56</v>
      </c>
      <c r="G31" t="s">
        <v>101</v>
      </c>
      <c r="H31" t="s">
        <v>32</v>
      </c>
      <c r="I31" t="s">
        <v>66</v>
      </c>
      <c r="J31" t="s">
        <v>73</v>
      </c>
      <c r="K31">
        <v>3</v>
      </c>
      <c r="L31">
        <v>1418.4</v>
      </c>
      <c r="M31" s="3">
        <v>0.15</v>
      </c>
      <c r="N31" t="str">
        <f>VLOOKUP(Table1[[#This Row],[Country]],REF_Country!$A$1:$D$11,2,FALSE)</f>
        <v>Southeast Asia</v>
      </c>
      <c r="O31" t="str">
        <f>VLOOKUP(Table1[[#This Row],[Country]],REF_Country!$A$1:$D$11,3,FALSE)</f>
        <v>ID</v>
      </c>
      <c r="P31">
        <f>VLOOKUP(Table1[[#This Row],[Country]],REF_Country!$A$1:$D$11,4,FALSE)</f>
        <v>0.11</v>
      </c>
      <c r="Q31">
        <f>VLOOKUP(Table1[[#This Row],[Category]],REF_Target!$A$1:$E$6,2,FALSE)</f>
        <v>50000</v>
      </c>
      <c r="R31">
        <f>Table1[[#This Row],[Quantity]]*Table1[[#This Row],[Unit_Price]]</f>
        <v>4255.2000000000007</v>
      </c>
      <c r="S31">
        <f>Table1[[#This Row],[Gross_Sales]]*Table1[[#This Row],[Discount_Rate]]</f>
        <v>638.28000000000009</v>
      </c>
      <c r="T31">
        <f>Table1[[#This Row],[Gross_Sales]]-Table1[[#This Row],[Discount_Amount]]</f>
        <v>3616.9200000000005</v>
      </c>
      <c r="U31">
        <f>VLOOKUP(Table1[[#This Row],[Category]],REF_Cost!$A$1:$B$6,2,FALSE)*Table1[[#This Row],[Quantity]]</f>
        <v>1350</v>
      </c>
      <c r="V31">
        <f>Table1[[#This Row],[Net_Sales]]-Table1[[#This Row],[Total_Cost]]</f>
        <v>2266.9200000000005</v>
      </c>
      <c r="W31" t="str">
        <f>TEXT(Table1[[#This Row],[Order_Date]],"mmm")</f>
        <v>Dec</v>
      </c>
      <c r="X31">
        <f>ROUNDUP(MONTH(Table1[[#This Row],[Order_Date]])/3,0)</f>
        <v>4</v>
      </c>
      <c r="Y31">
        <f>YEAR(Table1[[#This Row],[Order_Date]])</f>
        <v>2024</v>
      </c>
    </row>
    <row r="32" spans="1:25" x14ac:dyDescent="0.25">
      <c r="A32" t="s">
        <v>186</v>
      </c>
      <c r="B32" t="s">
        <v>187</v>
      </c>
      <c r="C32" t="s">
        <v>188</v>
      </c>
      <c r="D32" t="s">
        <v>189</v>
      </c>
      <c r="E32" t="s">
        <v>71</v>
      </c>
      <c r="F32" t="s">
        <v>56</v>
      </c>
      <c r="G32" t="s">
        <v>190</v>
      </c>
      <c r="H32" t="s">
        <v>32</v>
      </c>
      <c r="I32" t="s">
        <v>66</v>
      </c>
      <c r="J32" t="s">
        <v>34</v>
      </c>
      <c r="K32">
        <v>4</v>
      </c>
      <c r="L32">
        <v>326.95999999999998</v>
      </c>
      <c r="M32" s="3">
        <v>0.2</v>
      </c>
      <c r="N32" t="str">
        <f>VLOOKUP(Table1[[#This Row],[Country]],REF_Country!$A$1:$D$11,2,FALSE)</f>
        <v>Southeast Asia</v>
      </c>
      <c r="O32" t="str">
        <f>VLOOKUP(Table1[[#This Row],[Country]],REF_Country!$A$1:$D$11,3,FALSE)</f>
        <v>PH</v>
      </c>
      <c r="P32">
        <f>VLOOKUP(Table1[[#This Row],[Country]],REF_Country!$A$1:$D$11,4,FALSE)</f>
        <v>0.12</v>
      </c>
      <c r="Q32">
        <f>VLOOKUP(Table1[[#This Row],[Category]],REF_Target!$A$1:$E$6,2,FALSE)</f>
        <v>50000</v>
      </c>
      <c r="R32">
        <f>Table1[[#This Row],[Quantity]]*Table1[[#This Row],[Unit_Price]]</f>
        <v>1307.8399999999999</v>
      </c>
      <c r="S32">
        <f>Table1[[#This Row],[Gross_Sales]]*Table1[[#This Row],[Discount_Rate]]</f>
        <v>261.56799999999998</v>
      </c>
      <c r="T32">
        <f>Table1[[#This Row],[Gross_Sales]]-Table1[[#This Row],[Discount_Amount]]</f>
        <v>1046.2719999999999</v>
      </c>
      <c r="U32">
        <f>VLOOKUP(Table1[[#This Row],[Category]],REF_Cost!$A$1:$B$6,2,FALSE)*Table1[[#This Row],[Quantity]]</f>
        <v>1800</v>
      </c>
      <c r="V32">
        <f>Table1[[#This Row],[Net_Sales]]-Table1[[#This Row],[Total_Cost]]</f>
        <v>-753.72800000000007</v>
      </c>
      <c r="W32" t="str">
        <f>TEXT(Table1[[#This Row],[Order_Date]],"mmm")</f>
        <v>Mar</v>
      </c>
      <c r="X32">
        <f>ROUNDUP(MONTH(Table1[[#This Row],[Order_Date]])/3,0)</f>
        <v>1</v>
      </c>
      <c r="Y32">
        <f>YEAR(Table1[[#This Row],[Order_Date]])</f>
        <v>2024</v>
      </c>
    </row>
    <row r="33" spans="1:25" x14ac:dyDescent="0.25">
      <c r="A33" t="s">
        <v>191</v>
      </c>
      <c r="B33" t="s">
        <v>192</v>
      </c>
      <c r="C33" t="s">
        <v>193</v>
      </c>
      <c r="D33" t="s">
        <v>194</v>
      </c>
      <c r="E33" t="s">
        <v>48</v>
      </c>
      <c r="F33" t="s">
        <v>30</v>
      </c>
      <c r="G33" t="s">
        <v>195</v>
      </c>
      <c r="H33" t="s">
        <v>72</v>
      </c>
      <c r="I33" t="s">
        <v>66</v>
      </c>
      <c r="J33" t="s">
        <v>73</v>
      </c>
      <c r="K33">
        <v>6</v>
      </c>
      <c r="L33">
        <v>51.81</v>
      </c>
      <c r="M33" s="3">
        <v>0.1</v>
      </c>
      <c r="N33" t="str">
        <f>VLOOKUP(Table1[[#This Row],[Country]],REF_Country!$A$1:$D$11,2,FALSE)</f>
        <v>Southeast Asia</v>
      </c>
      <c r="O33" t="str">
        <f>VLOOKUP(Table1[[#This Row],[Country]],REF_Country!$A$1:$D$11,3,FALSE)</f>
        <v>SG</v>
      </c>
      <c r="P33">
        <f>VLOOKUP(Table1[[#This Row],[Country]],REF_Country!$A$1:$D$11,4,FALSE)</f>
        <v>7.0000000000000007E-2</v>
      </c>
      <c r="Q33">
        <f>VLOOKUP(Table1[[#This Row],[Category]],REF_Target!$A$1:$E$6,2,FALSE)</f>
        <v>40000</v>
      </c>
      <c r="R33">
        <f>Table1[[#This Row],[Quantity]]*Table1[[#This Row],[Unit_Price]]</f>
        <v>310.86</v>
      </c>
      <c r="S33">
        <f>Table1[[#This Row],[Gross_Sales]]*Table1[[#This Row],[Discount_Rate]]</f>
        <v>31.086000000000002</v>
      </c>
      <c r="T33">
        <f>Table1[[#This Row],[Gross_Sales]]-Table1[[#This Row],[Discount_Amount]]</f>
        <v>279.774</v>
      </c>
      <c r="U33">
        <f>VLOOKUP(Table1[[#This Row],[Category]],REF_Cost!$A$1:$B$6,2,FALSE)*Table1[[#This Row],[Quantity]]</f>
        <v>720</v>
      </c>
      <c r="V33">
        <f>Table1[[#This Row],[Net_Sales]]-Table1[[#This Row],[Total_Cost]]</f>
        <v>-440.226</v>
      </c>
      <c r="W33" t="str">
        <f>TEXT(Table1[[#This Row],[Order_Date]],"mmm")</f>
        <v>Mar</v>
      </c>
      <c r="X33">
        <f>ROUNDUP(MONTH(Table1[[#This Row],[Order_Date]])/3,0)</f>
        <v>1</v>
      </c>
      <c r="Y33">
        <f>YEAR(Table1[[#This Row],[Order_Date]])</f>
        <v>2024</v>
      </c>
    </row>
    <row r="34" spans="1:25" x14ac:dyDescent="0.25">
      <c r="A34" t="s">
        <v>196</v>
      </c>
      <c r="B34" t="s">
        <v>197</v>
      </c>
      <c r="C34" t="s">
        <v>198</v>
      </c>
      <c r="D34" t="s">
        <v>199</v>
      </c>
      <c r="E34" t="s">
        <v>200</v>
      </c>
      <c r="F34" t="s">
        <v>30</v>
      </c>
      <c r="G34" t="s">
        <v>31</v>
      </c>
      <c r="H34" t="s">
        <v>58</v>
      </c>
      <c r="I34" t="s">
        <v>43</v>
      </c>
      <c r="J34" t="s">
        <v>73</v>
      </c>
      <c r="K34">
        <v>8</v>
      </c>
      <c r="L34">
        <v>1227.6300000000001</v>
      </c>
      <c r="M34" s="3">
        <v>0.05</v>
      </c>
      <c r="N34" t="str">
        <f>VLOOKUP(Table1[[#This Row],[Country]],REF_Country!$A$1:$D$11,2,FALSE)</f>
        <v>East Asia</v>
      </c>
      <c r="O34" t="str">
        <f>VLOOKUP(Table1[[#This Row],[Country]],REF_Country!$A$1:$D$11,3,FALSE)</f>
        <v>KR</v>
      </c>
      <c r="P34">
        <f>VLOOKUP(Table1[[#This Row],[Country]],REF_Country!$A$1:$D$11,4,FALSE)</f>
        <v>0.1</v>
      </c>
      <c r="Q34">
        <f>VLOOKUP(Table1[[#This Row],[Category]],REF_Target!$A$1:$E$6,2,FALSE)</f>
        <v>40000</v>
      </c>
      <c r="R34">
        <f>Table1[[#This Row],[Quantity]]*Table1[[#This Row],[Unit_Price]]</f>
        <v>9821.0400000000009</v>
      </c>
      <c r="S34">
        <f>Table1[[#This Row],[Gross_Sales]]*Table1[[#This Row],[Discount_Rate]]</f>
        <v>491.05200000000008</v>
      </c>
      <c r="T34">
        <f>Table1[[#This Row],[Gross_Sales]]-Table1[[#This Row],[Discount_Amount]]</f>
        <v>9329.9880000000012</v>
      </c>
      <c r="U34">
        <f>VLOOKUP(Table1[[#This Row],[Category]],REF_Cost!$A$1:$B$6,2,FALSE)*Table1[[#This Row],[Quantity]]</f>
        <v>960</v>
      </c>
      <c r="V34">
        <f>Table1[[#This Row],[Net_Sales]]-Table1[[#This Row],[Total_Cost]]</f>
        <v>8369.9880000000012</v>
      </c>
      <c r="W34" t="str">
        <f>TEXT(Table1[[#This Row],[Order_Date]],"mmm")</f>
        <v>Jul</v>
      </c>
      <c r="X34">
        <f>ROUNDUP(MONTH(Table1[[#This Row],[Order_Date]])/3,0)</f>
        <v>3</v>
      </c>
      <c r="Y34">
        <f>YEAR(Table1[[#This Row],[Order_Date]])</f>
        <v>2024</v>
      </c>
    </row>
    <row r="35" spans="1:25" x14ac:dyDescent="0.25">
      <c r="A35" t="s">
        <v>201</v>
      </c>
      <c r="B35" t="s">
        <v>202</v>
      </c>
      <c r="C35" t="s">
        <v>203</v>
      </c>
      <c r="D35" t="s">
        <v>204</v>
      </c>
      <c r="E35" t="s">
        <v>71</v>
      </c>
      <c r="F35" t="s">
        <v>84</v>
      </c>
      <c r="G35" t="s">
        <v>205</v>
      </c>
      <c r="H35" t="s">
        <v>42</v>
      </c>
      <c r="I35" t="s">
        <v>33</v>
      </c>
      <c r="J35" t="s">
        <v>59</v>
      </c>
      <c r="K35">
        <v>5</v>
      </c>
      <c r="L35">
        <v>1450.83</v>
      </c>
      <c r="M35" s="3">
        <v>0.05</v>
      </c>
      <c r="N35" t="str">
        <f>VLOOKUP(Table1[[#This Row],[Country]],REF_Country!$A$1:$D$11,2,FALSE)</f>
        <v>Southeast Asia</v>
      </c>
      <c r="O35" t="str">
        <f>VLOOKUP(Table1[[#This Row],[Country]],REF_Country!$A$1:$D$11,3,FALSE)</f>
        <v>PH</v>
      </c>
      <c r="P35">
        <f>VLOOKUP(Table1[[#This Row],[Country]],REF_Country!$A$1:$D$11,4,FALSE)</f>
        <v>0.12</v>
      </c>
      <c r="Q35">
        <f>VLOOKUP(Table1[[#This Row],[Category]],REF_Target!$A$1:$E$6,2,FALSE)</f>
        <v>30000</v>
      </c>
      <c r="R35">
        <f>Table1[[#This Row],[Quantity]]*Table1[[#This Row],[Unit_Price]]</f>
        <v>7254.15</v>
      </c>
      <c r="S35">
        <f>Table1[[#This Row],[Gross_Sales]]*Table1[[#This Row],[Discount_Rate]]</f>
        <v>362.70749999999998</v>
      </c>
      <c r="T35">
        <f>Table1[[#This Row],[Gross_Sales]]-Table1[[#This Row],[Discount_Amount]]</f>
        <v>6891.4424999999992</v>
      </c>
      <c r="U35">
        <f>VLOOKUP(Table1[[#This Row],[Category]],REF_Cost!$A$1:$B$6,2,FALSE)*Table1[[#This Row],[Quantity]]</f>
        <v>1000</v>
      </c>
      <c r="V35">
        <f>Table1[[#This Row],[Net_Sales]]-Table1[[#This Row],[Total_Cost]]</f>
        <v>5891.4424999999992</v>
      </c>
      <c r="W35" t="str">
        <f>TEXT(Table1[[#This Row],[Order_Date]],"mmm")</f>
        <v>Dec</v>
      </c>
      <c r="X35">
        <f>ROUNDUP(MONTH(Table1[[#This Row],[Order_Date]])/3,0)</f>
        <v>4</v>
      </c>
      <c r="Y35">
        <f>YEAR(Table1[[#This Row],[Order_Date]])</f>
        <v>2024</v>
      </c>
    </row>
    <row r="36" spans="1:25" x14ac:dyDescent="0.25">
      <c r="A36" t="s">
        <v>206</v>
      </c>
      <c r="B36" t="s">
        <v>207</v>
      </c>
      <c r="C36" t="s">
        <v>208</v>
      </c>
      <c r="D36" t="s">
        <v>209</v>
      </c>
      <c r="E36" t="s">
        <v>83</v>
      </c>
      <c r="F36" t="s">
        <v>84</v>
      </c>
      <c r="G36" t="s">
        <v>205</v>
      </c>
      <c r="H36" t="s">
        <v>58</v>
      </c>
      <c r="I36" t="s">
        <v>96</v>
      </c>
      <c r="J36" t="s">
        <v>126</v>
      </c>
      <c r="K36">
        <v>7</v>
      </c>
      <c r="L36">
        <v>175.98</v>
      </c>
      <c r="M36" s="3">
        <v>0.05</v>
      </c>
      <c r="N36" t="str">
        <f>VLOOKUP(Table1[[#This Row],[Country]],REF_Country!$A$1:$D$11,2,FALSE)</f>
        <v>South Asia</v>
      </c>
      <c r="O36" t="str">
        <f>VLOOKUP(Table1[[#This Row],[Country]],REF_Country!$A$1:$D$11,3,FALSE)</f>
        <v>IN</v>
      </c>
      <c r="P36">
        <f>VLOOKUP(Table1[[#This Row],[Country]],REF_Country!$A$1:$D$11,4,FALSE)</f>
        <v>0.18</v>
      </c>
      <c r="Q36">
        <f>VLOOKUP(Table1[[#This Row],[Category]],REF_Target!$A$1:$E$6,2,FALSE)</f>
        <v>30000</v>
      </c>
      <c r="R36">
        <f>Table1[[#This Row],[Quantity]]*Table1[[#This Row],[Unit_Price]]</f>
        <v>1231.8599999999999</v>
      </c>
      <c r="S36">
        <f>Table1[[#This Row],[Gross_Sales]]*Table1[[#This Row],[Discount_Rate]]</f>
        <v>61.592999999999996</v>
      </c>
      <c r="T36">
        <f>Table1[[#This Row],[Gross_Sales]]-Table1[[#This Row],[Discount_Amount]]</f>
        <v>1170.2669999999998</v>
      </c>
      <c r="U36">
        <f>VLOOKUP(Table1[[#This Row],[Category]],REF_Cost!$A$1:$B$6,2,FALSE)*Table1[[#This Row],[Quantity]]</f>
        <v>1400</v>
      </c>
      <c r="V36">
        <f>Table1[[#This Row],[Net_Sales]]-Table1[[#This Row],[Total_Cost]]</f>
        <v>-229.73300000000017</v>
      </c>
      <c r="W36" t="str">
        <f>TEXT(Table1[[#This Row],[Order_Date]],"mmm")</f>
        <v>Feb</v>
      </c>
      <c r="X36">
        <f>ROUNDUP(MONTH(Table1[[#This Row],[Order_Date]])/3,0)</f>
        <v>1</v>
      </c>
      <c r="Y36">
        <f>YEAR(Table1[[#This Row],[Order_Date]])</f>
        <v>2024</v>
      </c>
    </row>
    <row r="37" spans="1:25" x14ac:dyDescent="0.25">
      <c r="A37" t="s">
        <v>210</v>
      </c>
      <c r="B37" t="s">
        <v>211</v>
      </c>
      <c r="C37" t="s">
        <v>212</v>
      </c>
      <c r="D37" t="s">
        <v>213</v>
      </c>
      <c r="E37" t="s">
        <v>64</v>
      </c>
      <c r="F37" t="s">
        <v>49</v>
      </c>
      <c r="G37" t="s">
        <v>117</v>
      </c>
      <c r="H37" t="s">
        <v>72</v>
      </c>
      <c r="I37" t="s">
        <v>66</v>
      </c>
      <c r="J37" t="s">
        <v>34</v>
      </c>
      <c r="K37">
        <v>9</v>
      </c>
      <c r="L37">
        <v>787.08</v>
      </c>
      <c r="M37" s="3">
        <v>0.2</v>
      </c>
      <c r="N37" t="str">
        <f>VLOOKUP(Table1[[#This Row],[Country]],REF_Country!$A$1:$D$11,2,FALSE)</f>
        <v>Southeast Asia</v>
      </c>
      <c r="O37" t="str">
        <f>VLOOKUP(Table1[[#This Row],[Country]],REF_Country!$A$1:$D$11,3,FALSE)</f>
        <v>ID</v>
      </c>
      <c r="P37">
        <f>VLOOKUP(Table1[[#This Row],[Country]],REF_Country!$A$1:$D$11,4,FALSE)</f>
        <v>0.11</v>
      </c>
      <c r="Q37">
        <f>VLOOKUP(Table1[[#This Row],[Category]],REF_Target!$A$1:$E$6,2,FALSE)</f>
        <v>35000</v>
      </c>
      <c r="R37">
        <f>Table1[[#This Row],[Quantity]]*Table1[[#This Row],[Unit_Price]]</f>
        <v>7083.72</v>
      </c>
      <c r="S37">
        <f>Table1[[#This Row],[Gross_Sales]]*Table1[[#This Row],[Discount_Rate]]</f>
        <v>1416.7440000000001</v>
      </c>
      <c r="T37">
        <f>Table1[[#This Row],[Gross_Sales]]-Table1[[#This Row],[Discount_Amount]]</f>
        <v>5666.9760000000006</v>
      </c>
      <c r="U37">
        <f>VLOOKUP(Table1[[#This Row],[Category]],REF_Cost!$A$1:$B$6,2,FALSE)*Table1[[#This Row],[Quantity]]</f>
        <v>1350</v>
      </c>
      <c r="V37">
        <f>Table1[[#This Row],[Net_Sales]]-Table1[[#This Row],[Total_Cost]]</f>
        <v>4316.9760000000006</v>
      </c>
      <c r="W37" t="str">
        <f>TEXT(Table1[[#This Row],[Order_Date]],"mmm")</f>
        <v>Oct</v>
      </c>
      <c r="X37">
        <f>ROUNDUP(MONTH(Table1[[#This Row],[Order_Date]])/3,0)</f>
        <v>4</v>
      </c>
      <c r="Y37">
        <f>YEAR(Table1[[#This Row],[Order_Date]])</f>
        <v>2024</v>
      </c>
    </row>
    <row r="38" spans="1:25" x14ac:dyDescent="0.25">
      <c r="A38" t="s">
        <v>214</v>
      </c>
      <c r="B38" t="s">
        <v>215</v>
      </c>
      <c r="C38" t="s">
        <v>216</v>
      </c>
      <c r="D38" t="s">
        <v>217</v>
      </c>
      <c r="E38" t="s">
        <v>71</v>
      </c>
      <c r="F38" t="s">
        <v>56</v>
      </c>
      <c r="G38" t="s">
        <v>190</v>
      </c>
      <c r="H38" t="s">
        <v>42</v>
      </c>
      <c r="I38" t="s">
        <v>66</v>
      </c>
      <c r="J38" t="s">
        <v>73</v>
      </c>
      <c r="K38">
        <v>7</v>
      </c>
      <c r="L38">
        <v>768.08</v>
      </c>
      <c r="M38" s="3">
        <v>0.05</v>
      </c>
      <c r="N38" t="str">
        <f>VLOOKUP(Table1[[#This Row],[Country]],REF_Country!$A$1:$D$11,2,FALSE)</f>
        <v>Southeast Asia</v>
      </c>
      <c r="O38" t="str">
        <f>VLOOKUP(Table1[[#This Row],[Country]],REF_Country!$A$1:$D$11,3,FALSE)</f>
        <v>PH</v>
      </c>
      <c r="P38">
        <f>VLOOKUP(Table1[[#This Row],[Country]],REF_Country!$A$1:$D$11,4,FALSE)</f>
        <v>0.12</v>
      </c>
      <c r="Q38">
        <f>VLOOKUP(Table1[[#This Row],[Category]],REF_Target!$A$1:$E$6,2,FALSE)</f>
        <v>50000</v>
      </c>
      <c r="R38">
        <f>Table1[[#This Row],[Quantity]]*Table1[[#This Row],[Unit_Price]]</f>
        <v>5376.56</v>
      </c>
      <c r="S38">
        <f>Table1[[#This Row],[Gross_Sales]]*Table1[[#This Row],[Discount_Rate]]</f>
        <v>268.82800000000003</v>
      </c>
      <c r="T38">
        <f>Table1[[#This Row],[Gross_Sales]]-Table1[[#This Row],[Discount_Amount]]</f>
        <v>5107.732</v>
      </c>
      <c r="U38">
        <f>VLOOKUP(Table1[[#This Row],[Category]],REF_Cost!$A$1:$B$6,2,FALSE)*Table1[[#This Row],[Quantity]]</f>
        <v>3150</v>
      </c>
      <c r="V38">
        <f>Table1[[#This Row],[Net_Sales]]-Table1[[#This Row],[Total_Cost]]</f>
        <v>1957.732</v>
      </c>
      <c r="W38" t="str">
        <f>TEXT(Table1[[#This Row],[Order_Date]],"mmm")</f>
        <v>Dec</v>
      </c>
      <c r="X38">
        <f>ROUNDUP(MONTH(Table1[[#This Row],[Order_Date]])/3,0)</f>
        <v>4</v>
      </c>
      <c r="Y38">
        <f>YEAR(Table1[[#This Row],[Order_Date]])</f>
        <v>2024</v>
      </c>
    </row>
    <row r="39" spans="1:25" x14ac:dyDescent="0.25">
      <c r="A39" t="s">
        <v>218</v>
      </c>
      <c r="B39" t="s">
        <v>219</v>
      </c>
      <c r="C39" t="s">
        <v>220</v>
      </c>
      <c r="D39" t="s">
        <v>221</v>
      </c>
      <c r="E39" t="s">
        <v>48</v>
      </c>
      <c r="F39" t="s">
        <v>40</v>
      </c>
      <c r="G39" t="s">
        <v>41</v>
      </c>
      <c r="H39" t="s">
        <v>58</v>
      </c>
      <c r="I39" t="s">
        <v>66</v>
      </c>
      <c r="J39" t="s">
        <v>73</v>
      </c>
      <c r="K39">
        <v>9</v>
      </c>
      <c r="L39">
        <v>461.91</v>
      </c>
      <c r="M39" s="3">
        <v>0</v>
      </c>
      <c r="N39" t="str">
        <f>VLOOKUP(Table1[[#This Row],[Country]],REF_Country!$A$1:$D$11,2,FALSE)</f>
        <v>Southeast Asia</v>
      </c>
      <c r="O39" t="str">
        <f>VLOOKUP(Table1[[#This Row],[Country]],REF_Country!$A$1:$D$11,3,FALSE)</f>
        <v>SG</v>
      </c>
      <c r="P39">
        <f>VLOOKUP(Table1[[#This Row],[Country]],REF_Country!$A$1:$D$11,4,FALSE)</f>
        <v>7.0000000000000007E-2</v>
      </c>
      <c r="Q39">
        <f>VLOOKUP(Table1[[#This Row],[Category]],REF_Target!$A$1:$E$6,2,FALSE)</f>
        <v>45000</v>
      </c>
      <c r="R39">
        <f>Table1[[#This Row],[Quantity]]*Table1[[#This Row],[Unit_Price]]</f>
        <v>4157.1900000000005</v>
      </c>
      <c r="S39">
        <f>Table1[[#This Row],[Gross_Sales]]*Table1[[#This Row],[Discount_Rate]]</f>
        <v>0</v>
      </c>
      <c r="T39">
        <f>Table1[[#This Row],[Gross_Sales]]-Table1[[#This Row],[Discount_Amount]]</f>
        <v>4157.1900000000005</v>
      </c>
      <c r="U39">
        <f>VLOOKUP(Table1[[#This Row],[Category]],REF_Cost!$A$1:$B$6,2,FALSE)*Table1[[#This Row],[Quantity]]</f>
        <v>720</v>
      </c>
      <c r="V39">
        <f>Table1[[#This Row],[Net_Sales]]-Table1[[#This Row],[Total_Cost]]</f>
        <v>3437.1900000000005</v>
      </c>
      <c r="W39" t="str">
        <f>TEXT(Table1[[#This Row],[Order_Date]],"mmm")</f>
        <v>Aug</v>
      </c>
      <c r="X39">
        <f>ROUNDUP(MONTH(Table1[[#This Row],[Order_Date]])/3,0)</f>
        <v>3</v>
      </c>
      <c r="Y39">
        <f>YEAR(Table1[[#This Row],[Order_Date]])</f>
        <v>2024</v>
      </c>
    </row>
    <row r="40" spans="1:25" x14ac:dyDescent="0.25">
      <c r="A40" t="s">
        <v>222</v>
      </c>
      <c r="B40" t="s">
        <v>223</v>
      </c>
      <c r="C40" t="s">
        <v>224</v>
      </c>
      <c r="D40" t="s">
        <v>225</v>
      </c>
      <c r="E40" t="s">
        <v>71</v>
      </c>
      <c r="F40" t="s">
        <v>49</v>
      </c>
      <c r="G40" t="s">
        <v>226</v>
      </c>
      <c r="H40" t="s">
        <v>42</v>
      </c>
      <c r="I40" t="s">
        <v>43</v>
      </c>
      <c r="J40" t="s">
        <v>126</v>
      </c>
      <c r="K40">
        <v>4</v>
      </c>
      <c r="L40">
        <v>671.61</v>
      </c>
      <c r="M40" s="3">
        <v>0.15</v>
      </c>
      <c r="N40" t="str">
        <f>VLOOKUP(Table1[[#This Row],[Country]],REF_Country!$A$1:$D$11,2,FALSE)</f>
        <v>Southeast Asia</v>
      </c>
      <c r="O40" t="str">
        <f>VLOOKUP(Table1[[#This Row],[Country]],REF_Country!$A$1:$D$11,3,FALSE)</f>
        <v>PH</v>
      </c>
      <c r="P40">
        <f>VLOOKUP(Table1[[#This Row],[Country]],REF_Country!$A$1:$D$11,4,FALSE)</f>
        <v>0.12</v>
      </c>
      <c r="Q40">
        <f>VLOOKUP(Table1[[#This Row],[Category]],REF_Target!$A$1:$E$6,2,FALSE)</f>
        <v>35000</v>
      </c>
      <c r="R40">
        <f>Table1[[#This Row],[Quantity]]*Table1[[#This Row],[Unit_Price]]</f>
        <v>2686.44</v>
      </c>
      <c r="S40">
        <f>Table1[[#This Row],[Gross_Sales]]*Table1[[#This Row],[Discount_Rate]]</f>
        <v>402.96600000000001</v>
      </c>
      <c r="T40">
        <f>Table1[[#This Row],[Gross_Sales]]-Table1[[#This Row],[Discount_Amount]]</f>
        <v>2283.4740000000002</v>
      </c>
      <c r="U40">
        <f>VLOOKUP(Table1[[#This Row],[Category]],REF_Cost!$A$1:$B$6,2,FALSE)*Table1[[#This Row],[Quantity]]</f>
        <v>600</v>
      </c>
      <c r="V40">
        <f>Table1[[#This Row],[Net_Sales]]-Table1[[#This Row],[Total_Cost]]</f>
        <v>1683.4740000000002</v>
      </c>
      <c r="W40" t="str">
        <f>TEXT(Table1[[#This Row],[Order_Date]],"mmm")</f>
        <v>Oct</v>
      </c>
      <c r="X40">
        <f>ROUNDUP(MONTH(Table1[[#This Row],[Order_Date]])/3,0)</f>
        <v>4</v>
      </c>
      <c r="Y40">
        <f>YEAR(Table1[[#This Row],[Order_Date]])</f>
        <v>2024</v>
      </c>
    </row>
    <row r="41" spans="1:25" x14ac:dyDescent="0.25">
      <c r="A41" t="s">
        <v>227</v>
      </c>
      <c r="B41" t="s">
        <v>228</v>
      </c>
      <c r="C41" t="s">
        <v>229</v>
      </c>
      <c r="D41" t="s">
        <v>230</v>
      </c>
      <c r="E41" t="s">
        <v>83</v>
      </c>
      <c r="F41" t="s">
        <v>84</v>
      </c>
      <c r="G41" t="s">
        <v>205</v>
      </c>
      <c r="H41" t="s">
        <v>58</v>
      </c>
      <c r="I41" t="s">
        <v>43</v>
      </c>
      <c r="J41" t="s">
        <v>73</v>
      </c>
      <c r="K41">
        <v>4</v>
      </c>
      <c r="L41">
        <v>1230.3599999999999</v>
      </c>
      <c r="M41" s="3">
        <v>0.2</v>
      </c>
      <c r="N41" t="str">
        <f>VLOOKUP(Table1[[#This Row],[Country]],REF_Country!$A$1:$D$11,2,FALSE)</f>
        <v>South Asia</v>
      </c>
      <c r="O41" t="str">
        <f>VLOOKUP(Table1[[#This Row],[Country]],REF_Country!$A$1:$D$11,3,FALSE)</f>
        <v>IN</v>
      </c>
      <c r="P41">
        <f>VLOOKUP(Table1[[#This Row],[Country]],REF_Country!$A$1:$D$11,4,FALSE)</f>
        <v>0.18</v>
      </c>
      <c r="Q41">
        <f>VLOOKUP(Table1[[#This Row],[Category]],REF_Target!$A$1:$E$6,2,FALSE)</f>
        <v>30000</v>
      </c>
      <c r="R41">
        <f>Table1[[#This Row],[Quantity]]*Table1[[#This Row],[Unit_Price]]</f>
        <v>4921.4399999999996</v>
      </c>
      <c r="S41">
        <f>Table1[[#This Row],[Gross_Sales]]*Table1[[#This Row],[Discount_Rate]]</f>
        <v>984.28800000000001</v>
      </c>
      <c r="T41">
        <f>Table1[[#This Row],[Gross_Sales]]-Table1[[#This Row],[Discount_Amount]]</f>
        <v>3937.1519999999996</v>
      </c>
      <c r="U41">
        <f>VLOOKUP(Table1[[#This Row],[Category]],REF_Cost!$A$1:$B$6,2,FALSE)*Table1[[#This Row],[Quantity]]</f>
        <v>800</v>
      </c>
      <c r="V41">
        <f>Table1[[#This Row],[Net_Sales]]-Table1[[#This Row],[Total_Cost]]</f>
        <v>3137.1519999999996</v>
      </c>
      <c r="W41" t="str">
        <f>TEXT(Table1[[#This Row],[Order_Date]],"mmm")</f>
        <v>Sep</v>
      </c>
      <c r="X41">
        <f>ROUNDUP(MONTH(Table1[[#This Row],[Order_Date]])/3,0)</f>
        <v>3</v>
      </c>
      <c r="Y41">
        <f>YEAR(Table1[[#This Row],[Order_Date]])</f>
        <v>2024</v>
      </c>
    </row>
    <row r="42" spans="1:25" x14ac:dyDescent="0.25">
      <c r="A42" t="s">
        <v>231</v>
      </c>
      <c r="B42" t="s">
        <v>232</v>
      </c>
      <c r="C42" t="s">
        <v>233</v>
      </c>
      <c r="D42" t="s">
        <v>234</v>
      </c>
      <c r="E42" t="s">
        <v>200</v>
      </c>
      <c r="F42" t="s">
        <v>40</v>
      </c>
      <c r="G42" t="s">
        <v>144</v>
      </c>
      <c r="H42" t="s">
        <v>42</v>
      </c>
      <c r="I42" t="s">
        <v>96</v>
      </c>
      <c r="J42" t="s">
        <v>34</v>
      </c>
      <c r="K42">
        <v>10</v>
      </c>
      <c r="L42">
        <v>691.29</v>
      </c>
      <c r="M42" s="3">
        <v>0</v>
      </c>
      <c r="N42" t="str">
        <f>VLOOKUP(Table1[[#This Row],[Country]],REF_Country!$A$1:$D$11,2,FALSE)</f>
        <v>East Asia</v>
      </c>
      <c r="O42" t="str">
        <f>VLOOKUP(Table1[[#This Row],[Country]],REF_Country!$A$1:$D$11,3,FALSE)</f>
        <v>KR</v>
      </c>
      <c r="P42">
        <f>VLOOKUP(Table1[[#This Row],[Country]],REF_Country!$A$1:$D$11,4,FALSE)</f>
        <v>0.1</v>
      </c>
      <c r="Q42">
        <f>VLOOKUP(Table1[[#This Row],[Category]],REF_Target!$A$1:$E$6,2,FALSE)</f>
        <v>45000</v>
      </c>
      <c r="R42">
        <f>Table1[[#This Row],[Quantity]]*Table1[[#This Row],[Unit_Price]]</f>
        <v>6912.9</v>
      </c>
      <c r="S42">
        <f>Table1[[#This Row],[Gross_Sales]]*Table1[[#This Row],[Discount_Rate]]</f>
        <v>0</v>
      </c>
      <c r="T42">
        <f>Table1[[#This Row],[Gross_Sales]]-Table1[[#This Row],[Discount_Amount]]</f>
        <v>6912.9</v>
      </c>
      <c r="U42">
        <f>VLOOKUP(Table1[[#This Row],[Category]],REF_Cost!$A$1:$B$6,2,FALSE)*Table1[[#This Row],[Quantity]]</f>
        <v>800</v>
      </c>
      <c r="V42">
        <f>Table1[[#This Row],[Net_Sales]]-Table1[[#This Row],[Total_Cost]]</f>
        <v>6112.9</v>
      </c>
      <c r="W42" t="str">
        <f>TEXT(Table1[[#This Row],[Order_Date]],"mmm")</f>
        <v>Jan</v>
      </c>
      <c r="X42">
        <f>ROUNDUP(MONTH(Table1[[#This Row],[Order_Date]])/3,0)</f>
        <v>1</v>
      </c>
      <c r="Y42">
        <f>YEAR(Table1[[#This Row],[Order_Date]])</f>
        <v>2024</v>
      </c>
    </row>
    <row r="43" spans="1:25" x14ac:dyDescent="0.25">
      <c r="A43" t="s">
        <v>235</v>
      </c>
      <c r="B43" t="s">
        <v>236</v>
      </c>
      <c r="C43" t="s">
        <v>237</v>
      </c>
      <c r="D43" t="s">
        <v>238</v>
      </c>
      <c r="E43" t="s">
        <v>64</v>
      </c>
      <c r="F43" t="s">
        <v>56</v>
      </c>
      <c r="G43" t="s">
        <v>57</v>
      </c>
      <c r="H43" t="s">
        <v>32</v>
      </c>
      <c r="I43" t="s">
        <v>33</v>
      </c>
      <c r="J43" t="s">
        <v>73</v>
      </c>
      <c r="K43">
        <v>9</v>
      </c>
      <c r="L43">
        <v>339.98</v>
      </c>
      <c r="M43" s="3">
        <v>0.1</v>
      </c>
      <c r="N43" t="str">
        <f>VLOOKUP(Table1[[#This Row],[Country]],REF_Country!$A$1:$D$11,2,FALSE)</f>
        <v>Southeast Asia</v>
      </c>
      <c r="O43" t="str">
        <f>VLOOKUP(Table1[[#This Row],[Country]],REF_Country!$A$1:$D$11,3,FALSE)</f>
        <v>ID</v>
      </c>
      <c r="P43">
        <f>VLOOKUP(Table1[[#This Row],[Country]],REF_Country!$A$1:$D$11,4,FALSE)</f>
        <v>0.11</v>
      </c>
      <c r="Q43">
        <f>VLOOKUP(Table1[[#This Row],[Category]],REF_Target!$A$1:$E$6,2,FALSE)</f>
        <v>50000</v>
      </c>
      <c r="R43">
        <f>Table1[[#This Row],[Quantity]]*Table1[[#This Row],[Unit_Price]]</f>
        <v>3059.82</v>
      </c>
      <c r="S43">
        <f>Table1[[#This Row],[Gross_Sales]]*Table1[[#This Row],[Discount_Rate]]</f>
        <v>305.98200000000003</v>
      </c>
      <c r="T43">
        <f>Table1[[#This Row],[Gross_Sales]]-Table1[[#This Row],[Discount_Amount]]</f>
        <v>2753.8380000000002</v>
      </c>
      <c r="U43">
        <f>VLOOKUP(Table1[[#This Row],[Category]],REF_Cost!$A$1:$B$6,2,FALSE)*Table1[[#This Row],[Quantity]]</f>
        <v>4050</v>
      </c>
      <c r="V43">
        <f>Table1[[#This Row],[Net_Sales]]-Table1[[#This Row],[Total_Cost]]</f>
        <v>-1296.1619999999998</v>
      </c>
      <c r="W43" t="str">
        <f>TEXT(Table1[[#This Row],[Order_Date]],"mmm")</f>
        <v>Mar</v>
      </c>
      <c r="X43">
        <f>ROUNDUP(MONTH(Table1[[#This Row],[Order_Date]])/3,0)</f>
        <v>1</v>
      </c>
      <c r="Y43">
        <f>YEAR(Table1[[#This Row],[Order_Date]])</f>
        <v>2024</v>
      </c>
    </row>
    <row r="44" spans="1:25" x14ac:dyDescent="0.25">
      <c r="A44" t="s">
        <v>239</v>
      </c>
      <c r="B44" t="s">
        <v>240</v>
      </c>
      <c r="C44" t="s">
        <v>241</v>
      </c>
      <c r="D44" t="s">
        <v>242</v>
      </c>
      <c r="E44" t="s">
        <v>200</v>
      </c>
      <c r="F44" t="s">
        <v>40</v>
      </c>
      <c r="G44" t="s">
        <v>41</v>
      </c>
      <c r="H44" t="s">
        <v>42</v>
      </c>
      <c r="I44" t="s">
        <v>33</v>
      </c>
      <c r="J44" t="s">
        <v>34</v>
      </c>
      <c r="K44">
        <v>8</v>
      </c>
      <c r="L44">
        <v>899.25</v>
      </c>
      <c r="M44" s="3">
        <v>0.15</v>
      </c>
      <c r="N44" t="str">
        <f>VLOOKUP(Table1[[#This Row],[Country]],REF_Country!$A$1:$D$11,2,FALSE)</f>
        <v>East Asia</v>
      </c>
      <c r="O44" t="str">
        <f>VLOOKUP(Table1[[#This Row],[Country]],REF_Country!$A$1:$D$11,3,FALSE)</f>
        <v>KR</v>
      </c>
      <c r="P44">
        <f>VLOOKUP(Table1[[#This Row],[Country]],REF_Country!$A$1:$D$11,4,FALSE)</f>
        <v>0.1</v>
      </c>
      <c r="Q44">
        <f>VLOOKUP(Table1[[#This Row],[Category]],REF_Target!$A$1:$E$6,2,FALSE)</f>
        <v>45000</v>
      </c>
      <c r="R44">
        <f>Table1[[#This Row],[Quantity]]*Table1[[#This Row],[Unit_Price]]</f>
        <v>7194</v>
      </c>
      <c r="S44">
        <f>Table1[[#This Row],[Gross_Sales]]*Table1[[#This Row],[Discount_Rate]]</f>
        <v>1079.0999999999999</v>
      </c>
      <c r="T44">
        <f>Table1[[#This Row],[Gross_Sales]]-Table1[[#This Row],[Discount_Amount]]</f>
        <v>6114.9</v>
      </c>
      <c r="U44">
        <f>VLOOKUP(Table1[[#This Row],[Category]],REF_Cost!$A$1:$B$6,2,FALSE)*Table1[[#This Row],[Quantity]]</f>
        <v>640</v>
      </c>
      <c r="V44">
        <f>Table1[[#This Row],[Net_Sales]]-Table1[[#This Row],[Total_Cost]]</f>
        <v>5474.9</v>
      </c>
      <c r="W44" t="str">
        <f>TEXT(Table1[[#This Row],[Order_Date]],"mmm")</f>
        <v>Aug</v>
      </c>
      <c r="X44">
        <f>ROUNDUP(MONTH(Table1[[#This Row],[Order_Date]])/3,0)</f>
        <v>3</v>
      </c>
      <c r="Y44">
        <f>YEAR(Table1[[#This Row],[Order_Date]])</f>
        <v>2024</v>
      </c>
    </row>
    <row r="45" spans="1:25" x14ac:dyDescent="0.25">
      <c r="A45" t="s">
        <v>243</v>
      </c>
      <c r="B45" t="s">
        <v>244</v>
      </c>
      <c r="C45" t="s">
        <v>245</v>
      </c>
      <c r="D45" t="s">
        <v>246</v>
      </c>
      <c r="E45" t="s">
        <v>39</v>
      </c>
      <c r="F45" t="s">
        <v>84</v>
      </c>
      <c r="G45" t="s">
        <v>90</v>
      </c>
      <c r="H45" t="s">
        <v>42</v>
      </c>
      <c r="I45" t="s">
        <v>51</v>
      </c>
      <c r="J45" t="s">
        <v>59</v>
      </c>
      <c r="K45">
        <v>4</v>
      </c>
      <c r="L45">
        <v>734.63</v>
      </c>
      <c r="M45" s="3">
        <v>0.05</v>
      </c>
      <c r="N45" t="str">
        <f>VLOOKUP(Table1[[#This Row],[Country]],REF_Country!$A$1:$D$11,2,FALSE)</f>
        <v>Southeast Asia</v>
      </c>
      <c r="O45" t="str">
        <f>VLOOKUP(Table1[[#This Row],[Country]],REF_Country!$A$1:$D$11,3,FALSE)</f>
        <v>TH</v>
      </c>
      <c r="P45">
        <f>VLOOKUP(Table1[[#This Row],[Country]],REF_Country!$A$1:$D$11,4,FALSE)</f>
        <v>7.0000000000000007E-2</v>
      </c>
      <c r="Q45">
        <f>VLOOKUP(Table1[[#This Row],[Category]],REF_Target!$A$1:$E$6,2,FALSE)</f>
        <v>30000</v>
      </c>
      <c r="R45">
        <f>Table1[[#This Row],[Quantity]]*Table1[[#This Row],[Unit_Price]]</f>
        <v>2938.52</v>
      </c>
      <c r="S45">
        <f>Table1[[#This Row],[Gross_Sales]]*Table1[[#This Row],[Discount_Rate]]</f>
        <v>146.92600000000002</v>
      </c>
      <c r="T45">
        <f>Table1[[#This Row],[Gross_Sales]]-Table1[[#This Row],[Discount_Amount]]</f>
        <v>2791.5940000000001</v>
      </c>
      <c r="U45">
        <f>VLOOKUP(Table1[[#This Row],[Category]],REF_Cost!$A$1:$B$6,2,FALSE)*Table1[[#This Row],[Quantity]]</f>
        <v>800</v>
      </c>
      <c r="V45">
        <f>Table1[[#This Row],[Net_Sales]]-Table1[[#This Row],[Total_Cost]]</f>
        <v>1991.5940000000001</v>
      </c>
      <c r="W45" t="str">
        <f>TEXT(Table1[[#This Row],[Order_Date]],"mmm")</f>
        <v>Aug</v>
      </c>
      <c r="X45">
        <f>ROUNDUP(MONTH(Table1[[#This Row],[Order_Date]])/3,0)</f>
        <v>3</v>
      </c>
      <c r="Y45">
        <f>YEAR(Table1[[#This Row],[Order_Date]])</f>
        <v>2024</v>
      </c>
    </row>
    <row r="46" spans="1:25" x14ac:dyDescent="0.25">
      <c r="A46" t="s">
        <v>247</v>
      </c>
      <c r="B46" t="s">
        <v>248</v>
      </c>
      <c r="C46" t="s">
        <v>249</v>
      </c>
      <c r="D46" t="s">
        <v>250</v>
      </c>
      <c r="E46" t="s">
        <v>78</v>
      </c>
      <c r="F46" t="s">
        <v>56</v>
      </c>
      <c r="G46" t="s">
        <v>95</v>
      </c>
      <c r="H46" t="s">
        <v>72</v>
      </c>
      <c r="I46" t="s">
        <v>43</v>
      </c>
      <c r="J46" t="s">
        <v>126</v>
      </c>
      <c r="K46">
        <v>7</v>
      </c>
      <c r="L46">
        <v>238.98</v>
      </c>
      <c r="M46" s="3">
        <v>0.2</v>
      </c>
      <c r="N46" t="str">
        <f>VLOOKUP(Table1[[#This Row],[Country]],REF_Country!$A$1:$D$11,2,FALSE)</f>
        <v>Oceania</v>
      </c>
      <c r="O46" t="str">
        <f>VLOOKUP(Table1[[#This Row],[Country]],REF_Country!$A$1:$D$11,3,FALSE)</f>
        <v>AU</v>
      </c>
      <c r="P46">
        <f>VLOOKUP(Table1[[#This Row],[Country]],REF_Country!$A$1:$D$11,4,FALSE)</f>
        <v>0.1</v>
      </c>
      <c r="Q46">
        <f>VLOOKUP(Table1[[#This Row],[Category]],REF_Target!$A$1:$E$6,2,FALSE)</f>
        <v>50000</v>
      </c>
      <c r="R46">
        <f>Table1[[#This Row],[Quantity]]*Table1[[#This Row],[Unit_Price]]</f>
        <v>1672.86</v>
      </c>
      <c r="S46">
        <f>Table1[[#This Row],[Gross_Sales]]*Table1[[#This Row],[Discount_Rate]]</f>
        <v>334.572</v>
      </c>
      <c r="T46">
        <f>Table1[[#This Row],[Gross_Sales]]-Table1[[#This Row],[Discount_Amount]]</f>
        <v>1338.288</v>
      </c>
      <c r="U46">
        <f>VLOOKUP(Table1[[#This Row],[Category]],REF_Cost!$A$1:$B$6,2,FALSE)*Table1[[#This Row],[Quantity]]</f>
        <v>3150</v>
      </c>
      <c r="V46">
        <f>Table1[[#This Row],[Net_Sales]]-Table1[[#This Row],[Total_Cost]]</f>
        <v>-1811.712</v>
      </c>
      <c r="W46" t="str">
        <f>TEXT(Table1[[#This Row],[Order_Date]],"mmm")</f>
        <v>May</v>
      </c>
      <c r="X46">
        <f>ROUNDUP(MONTH(Table1[[#This Row],[Order_Date]])/3,0)</f>
        <v>2</v>
      </c>
      <c r="Y46">
        <f>YEAR(Table1[[#This Row],[Order_Date]])</f>
        <v>2024</v>
      </c>
    </row>
    <row r="47" spans="1:25" x14ac:dyDescent="0.25">
      <c r="A47" t="s">
        <v>251</v>
      </c>
      <c r="B47" t="s">
        <v>252</v>
      </c>
      <c r="C47" t="s">
        <v>253</v>
      </c>
      <c r="D47" t="s">
        <v>254</v>
      </c>
      <c r="E47" t="s">
        <v>200</v>
      </c>
      <c r="F47" t="s">
        <v>49</v>
      </c>
      <c r="G47" t="s">
        <v>117</v>
      </c>
      <c r="H47" t="s">
        <v>32</v>
      </c>
      <c r="I47" t="s">
        <v>33</v>
      </c>
      <c r="J47" t="s">
        <v>34</v>
      </c>
      <c r="K47">
        <v>7</v>
      </c>
      <c r="L47">
        <v>322.14999999999998</v>
      </c>
      <c r="M47" s="3">
        <v>0.1</v>
      </c>
      <c r="N47" t="str">
        <f>VLOOKUP(Table1[[#This Row],[Country]],REF_Country!$A$1:$D$11,2,FALSE)</f>
        <v>East Asia</v>
      </c>
      <c r="O47" t="str">
        <f>VLOOKUP(Table1[[#This Row],[Country]],REF_Country!$A$1:$D$11,3,FALSE)</f>
        <v>KR</v>
      </c>
      <c r="P47">
        <f>VLOOKUP(Table1[[#This Row],[Country]],REF_Country!$A$1:$D$11,4,FALSE)</f>
        <v>0.1</v>
      </c>
      <c r="Q47">
        <f>VLOOKUP(Table1[[#This Row],[Category]],REF_Target!$A$1:$E$6,2,FALSE)</f>
        <v>35000</v>
      </c>
      <c r="R47">
        <f>Table1[[#This Row],[Quantity]]*Table1[[#This Row],[Unit_Price]]</f>
        <v>2255.0499999999997</v>
      </c>
      <c r="S47">
        <f>Table1[[#This Row],[Gross_Sales]]*Table1[[#This Row],[Discount_Rate]]</f>
        <v>225.505</v>
      </c>
      <c r="T47">
        <f>Table1[[#This Row],[Gross_Sales]]-Table1[[#This Row],[Discount_Amount]]</f>
        <v>2029.5449999999996</v>
      </c>
      <c r="U47">
        <f>VLOOKUP(Table1[[#This Row],[Category]],REF_Cost!$A$1:$B$6,2,FALSE)*Table1[[#This Row],[Quantity]]</f>
        <v>1050</v>
      </c>
      <c r="V47">
        <f>Table1[[#This Row],[Net_Sales]]-Table1[[#This Row],[Total_Cost]]</f>
        <v>979.54499999999962</v>
      </c>
      <c r="W47" t="str">
        <f>TEXT(Table1[[#This Row],[Order_Date]],"mmm")</f>
        <v>Jul</v>
      </c>
      <c r="X47">
        <f>ROUNDUP(MONTH(Table1[[#This Row],[Order_Date]])/3,0)</f>
        <v>3</v>
      </c>
      <c r="Y47">
        <f>YEAR(Table1[[#This Row],[Order_Date]])</f>
        <v>2024</v>
      </c>
    </row>
    <row r="48" spans="1:25" x14ac:dyDescent="0.25">
      <c r="A48" t="s">
        <v>255</v>
      </c>
      <c r="B48" t="s">
        <v>256</v>
      </c>
      <c r="C48" t="s">
        <v>257</v>
      </c>
      <c r="D48" t="s">
        <v>258</v>
      </c>
      <c r="E48" t="s">
        <v>149</v>
      </c>
      <c r="F48" t="s">
        <v>49</v>
      </c>
      <c r="G48" t="s">
        <v>259</v>
      </c>
      <c r="H48" t="s">
        <v>72</v>
      </c>
      <c r="I48" t="s">
        <v>96</v>
      </c>
      <c r="J48" t="s">
        <v>73</v>
      </c>
      <c r="K48">
        <v>9</v>
      </c>
      <c r="L48">
        <v>1125.06</v>
      </c>
      <c r="M48" s="3">
        <v>0.15</v>
      </c>
      <c r="N48" t="str">
        <f>VLOOKUP(Table1[[#This Row],[Country]],REF_Country!$A$1:$D$11,2,FALSE)</f>
        <v>East Asia</v>
      </c>
      <c r="O48" t="str">
        <f>VLOOKUP(Table1[[#This Row],[Country]],REF_Country!$A$1:$D$11,3,FALSE)</f>
        <v>JP</v>
      </c>
      <c r="P48">
        <f>VLOOKUP(Table1[[#This Row],[Country]],REF_Country!$A$1:$D$11,4,FALSE)</f>
        <v>0.1</v>
      </c>
      <c r="Q48">
        <f>VLOOKUP(Table1[[#This Row],[Category]],REF_Target!$A$1:$E$6,2,FALSE)</f>
        <v>35000</v>
      </c>
      <c r="R48">
        <f>Table1[[#This Row],[Quantity]]*Table1[[#This Row],[Unit_Price]]</f>
        <v>10125.539999999999</v>
      </c>
      <c r="S48">
        <f>Table1[[#This Row],[Gross_Sales]]*Table1[[#This Row],[Discount_Rate]]</f>
        <v>1518.8309999999999</v>
      </c>
      <c r="T48">
        <f>Table1[[#This Row],[Gross_Sales]]-Table1[[#This Row],[Discount_Amount]]</f>
        <v>8606.7089999999989</v>
      </c>
      <c r="U48">
        <f>VLOOKUP(Table1[[#This Row],[Category]],REF_Cost!$A$1:$B$6,2,FALSE)*Table1[[#This Row],[Quantity]]</f>
        <v>1350</v>
      </c>
      <c r="V48">
        <f>Table1[[#This Row],[Net_Sales]]-Table1[[#This Row],[Total_Cost]]</f>
        <v>7256.7089999999989</v>
      </c>
      <c r="W48" t="str">
        <f>TEXT(Table1[[#This Row],[Order_Date]],"mmm")</f>
        <v>Jan</v>
      </c>
      <c r="X48">
        <f>ROUNDUP(MONTH(Table1[[#This Row],[Order_Date]])/3,0)</f>
        <v>1</v>
      </c>
      <c r="Y48">
        <f>YEAR(Table1[[#This Row],[Order_Date]])</f>
        <v>2024</v>
      </c>
    </row>
    <row r="49" spans="1:25" x14ac:dyDescent="0.25">
      <c r="A49" t="s">
        <v>260</v>
      </c>
      <c r="B49" t="s">
        <v>261</v>
      </c>
      <c r="C49" t="s">
        <v>262</v>
      </c>
      <c r="D49" t="s">
        <v>263</v>
      </c>
      <c r="E49" t="s">
        <v>149</v>
      </c>
      <c r="F49" t="s">
        <v>84</v>
      </c>
      <c r="G49" t="s">
        <v>264</v>
      </c>
      <c r="H49" t="s">
        <v>32</v>
      </c>
      <c r="I49" t="s">
        <v>96</v>
      </c>
      <c r="J49" t="s">
        <v>126</v>
      </c>
      <c r="K49">
        <v>8</v>
      </c>
      <c r="L49">
        <v>1090.4100000000001</v>
      </c>
      <c r="M49" s="3">
        <v>0</v>
      </c>
      <c r="N49" t="str">
        <f>VLOOKUP(Table1[[#This Row],[Country]],REF_Country!$A$1:$D$11,2,FALSE)</f>
        <v>East Asia</v>
      </c>
      <c r="O49" t="str">
        <f>VLOOKUP(Table1[[#This Row],[Country]],REF_Country!$A$1:$D$11,3,FALSE)</f>
        <v>JP</v>
      </c>
      <c r="P49">
        <f>VLOOKUP(Table1[[#This Row],[Country]],REF_Country!$A$1:$D$11,4,FALSE)</f>
        <v>0.1</v>
      </c>
      <c r="Q49">
        <f>VLOOKUP(Table1[[#This Row],[Category]],REF_Target!$A$1:$E$6,2,FALSE)</f>
        <v>30000</v>
      </c>
      <c r="R49">
        <f>Table1[[#This Row],[Quantity]]*Table1[[#This Row],[Unit_Price]]</f>
        <v>8723.2800000000007</v>
      </c>
      <c r="S49">
        <f>Table1[[#This Row],[Gross_Sales]]*Table1[[#This Row],[Discount_Rate]]</f>
        <v>0</v>
      </c>
      <c r="T49">
        <f>Table1[[#This Row],[Gross_Sales]]-Table1[[#This Row],[Discount_Amount]]</f>
        <v>8723.2800000000007</v>
      </c>
      <c r="U49">
        <f>VLOOKUP(Table1[[#This Row],[Category]],REF_Cost!$A$1:$B$6,2,FALSE)*Table1[[#This Row],[Quantity]]</f>
        <v>1600</v>
      </c>
      <c r="V49">
        <f>Table1[[#This Row],[Net_Sales]]-Table1[[#This Row],[Total_Cost]]</f>
        <v>7123.2800000000007</v>
      </c>
      <c r="W49" t="str">
        <f>TEXT(Table1[[#This Row],[Order_Date]],"mmm")</f>
        <v>Aug</v>
      </c>
      <c r="X49">
        <f>ROUNDUP(MONTH(Table1[[#This Row],[Order_Date]])/3,0)</f>
        <v>3</v>
      </c>
      <c r="Y49">
        <f>YEAR(Table1[[#This Row],[Order_Date]])</f>
        <v>2024</v>
      </c>
    </row>
    <row r="50" spans="1:25" x14ac:dyDescent="0.25">
      <c r="A50" t="s">
        <v>265</v>
      </c>
      <c r="B50" t="s">
        <v>266</v>
      </c>
      <c r="C50" t="s">
        <v>267</v>
      </c>
      <c r="D50" t="s">
        <v>268</v>
      </c>
      <c r="E50" t="s">
        <v>200</v>
      </c>
      <c r="F50" t="s">
        <v>30</v>
      </c>
      <c r="G50" t="s">
        <v>269</v>
      </c>
      <c r="H50" t="s">
        <v>42</v>
      </c>
      <c r="I50" t="s">
        <v>66</v>
      </c>
      <c r="J50" t="s">
        <v>59</v>
      </c>
      <c r="K50">
        <v>6</v>
      </c>
      <c r="L50">
        <v>401.33</v>
      </c>
      <c r="M50" s="3">
        <v>0</v>
      </c>
      <c r="N50" t="str">
        <f>VLOOKUP(Table1[[#This Row],[Country]],REF_Country!$A$1:$D$11,2,FALSE)</f>
        <v>East Asia</v>
      </c>
      <c r="O50" t="str">
        <f>VLOOKUP(Table1[[#This Row],[Country]],REF_Country!$A$1:$D$11,3,FALSE)</f>
        <v>KR</v>
      </c>
      <c r="P50">
        <f>VLOOKUP(Table1[[#This Row],[Country]],REF_Country!$A$1:$D$11,4,FALSE)</f>
        <v>0.1</v>
      </c>
      <c r="Q50">
        <f>VLOOKUP(Table1[[#This Row],[Category]],REF_Target!$A$1:$E$6,2,FALSE)</f>
        <v>40000</v>
      </c>
      <c r="R50">
        <f>Table1[[#This Row],[Quantity]]*Table1[[#This Row],[Unit_Price]]</f>
        <v>2407.98</v>
      </c>
      <c r="S50">
        <f>Table1[[#This Row],[Gross_Sales]]*Table1[[#This Row],[Discount_Rate]]</f>
        <v>0</v>
      </c>
      <c r="T50">
        <f>Table1[[#This Row],[Gross_Sales]]-Table1[[#This Row],[Discount_Amount]]</f>
        <v>2407.98</v>
      </c>
      <c r="U50">
        <f>VLOOKUP(Table1[[#This Row],[Category]],REF_Cost!$A$1:$B$6,2,FALSE)*Table1[[#This Row],[Quantity]]</f>
        <v>720</v>
      </c>
      <c r="V50">
        <f>Table1[[#This Row],[Net_Sales]]-Table1[[#This Row],[Total_Cost]]</f>
        <v>1687.98</v>
      </c>
      <c r="W50" t="str">
        <f>TEXT(Table1[[#This Row],[Order_Date]],"mmm")</f>
        <v>Nov</v>
      </c>
      <c r="X50">
        <f>ROUNDUP(MONTH(Table1[[#This Row],[Order_Date]])/3,0)</f>
        <v>4</v>
      </c>
      <c r="Y50">
        <f>YEAR(Table1[[#This Row],[Order_Date]])</f>
        <v>2024</v>
      </c>
    </row>
    <row r="51" spans="1:25" x14ac:dyDescent="0.25">
      <c r="A51" t="s">
        <v>270</v>
      </c>
      <c r="B51" t="s">
        <v>271</v>
      </c>
      <c r="C51" t="s">
        <v>272</v>
      </c>
      <c r="D51" t="s">
        <v>273</v>
      </c>
      <c r="E51" t="s">
        <v>116</v>
      </c>
      <c r="F51" t="s">
        <v>49</v>
      </c>
      <c r="G51" t="s">
        <v>117</v>
      </c>
      <c r="H51" t="s">
        <v>72</v>
      </c>
      <c r="I51" t="s">
        <v>51</v>
      </c>
      <c r="J51" t="s">
        <v>126</v>
      </c>
      <c r="K51">
        <v>1</v>
      </c>
      <c r="L51">
        <v>1127.3</v>
      </c>
      <c r="M51" s="3">
        <v>0.05</v>
      </c>
      <c r="N51" t="str">
        <f>VLOOKUP(Table1[[#This Row],[Country]],REF_Country!$A$1:$D$11,2,FALSE)</f>
        <v>Southeast Asia</v>
      </c>
      <c r="O51" t="str">
        <f>VLOOKUP(Table1[[#This Row],[Country]],REF_Country!$A$1:$D$11,3,FALSE)</f>
        <v>MY</v>
      </c>
      <c r="P51">
        <f>VLOOKUP(Table1[[#This Row],[Country]],REF_Country!$A$1:$D$11,4,FALSE)</f>
        <v>0.06</v>
      </c>
      <c r="Q51">
        <f>VLOOKUP(Table1[[#This Row],[Category]],REF_Target!$A$1:$E$6,2,FALSE)</f>
        <v>35000</v>
      </c>
      <c r="R51">
        <f>Table1[[#This Row],[Quantity]]*Table1[[#This Row],[Unit_Price]]</f>
        <v>1127.3</v>
      </c>
      <c r="S51">
        <f>Table1[[#This Row],[Gross_Sales]]*Table1[[#This Row],[Discount_Rate]]</f>
        <v>56.365000000000002</v>
      </c>
      <c r="T51">
        <f>Table1[[#This Row],[Gross_Sales]]-Table1[[#This Row],[Discount_Amount]]</f>
        <v>1070.9349999999999</v>
      </c>
      <c r="U51">
        <f>VLOOKUP(Table1[[#This Row],[Category]],REF_Cost!$A$1:$B$6,2,FALSE)*Table1[[#This Row],[Quantity]]</f>
        <v>150</v>
      </c>
      <c r="V51">
        <f>Table1[[#This Row],[Net_Sales]]-Table1[[#This Row],[Total_Cost]]</f>
        <v>920.93499999999995</v>
      </c>
      <c r="W51" t="str">
        <f>TEXT(Table1[[#This Row],[Order_Date]],"mmm")</f>
        <v>May</v>
      </c>
      <c r="X51">
        <f>ROUNDUP(MONTH(Table1[[#This Row],[Order_Date]])/3,0)</f>
        <v>2</v>
      </c>
      <c r="Y51">
        <f>YEAR(Table1[[#This Row],[Order_Date]])</f>
        <v>2024</v>
      </c>
    </row>
    <row r="52" spans="1:25" x14ac:dyDescent="0.25">
      <c r="A52" t="s">
        <v>274</v>
      </c>
      <c r="B52" t="s">
        <v>275</v>
      </c>
      <c r="C52" t="s">
        <v>276</v>
      </c>
      <c r="D52" t="s">
        <v>277</v>
      </c>
      <c r="E52" t="s">
        <v>64</v>
      </c>
      <c r="F52" t="s">
        <v>40</v>
      </c>
      <c r="G52" t="s">
        <v>106</v>
      </c>
      <c r="H52" t="s">
        <v>32</v>
      </c>
      <c r="I52" t="s">
        <v>33</v>
      </c>
      <c r="J52" t="s">
        <v>73</v>
      </c>
      <c r="K52">
        <v>8</v>
      </c>
      <c r="L52">
        <v>369.24</v>
      </c>
      <c r="M52" s="3">
        <v>0.2</v>
      </c>
      <c r="N52" t="str">
        <f>VLOOKUP(Table1[[#This Row],[Country]],REF_Country!$A$1:$D$11,2,FALSE)</f>
        <v>Southeast Asia</v>
      </c>
      <c r="O52" t="str">
        <f>VLOOKUP(Table1[[#This Row],[Country]],REF_Country!$A$1:$D$11,3,FALSE)</f>
        <v>ID</v>
      </c>
      <c r="P52">
        <f>VLOOKUP(Table1[[#This Row],[Country]],REF_Country!$A$1:$D$11,4,FALSE)</f>
        <v>0.11</v>
      </c>
      <c r="Q52">
        <f>VLOOKUP(Table1[[#This Row],[Category]],REF_Target!$A$1:$E$6,2,FALSE)</f>
        <v>45000</v>
      </c>
      <c r="R52">
        <f>Table1[[#This Row],[Quantity]]*Table1[[#This Row],[Unit_Price]]</f>
        <v>2953.92</v>
      </c>
      <c r="S52">
        <f>Table1[[#This Row],[Gross_Sales]]*Table1[[#This Row],[Discount_Rate]]</f>
        <v>590.78399999999999</v>
      </c>
      <c r="T52">
        <f>Table1[[#This Row],[Gross_Sales]]-Table1[[#This Row],[Discount_Amount]]</f>
        <v>2363.136</v>
      </c>
      <c r="U52">
        <f>VLOOKUP(Table1[[#This Row],[Category]],REF_Cost!$A$1:$B$6,2,FALSE)*Table1[[#This Row],[Quantity]]</f>
        <v>640</v>
      </c>
      <c r="V52">
        <f>Table1[[#This Row],[Net_Sales]]-Table1[[#This Row],[Total_Cost]]</f>
        <v>1723.136</v>
      </c>
      <c r="W52" t="str">
        <f>TEXT(Table1[[#This Row],[Order_Date]],"mmm")</f>
        <v>May</v>
      </c>
      <c r="X52">
        <f>ROUNDUP(MONTH(Table1[[#This Row],[Order_Date]])/3,0)</f>
        <v>2</v>
      </c>
      <c r="Y52">
        <f>YEAR(Table1[[#This Row],[Order_Date]])</f>
        <v>2024</v>
      </c>
    </row>
    <row r="53" spans="1:25" x14ac:dyDescent="0.25">
      <c r="A53" t="s">
        <v>278</v>
      </c>
      <c r="B53" t="s">
        <v>279</v>
      </c>
      <c r="C53" t="s">
        <v>280</v>
      </c>
      <c r="D53" t="s">
        <v>281</v>
      </c>
      <c r="E53" t="s">
        <v>71</v>
      </c>
      <c r="F53" t="s">
        <v>30</v>
      </c>
      <c r="G53" t="s">
        <v>139</v>
      </c>
      <c r="H53" t="s">
        <v>58</v>
      </c>
      <c r="I53" t="s">
        <v>51</v>
      </c>
      <c r="J53" t="s">
        <v>126</v>
      </c>
      <c r="K53">
        <v>2</v>
      </c>
      <c r="L53">
        <v>916.76</v>
      </c>
      <c r="M53" s="3">
        <v>0</v>
      </c>
      <c r="N53" t="str">
        <f>VLOOKUP(Table1[[#This Row],[Country]],REF_Country!$A$1:$D$11,2,FALSE)</f>
        <v>Southeast Asia</v>
      </c>
      <c r="O53" t="str">
        <f>VLOOKUP(Table1[[#This Row],[Country]],REF_Country!$A$1:$D$11,3,FALSE)</f>
        <v>PH</v>
      </c>
      <c r="P53">
        <f>VLOOKUP(Table1[[#This Row],[Country]],REF_Country!$A$1:$D$11,4,FALSE)</f>
        <v>0.12</v>
      </c>
      <c r="Q53">
        <f>VLOOKUP(Table1[[#This Row],[Category]],REF_Target!$A$1:$E$6,2,FALSE)</f>
        <v>40000</v>
      </c>
      <c r="R53">
        <f>Table1[[#This Row],[Quantity]]*Table1[[#This Row],[Unit_Price]]</f>
        <v>1833.52</v>
      </c>
      <c r="S53">
        <f>Table1[[#This Row],[Gross_Sales]]*Table1[[#This Row],[Discount_Rate]]</f>
        <v>0</v>
      </c>
      <c r="T53">
        <f>Table1[[#This Row],[Gross_Sales]]-Table1[[#This Row],[Discount_Amount]]</f>
        <v>1833.52</v>
      </c>
      <c r="U53">
        <f>VLOOKUP(Table1[[#This Row],[Category]],REF_Cost!$A$1:$B$6,2,FALSE)*Table1[[#This Row],[Quantity]]</f>
        <v>240</v>
      </c>
      <c r="V53">
        <f>Table1[[#This Row],[Net_Sales]]-Table1[[#This Row],[Total_Cost]]</f>
        <v>1593.52</v>
      </c>
      <c r="W53" t="str">
        <f>TEXT(Table1[[#This Row],[Order_Date]],"mmm")</f>
        <v>Dec</v>
      </c>
      <c r="X53">
        <f>ROUNDUP(MONTH(Table1[[#This Row],[Order_Date]])/3,0)</f>
        <v>4</v>
      </c>
      <c r="Y53">
        <f>YEAR(Table1[[#This Row],[Order_Date]])</f>
        <v>2024</v>
      </c>
    </row>
    <row r="54" spans="1:25" x14ac:dyDescent="0.25">
      <c r="A54" t="s">
        <v>282</v>
      </c>
      <c r="B54" t="s">
        <v>283</v>
      </c>
      <c r="C54" t="s">
        <v>284</v>
      </c>
      <c r="D54" t="s">
        <v>285</v>
      </c>
      <c r="E54" t="s">
        <v>149</v>
      </c>
      <c r="F54" t="s">
        <v>49</v>
      </c>
      <c r="G54" t="s">
        <v>286</v>
      </c>
      <c r="H54" t="s">
        <v>58</v>
      </c>
      <c r="I54" t="s">
        <v>33</v>
      </c>
      <c r="J54" t="s">
        <v>126</v>
      </c>
      <c r="K54">
        <v>4</v>
      </c>
      <c r="L54">
        <v>127.85</v>
      </c>
      <c r="M54" s="3">
        <v>0</v>
      </c>
      <c r="N54" t="str">
        <f>VLOOKUP(Table1[[#This Row],[Country]],REF_Country!$A$1:$D$11,2,FALSE)</f>
        <v>East Asia</v>
      </c>
      <c r="O54" t="str">
        <f>VLOOKUP(Table1[[#This Row],[Country]],REF_Country!$A$1:$D$11,3,FALSE)</f>
        <v>JP</v>
      </c>
      <c r="P54">
        <f>VLOOKUP(Table1[[#This Row],[Country]],REF_Country!$A$1:$D$11,4,FALSE)</f>
        <v>0.1</v>
      </c>
      <c r="Q54">
        <f>VLOOKUP(Table1[[#This Row],[Category]],REF_Target!$A$1:$E$6,2,FALSE)</f>
        <v>35000</v>
      </c>
      <c r="R54">
        <f>Table1[[#This Row],[Quantity]]*Table1[[#This Row],[Unit_Price]]</f>
        <v>511.4</v>
      </c>
      <c r="S54">
        <f>Table1[[#This Row],[Gross_Sales]]*Table1[[#This Row],[Discount_Rate]]</f>
        <v>0</v>
      </c>
      <c r="T54">
        <f>Table1[[#This Row],[Gross_Sales]]-Table1[[#This Row],[Discount_Amount]]</f>
        <v>511.4</v>
      </c>
      <c r="U54">
        <f>VLOOKUP(Table1[[#This Row],[Category]],REF_Cost!$A$1:$B$6,2,FALSE)*Table1[[#This Row],[Quantity]]</f>
        <v>600</v>
      </c>
      <c r="V54">
        <f>Table1[[#This Row],[Net_Sales]]-Table1[[#This Row],[Total_Cost]]</f>
        <v>-88.600000000000023</v>
      </c>
      <c r="W54" t="str">
        <f>TEXT(Table1[[#This Row],[Order_Date]],"mmm")</f>
        <v>Oct</v>
      </c>
      <c r="X54">
        <f>ROUNDUP(MONTH(Table1[[#This Row],[Order_Date]])/3,0)</f>
        <v>4</v>
      </c>
      <c r="Y54">
        <f>YEAR(Table1[[#This Row],[Order_Date]])</f>
        <v>2024</v>
      </c>
    </row>
    <row r="55" spans="1:25" x14ac:dyDescent="0.25">
      <c r="A55" t="s">
        <v>287</v>
      </c>
      <c r="B55" t="s">
        <v>288</v>
      </c>
      <c r="C55" t="s">
        <v>289</v>
      </c>
      <c r="D55" t="s">
        <v>290</v>
      </c>
      <c r="E55" t="s">
        <v>149</v>
      </c>
      <c r="F55" t="s">
        <v>84</v>
      </c>
      <c r="G55" t="s">
        <v>205</v>
      </c>
      <c r="H55" t="s">
        <v>42</v>
      </c>
      <c r="I55" t="s">
        <v>96</v>
      </c>
      <c r="J55" t="s">
        <v>126</v>
      </c>
      <c r="K55">
        <v>6</v>
      </c>
      <c r="L55">
        <v>766.35</v>
      </c>
      <c r="M55" s="3">
        <v>0</v>
      </c>
      <c r="N55" t="str">
        <f>VLOOKUP(Table1[[#This Row],[Country]],REF_Country!$A$1:$D$11,2,FALSE)</f>
        <v>East Asia</v>
      </c>
      <c r="O55" t="str">
        <f>VLOOKUP(Table1[[#This Row],[Country]],REF_Country!$A$1:$D$11,3,FALSE)</f>
        <v>JP</v>
      </c>
      <c r="P55">
        <f>VLOOKUP(Table1[[#This Row],[Country]],REF_Country!$A$1:$D$11,4,FALSE)</f>
        <v>0.1</v>
      </c>
      <c r="Q55">
        <f>VLOOKUP(Table1[[#This Row],[Category]],REF_Target!$A$1:$E$6,2,FALSE)</f>
        <v>30000</v>
      </c>
      <c r="R55">
        <f>Table1[[#This Row],[Quantity]]*Table1[[#This Row],[Unit_Price]]</f>
        <v>4598.1000000000004</v>
      </c>
      <c r="S55">
        <f>Table1[[#This Row],[Gross_Sales]]*Table1[[#This Row],[Discount_Rate]]</f>
        <v>0</v>
      </c>
      <c r="T55">
        <f>Table1[[#This Row],[Gross_Sales]]-Table1[[#This Row],[Discount_Amount]]</f>
        <v>4598.1000000000004</v>
      </c>
      <c r="U55">
        <f>VLOOKUP(Table1[[#This Row],[Category]],REF_Cost!$A$1:$B$6,2,FALSE)*Table1[[#This Row],[Quantity]]</f>
        <v>1200</v>
      </c>
      <c r="V55">
        <f>Table1[[#This Row],[Net_Sales]]-Table1[[#This Row],[Total_Cost]]</f>
        <v>3398.1000000000004</v>
      </c>
      <c r="W55" t="str">
        <f>TEXT(Table1[[#This Row],[Order_Date]],"mmm")</f>
        <v>Jan</v>
      </c>
      <c r="X55">
        <f>ROUNDUP(MONTH(Table1[[#This Row],[Order_Date]])/3,0)</f>
        <v>1</v>
      </c>
      <c r="Y55">
        <f>YEAR(Table1[[#This Row],[Order_Date]])</f>
        <v>2024</v>
      </c>
    </row>
    <row r="56" spans="1:25" x14ac:dyDescent="0.25">
      <c r="A56" t="s">
        <v>291</v>
      </c>
      <c r="B56" t="s">
        <v>292</v>
      </c>
      <c r="C56" t="s">
        <v>293</v>
      </c>
      <c r="D56" t="s">
        <v>294</v>
      </c>
      <c r="E56" t="s">
        <v>200</v>
      </c>
      <c r="F56" t="s">
        <v>30</v>
      </c>
      <c r="G56" t="s">
        <v>195</v>
      </c>
      <c r="H56" t="s">
        <v>58</v>
      </c>
      <c r="I56" t="s">
        <v>33</v>
      </c>
      <c r="J56" t="s">
        <v>34</v>
      </c>
      <c r="K56">
        <v>9</v>
      </c>
      <c r="L56">
        <v>276.56</v>
      </c>
      <c r="M56" s="3">
        <v>0.2</v>
      </c>
      <c r="N56" t="str">
        <f>VLOOKUP(Table1[[#This Row],[Country]],REF_Country!$A$1:$D$11,2,FALSE)</f>
        <v>East Asia</v>
      </c>
      <c r="O56" t="str">
        <f>VLOOKUP(Table1[[#This Row],[Country]],REF_Country!$A$1:$D$11,3,FALSE)</f>
        <v>KR</v>
      </c>
      <c r="P56">
        <f>VLOOKUP(Table1[[#This Row],[Country]],REF_Country!$A$1:$D$11,4,FALSE)</f>
        <v>0.1</v>
      </c>
      <c r="Q56">
        <f>VLOOKUP(Table1[[#This Row],[Category]],REF_Target!$A$1:$E$6,2,FALSE)</f>
        <v>40000</v>
      </c>
      <c r="R56">
        <f>Table1[[#This Row],[Quantity]]*Table1[[#This Row],[Unit_Price]]</f>
        <v>2489.04</v>
      </c>
      <c r="S56">
        <f>Table1[[#This Row],[Gross_Sales]]*Table1[[#This Row],[Discount_Rate]]</f>
        <v>497.80799999999999</v>
      </c>
      <c r="T56">
        <f>Table1[[#This Row],[Gross_Sales]]-Table1[[#This Row],[Discount_Amount]]</f>
        <v>1991.232</v>
      </c>
      <c r="U56">
        <f>VLOOKUP(Table1[[#This Row],[Category]],REF_Cost!$A$1:$B$6,2,FALSE)*Table1[[#This Row],[Quantity]]</f>
        <v>1080</v>
      </c>
      <c r="V56">
        <f>Table1[[#This Row],[Net_Sales]]-Table1[[#This Row],[Total_Cost]]</f>
        <v>911.23199999999997</v>
      </c>
      <c r="W56" t="str">
        <f>TEXT(Table1[[#This Row],[Order_Date]],"mmm")</f>
        <v>Jul</v>
      </c>
      <c r="X56">
        <f>ROUNDUP(MONTH(Table1[[#This Row],[Order_Date]])/3,0)</f>
        <v>3</v>
      </c>
      <c r="Y56">
        <f>YEAR(Table1[[#This Row],[Order_Date]])</f>
        <v>2024</v>
      </c>
    </row>
    <row r="57" spans="1:25" x14ac:dyDescent="0.25">
      <c r="A57" t="s">
        <v>295</v>
      </c>
      <c r="B57" t="s">
        <v>296</v>
      </c>
      <c r="C57" t="s">
        <v>297</v>
      </c>
      <c r="D57" t="s">
        <v>298</v>
      </c>
      <c r="E57" t="s">
        <v>29</v>
      </c>
      <c r="F57" t="s">
        <v>84</v>
      </c>
      <c r="G57" t="s">
        <v>85</v>
      </c>
      <c r="H57" t="s">
        <v>42</v>
      </c>
      <c r="I57" t="s">
        <v>43</v>
      </c>
      <c r="J57" t="s">
        <v>34</v>
      </c>
      <c r="K57">
        <v>2</v>
      </c>
      <c r="L57">
        <v>1248.6400000000001</v>
      </c>
      <c r="M57" s="3">
        <v>0.05</v>
      </c>
      <c r="N57" t="str">
        <f>VLOOKUP(Table1[[#This Row],[Country]],REF_Country!$A$1:$D$11,2,FALSE)</f>
        <v>Southeast Asia</v>
      </c>
      <c r="O57" t="str">
        <f>VLOOKUP(Table1[[#This Row],[Country]],REF_Country!$A$1:$D$11,3,FALSE)</f>
        <v>VN</v>
      </c>
      <c r="P57">
        <f>VLOOKUP(Table1[[#This Row],[Country]],REF_Country!$A$1:$D$11,4,FALSE)</f>
        <v>0.1</v>
      </c>
      <c r="Q57">
        <f>VLOOKUP(Table1[[#This Row],[Category]],REF_Target!$A$1:$E$6,2,FALSE)</f>
        <v>30000</v>
      </c>
      <c r="R57">
        <f>Table1[[#This Row],[Quantity]]*Table1[[#This Row],[Unit_Price]]</f>
        <v>2497.2800000000002</v>
      </c>
      <c r="S57">
        <f>Table1[[#This Row],[Gross_Sales]]*Table1[[#This Row],[Discount_Rate]]</f>
        <v>124.86400000000002</v>
      </c>
      <c r="T57">
        <f>Table1[[#This Row],[Gross_Sales]]-Table1[[#This Row],[Discount_Amount]]</f>
        <v>2372.4160000000002</v>
      </c>
      <c r="U57">
        <f>VLOOKUP(Table1[[#This Row],[Category]],REF_Cost!$A$1:$B$6,2,FALSE)*Table1[[#This Row],[Quantity]]</f>
        <v>400</v>
      </c>
      <c r="V57">
        <f>Table1[[#This Row],[Net_Sales]]-Table1[[#This Row],[Total_Cost]]</f>
        <v>1972.4160000000002</v>
      </c>
      <c r="W57" t="str">
        <f>TEXT(Table1[[#This Row],[Order_Date]],"mmm")</f>
        <v>Aug</v>
      </c>
      <c r="X57">
        <f>ROUNDUP(MONTH(Table1[[#This Row],[Order_Date]])/3,0)</f>
        <v>3</v>
      </c>
      <c r="Y57">
        <f>YEAR(Table1[[#This Row],[Order_Date]])</f>
        <v>2024</v>
      </c>
    </row>
    <row r="58" spans="1:25" x14ac:dyDescent="0.25">
      <c r="A58" t="s">
        <v>299</v>
      </c>
      <c r="B58" t="s">
        <v>300</v>
      </c>
      <c r="C58" t="s">
        <v>301</v>
      </c>
      <c r="D58" t="s">
        <v>302</v>
      </c>
      <c r="E58" t="s">
        <v>71</v>
      </c>
      <c r="F58" t="s">
        <v>56</v>
      </c>
      <c r="G58" t="s">
        <v>57</v>
      </c>
      <c r="H58" t="s">
        <v>72</v>
      </c>
      <c r="I58" t="s">
        <v>66</v>
      </c>
      <c r="J58" t="s">
        <v>59</v>
      </c>
      <c r="K58">
        <v>3</v>
      </c>
      <c r="L58">
        <v>1278.6600000000001</v>
      </c>
      <c r="M58" s="3">
        <v>0.1</v>
      </c>
      <c r="N58" t="str">
        <f>VLOOKUP(Table1[[#This Row],[Country]],REF_Country!$A$1:$D$11,2,FALSE)</f>
        <v>Southeast Asia</v>
      </c>
      <c r="O58" t="str">
        <f>VLOOKUP(Table1[[#This Row],[Country]],REF_Country!$A$1:$D$11,3,FALSE)</f>
        <v>PH</v>
      </c>
      <c r="P58">
        <f>VLOOKUP(Table1[[#This Row],[Country]],REF_Country!$A$1:$D$11,4,FALSE)</f>
        <v>0.12</v>
      </c>
      <c r="Q58">
        <f>VLOOKUP(Table1[[#This Row],[Category]],REF_Target!$A$1:$E$6,2,FALSE)</f>
        <v>50000</v>
      </c>
      <c r="R58">
        <f>Table1[[#This Row],[Quantity]]*Table1[[#This Row],[Unit_Price]]</f>
        <v>3835.9800000000005</v>
      </c>
      <c r="S58">
        <f>Table1[[#This Row],[Gross_Sales]]*Table1[[#This Row],[Discount_Rate]]</f>
        <v>383.59800000000007</v>
      </c>
      <c r="T58">
        <f>Table1[[#This Row],[Gross_Sales]]-Table1[[#This Row],[Discount_Amount]]</f>
        <v>3452.3820000000005</v>
      </c>
      <c r="U58">
        <f>VLOOKUP(Table1[[#This Row],[Category]],REF_Cost!$A$1:$B$6,2,FALSE)*Table1[[#This Row],[Quantity]]</f>
        <v>1350</v>
      </c>
      <c r="V58">
        <f>Table1[[#This Row],[Net_Sales]]-Table1[[#This Row],[Total_Cost]]</f>
        <v>2102.3820000000005</v>
      </c>
      <c r="W58" t="str">
        <f>TEXT(Table1[[#This Row],[Order_Date]],"mmm")</f>
        <v>Nov</v>
      </c>
      <c r="X58">
        <f>ROUNDUP(MONTH(Table1[[#This Row],[Order_Date]])/3,0)</f>
        <v>4</v>
      </c>
      <c r="Y58">
        <f>YEAR(Table1[[#This Row],[Order_Date]])</f>
        <v>2024</v>
      </c>
    </row>
    <row r="59" spans="1:25" x14ac:dyDescent="0.25">
      <c r="A59" t="s">
        <v>303</v>
      </c>
      <c r="B59" t="s">
        <v>304</v>
      </c>
      <c r="C59" t="s">
        <v>305</v>
      </c>
      <c r="D59" t="s">
        <v>306</v>
      </c>
      <c r="E59" t="s">
        <v>29</v>
      </c>
      <c r="F59" t="s">
        <v>40</v>
      </c>
      <c r="G59" t="s">
        <v>144</v>
      </c>
      <c r="H59" t="s">
        <v>72</v>
      </c>
      <c r="I59" t="s">
        <v>96</v>
      </c>
      <c r="J59" t="s">
        <v>34</v>
      </c>
      <c r="K59">
        <v>4</v>
      </c>
      <c r="L59">
        <v>782.19</v>
      </c>
      <c r="M59" s="3">
        <v>0</v>
      </c>
      <c r="N59" t="str">
        <f>VLOOKUP(Table1[[#This Row],[Country]],REF_Country!$A$1:$D$11,2,FALSE)</f>
        <v>Southeast Asia</v>
      </c>
      <c r="O59" t="str">
        <f>VLOOKUP(Table1[[#This Row],[Country]],REF_Country!$A$1:$D$11,3,FALSE)</f>
        <v>VN</v>
      </c>
      <c r="P59">
        <f>VLOOKUP(Table1[[#This Row],[Country]],REF_Country!$A$1:$D$11,4,FALSE)</f>
        <v>0.1</v>
      </c>
      <c r="Q59">
        <f>VLOOKUP(Table1[[#This Row],[Category]],REF_Target!$A$1:$E$6,2,FALSE)</f>
        <v>45000</v>
      </c>
      <c r="R59">
        <f>Table1[[#This Row],[Quantity]]*Table1[[#This Row],[Unit_Price]]</f>
        <v>3128.76</v>
      </c>
      <c r="S59">
        <f>Table1[[#This Row],[Gross_Sales]]*Table1[[#This Row],[Discount_Rate]]</f>
        <v>0</v>
      </c>
      <c r="T59">
        <f>Table1[[#This Row],[Gross_Sales]]-Table1[[#This Row],[Discount_Amount]]</f>
        <v>3128.76</v>
      </c>
      <c r="U59">
        <f>VLOOKUP(Table1[[#This Row],[Category]],REF_Cost!$A$1:$B$6,2,FALSE)*Table1[[#This Row],[Quantity]]</f>
        <v>320</v>
      </c>
      <c r="V59">
        <f>Table1[[#This Row],[Net_Sales]]-Table1[[#This Row],[Total_Cost]]</f>
        <v>2808.76</v>
      </c>
      <c r="W59" t="str">
        <f>TEXT(Table1[[#This Row],[Order_Date]],"mmm")</f>
        <v>May</v>
      </c>
      <c r="X59">
        <f>ROUNDUP(MONTH(Table1[[#This Row],[Order_Date]])/3,0)</f>
        <v>2</v>
      </c>
      <c r="Y59">
        <f>YEAR(Table1[[#This Row],[Order_Date]])</f>
        <v>2024</v>
      </c>
    </row>
    <row r="60" spans="1:25" x14ac:dyDescent="0.25">
      <c r="A60" t="s">
        <v>307</v>
      </c>
      <c r="B60" t="s">
        <v>308</v>
      </c>
      <c r="C60" t="s">
        <v>309</v>
      </c>
      <c r="D60" t="s">
        <v>310</v>
      </c>
      <c r="E60" t="s">
        <v>200</v>
      </c>
      <c r="F60" t="s">
        <v>49</v>
      </c>
      <c r="G60" t="s">
        <v>117</v>
      </c>
      <c r="H60" t="s">
        <v>72</v>
      </c>
      <c r="I60" t="s">
        <v>66</v>
      </c>
      <c r="J60" t="s">
        <v>59</v>
      </c>
      <c r="K60">
        <v>4</v>
      </c>
      <c r="L60">
        <v>153.18</v>
      </c>
      <c r="M60" s="3">
        <v>0.1</v>
      </c>
      <c r="N60" t="str">
        <f>VLOOKUP(Table1[[#This Row],[Country]],REF_Country!$A$1:$D$11,2,FALSE)</f>
        <v>East Asia</v>
      </c>
      <c r="O60" t="str">
        <f>VLOOKUP(Table1[[#This Row],[Country]],REF_Country!$A$1:$D$11,3,FALSE)</f>
        <v>KR</v>
      </c>
      <c r="P60">
        <f>VLOOKUP(Table1[[#This Row],[Country]],REF_Country!$A$1:$D$11,4,FALSE)</f>
        <v>0.1</v>
      </c>
      <c r="Q60">
        <f>VLOOKUP(Table1[[#This Row],[Category]],REF_Target!$A$1:$E$6,2,FALSE)</f>
        <v>35000</v>
      </c>
      <c r="R60">
        <f>Table1[[#This Row],[Quantity]]*Table1[[#This Row],[Unit_Price]]</f>
        <v>612.72</v>
      </c>
      <c r="S60">
        <f>Table1[[#This Row],[Gross_Sales]]*Table1[[#This Row],[Discount_Rate]]</f>
        <v>61.272000000000006</v>
      </c>
      <c r="T60">
        <f>Table1[[#This Row],[Gross_Sales]]-Table1[[#This Row],[Discount_Amount]]</f>
        <v>551.44799999999998</v>
      </c>
      <c r="U60">
        <f>VLOOKUP(Table1[[#This Row],[Category]],REF_Cost!$A$1:$B$6,2,FALSE)*Table1[[#This Row],[Quantity]]</f>
        <v>600</v>
      </c>
      <c r="V60">
        <f>Table1[[#This Row],[Net_Sales]]-Table1[[#This Row],[Total_Cost]]</f>
        <v>-48.552000000000021</v>
      </c>
      <c r="W60" t="str">
        <f>TEXT(Table1[[#This Row],[Order_Date]],"mmm")</f>
        <v>May</v>
      </c>
      <c r="X60">
        <f>ROUNDUP(MONTH(Table1[[#This Row],[Order_Date]])/3,0)</f>
        <v>2</v>
      </c>
      <c r="Y60">
        <f>YEAR(Table1[[#This Row],[Order_Date]])</f>
        <v>2024</v>
      </c>
    </row>
    <row r="61" spans="1:25" x14ac:dyDescent="0.25">
      <c r="A61" t="s">
        <v>311</v>
      </c>
      <c r="B61" t="s">
        <v>312</v>
      </c>
      <c r="C61" t="s">
        <v>313</v>
      </c>
      <c r="D61" t="s">
        <v>314</v>
      </c>
      <c r="E61" t="s">
        <v>149</v>
      </c>
      <c r="F61" t="s">
        <v>40</v>
      </c>
      <c r="G61" t="s">
        <v>315</v>
      </c>
      <c r="H61" t="s">
        <v>58</v>
      </c>
      <c r="I61" t="s">
        <v>66</v>
      </c>
      <c r="J61" t="s">
        <v>73</v>
      </c>
      <c r="K61">
        <v>8</v>
      </c>
      <c r="L61">
        <v>537.44000000000005</v>
      </c>
      <c r="M61" s="3">
        <v>0.05</v>
      </c>
      <c r="N61" t="str">
        <f>VLOOKUP(Table1[[#This Row],[Country]],REF_Country!$A$1:$D$11,2,FALSE)</f>
        <v>East Asia</v>
      </c>
      <c r="O61" t="str">
        <f>VLOOKUP(Table1[[#This Row],[Country]],REF_Country!$A$1:$D$11,3,FALSE)</f>
        <v>JP</v>
      </c>
      <c r="P61">
        <f>VLOOKUP(Table1[[#This Row],[Country]],REF_Country!$A$1:$D$11,4,FALSE)</f>
        <v>0.1</v>
      </c>
      <c r="Q61">
        <f>VLOOKUP(Table1[[#This Row],[Category]],REF_Target!$A$1:$E$6,2,FALSE)</f>
        <v>45000</v>
      </c>
      <c r="R61">
        <f>Table1[[#This Row],[Quantity]]*Table1[[#This Row],[Unit_Price]]</f>
        <v>4299.5200000000004</v>
      </c>
      <c r="S61">
        <f>Table1[[#This Row],[Gross_Sales]]*Table1[[#This Row],[Discount_Rate]]</f>
        <v>214.97600000000003</v>
      </c>
      <c r="T61">
        <f>Table1[[#This Row],[Gross_Sales]]-Table1[[#This Row],[Discount_Amount]]</f>
        <v>4084.5440000000003</v>
      </c>
      <c r="U61">
        <f>VLOOKUP(Table1[[#This Row],[Category]],REF_Cost!$A$1:$B$6,2,FALSE)*Table1[[#This Row],[Quantity]]</f>
        <v>640</v>
      </c>
      <c r="V61">
        <f>Table1[[#This Row],[Net_Sales]]-Table1[[#This Row],[Total_Cost]]</f>
        <v>3444.5440000000003</v>
      </c>
      <c r="W61" t="str">
        <f>TEXT(Table1[[#This Row],[Order_Date]],"mmm")</f>
        <v>Oct</v>
      </c>
      <c r="X61">
        <f>ROUNDUP(MONTH(Table1[[#This Row],[Order_Date]])/3,0)</f>
        <v>4</v>
      </c>
      <c r="Y61">
        <f>YEAR(Table1[[#This Row],[Order_Date]])</f>
        <v>2024</v>
      </c>
    </row>
    <row r="62" spans="1:25" x14ac:dyDescent="0.25">
      <c r="A62" t="s">
        <v>316</v>
      </c>
      <c r="B62" t="s">
        <v>317</v>
      </c>
      <c r="C62" t="s">
        <v>318</v>
      </c>
      <c r="D62" t="s">
        <v>319</v>
      </c>
      <c r="E62" t="s">
        <v>78</v>
      </c>
      <c r="F62" t="s">
        <v>30</v>
      </c>
      <c r="G62" t="s">
        <v>31</v>
      </c>
      <c r="H62" t="s">
        <v>58</v>
      </c>
      <c r="I62" t="s">
        <v>51</v>
      </c>
      <c r="J62" t="s">
        <v>73</v>
      </c>
      <c r="K62">
        <v>8</v>
      </c>
      <c r="L62">
        <v>336.33</v>
      </c>
      <c r="M62" s="3">
        <v>0.05</v>
      </c>
      <c r="N62" t="str">
        <f>VLOOKUP(Table1[[#This Row],[Country]],REF_Country!$A$1:$D$11,2,FALSE)</f>
        <v>Oceania</v>
      </c>
      <c r="O62" t="str">
        <f>VLOOKUP(Table1[[#This Row],[Country]],REF_Country!$A$1:$D$11,3,FALSE)</f>
        <v>AU</v>
      </c>
      <c r="P62">
        <f>VLOOKUP(Table1[[#This Row],[Country]],REF_Country!$A$1:$D$11,4,FALSE)</f>
        <v>0.1</v>
      </c>
      <c r="Q62">
        <f>VLOOKUP(Table1[[#This Row],[Category]],REF_Target!$A$1:$E$6,2,FALSE)</f>
        <v>40000</v>
      </c>
      <c r="R62">
        <f>Table1[[#This Row],[Quantity]]*Table1[[#This Row],[Unit_Price]]</f>
        <v>2690.64</v>
      </c>
      <c r="S62">
        <f>Table1[[#This Row],[Gross_Sales]]*Table1[[#This Row],[Discount_Rate]]</f>
        <v>134.53200000000001</v>
      </c>
      <c r="T62">
        <f>Table1[[#This Row],[Gross_Sales]]-Table1[[#This Row],[Discount_Amount]]</f>
        <v>2556.1079999999997</v>
      </c>
      <c r="U62">
        <f>VLOOKUP(Table1[[#This Row],[Category]],REF_Cost!$A$1:$B$6,2,FALSE)*Table1[[#This Row],[Quantity]]</f>
        <v>960</v>
      </c>
      <c r="V62">
        <f>Table1[[#This Row],[Net_Sales]]-Table1[[#This Row],[Total_Cost]]</f>
        <v>1596.1079999999997</v>
      </c>
      <c r="W62" t="str">
        <f>TEXT(Table1[[#This Row],[Order_Date]],"mmm")</f>
        <v>Apr</v>
      </c>
      <c r="X62">
        <f>ROUNDUP(MONTH(Table1[[#This Row],[Order_Date]])/3,0)</f>
        <v>2</v>
      </c>
      <c r="Y62">
        <f>YEAR(Table1[[#This Row],[Order_Date]])</f>
        <v>2024</v>
      </c>
    </row>
    <row r="63" spans="1:25" x14ac:dyDescent="0.25">
      <c r="A63" t="s">
        <v>320</v>
      </c>
      <c r="B63" t="s">
        <v>321</v>
      </c>
      <c r="C63" t="s">
        <v>322</v>
      </c>
      <c r="D63" t="s">
        <v>323</v>
      </c>
      <c r="E63" t="s">
        <v>29</v>
      </c>
      <c r="F63" t="s">
        <v>56</v>
      </c>
      <c r="G63" t="s">
        <v>111</v>
      </c>
      <c r="H63" t="s">
        <v>58</v>
      </c>
      <c r="I63" t="s">
        <v>43</v>
      </c>
      <c r="J63" t="s">
        <v>34</v>
      </c>
      <c r="K63">
        <v>1</v>
      </c>
      <c r="L63">
        <v>202.98</v>
      </c>
      <c r="M63" s="3">
        <v>0</v>
      </c>
      <c r="N63" t="str">
        <f>VLOOKUP(Table1[[#This Row],[Country]],REF_Country!$A$1:$D$11,2,FALSE)</f>
        <v>Southeast Asia</v>
      </c>
      <c r="O63" t="str">
        <f>VLOOKUP(Table1[[#This Row],[Country]],REF_Country!$A$1:$D$11,3,FALSE)</f>
        <v>VN</v>
      </c>
      <c r="P63">
        <f>VLOOKUP(Table1[[#This Row],[Country]],REF_Country!$A$1:$D$11,4,FALSE)</f>
        <v>0.1</v>
      </c>
      <c r="Q63">
        <f>VLOOKUP(Table1[[#This Row],[Category]],REF_Target!$A$1:$E$6,2,FALSE)</f>
        <v>50000</v>
      </c>
      <c r="R63">
        <f>Table1[[#This Row],[Quantity]]*Table1[[#This Row],[Unit_Price]]</f>
        <v>202.98</v>
      </c>
      <c r="S63">
        <f>Table1[[#This Row],[Gross_Sales]]*Table1[[#This Row],[Discount_Rate]]</f>
        <v>0</v>
      </c>
      <c r="T63">
        <f>Table1[[#This Row],[Gross_Sales]]-Table1[[#This Row],[Discount_Amount]]</f>
        <v>202.98</v>
      </c>
      <c r="U63">
        <f>VLOOKUP(Table1[[#This Row],[Category]],REF_Cost!$A$1:$B$6,2,FALSE)*Table1[[#This Row],[Quantity]]</f>
        <v>450</v>
      </c>
      <c r="V63">
        <f>Table1[[#This Row],[Net_Sales]]-Table1[[#This Row],[Total_Cost]]</f>
        <v>-247.02</v>
      </c>
      <c r="W63" t="str">
        <f>TEXT(Table1[[#This Row],[Order_Date]],"mmm")</f>
        <v>Apr</v>
      </c>
      <c r="X63">
        <f>ROUNDUP(MONTH(Table1[[#This Row],[Order_Date]])/3,0)</f>
        <v>2</v>
      </c>
      <c r="Y63">
        <f>YEAR(Table1[[#This Row],[Order_Date]])</f>
        <v>2024</v>
      </c>
    </row>
    <row r="64" spans="1:25" x14ac:dyDescent="0.25">
      <c r="A64" t="s">
        <v>324</v>
      </c>
      <c r="B64" t="s">
        <v>325</v>
      </c>
      <c r="C64" t="s">
        <v>326</v>
      </c>
      <c r="D64" t="s">
        <v>327</v>
      </c>
      <c r="E64" t="s">
        <v>200</v>
      </c>
      <c r="F64" t="s">
        <v>49</v>
      </c>
      <c r="G64" t="s">
        <v>226</v>
      </c>
      <c r="H64" t="s">
        <v>42</v>
      </c>
      <c r="I64" t="s">
        <v>51</v>
      </c>
      <c r="J64" t="s">
        <v>126</v>
      </c>
      <c r="K64">
        <v>1</v>
      </c>
      <c r="L64">
        <v>520.95000000000005</v>
      </c>
      <c r="M64" s="3">
        <v>0.05</v>
      </c>
      <c r="N64" t="str">
        <f>VLOOKUP(Table1[[#This Row],[Country]],REF_Country!$A$1:$D$11,2,FALSE)</f>
        <v>East Asia</v>
      </c>
      <c r="O64" t="str">
        <f>VLOOKUP(Table1[[#This Row],[Country]],REF_Country!$A$1:$D$11,3,FALSE)</f>
        <v>KR</v>
      </c>
      <c r="P64">
        <f>VLOOKUP(Table1[[#This Row],[Country]],REF_Country!$A$1:$D$11,4,FALSE)</f>
        <v>0.1</v>
      </c>
      <c r="Q64">
        <f>VLOOKUP(Table1[[#This Row],[Category]],REF_Target!$A$1:$E$6,2,FALSE)</f>
        <v>35000</v>
      </c>
      <c r="R64">
        <f>Table1[[#This Row],[Quantity]]*Table1[[#This Row],[Unit_Price]]</f>
        <v>520.95000000000005</v>
      </c>
      <c r="S64">
        <f>Table1[[#This Row],[Gross_Sales]]*Table1[[#This Row],[Discount_Rate]]</f>
        <v>26.047500000000003</v>
      </c>
      <c r="T64">
        <f>Table1[[#This Row],[Gross_Sales]]-Table1[[#This Row],[Discount_Amount]]</f>
        <v>494.90250000000003</v>
      </c>
      <c r="U64">
        <f>VLOOKUP(Table1[[#This Row],[Category]],REF_Cost!$A$1:$B$6,2,FALSE)*Table1[[#This Row],[Quantity]]</f>
        <v>150</v>
      </c>
      <c r="V64">
        <f>Table1[[#This Row],[Net_Sales]]-Table1[[#This Row],[Total_Cost]]</f>
        <v>344.90250000000003</v>
      </c>
      <c r="W64" t="str">
        <f>TEXT(Table1[[#This Row],[Order_Date]],"mmm")</f>
        <v>Jan</v>
      </c>
      <c r="X64">
        <f>ROUNDUP(MONTH(Table1[[#This Row],[Order_Date]])/3,0)</f>
        <v>1</v>
      </c>
      <c r="Y64">
        <f>YEAR(Table1[[#This Row],[Order_Date]])</f>
        <v>2024</v>
      </c>
    </row>
    <row r="65" spans="1:25" x14ac:dyDescent="0.25">
      <c r="A65" t="s">
        <v>328</v>
      </c>
      <c r="B65" t="s">
        <v>329</v>
      </c>
      <c r="C65" t="s">
        <v>330</v>
      </c>
      <c r="D65" t="s">
        <v>331</v>
      </c>
      <c r="E65" t="s">
        <v>64</v>
      </c>
      <c r="F65" t="s">
        <v>30</v>
      </c>
      <c r="G65" t="s">
        <v>31</v>
      </c>
      <c r="H65" t="s">
        <v>72</v>
      </c>
      <c r="I65" t="s">
        <v>51</v>
      </c>
      <c r="J65" t="s">
        <v>34</v>
      </c>
      <c r="K65">
        <v>5</v>
      </c>
      <c r="L65">
        <v>1219.55</v>
      </c>
      <c r="M65" s="3">
        <v>0</v>
      </c>
      <c r="N65" t="str">
        <f>VLOOKUP(Table1[[#This Row],[Country]],REF_Country!$A$1:$D$11,2,FALSE)</f>
        <v>Southeast Asia</v>
      </c>
      <c r="O65" t="str">
        <f>VLOOKUP(Table1[[#This Row],[Country]],REF_Country!$A$1:$D$11,3,FALSE)</f>
        <v>ID</v>
      </c>
      <c r="P65">
        <f>VLOOKUP(Table1[[#This Row],[Country]],REF_Country!$A$1:$D$11,4,FALSE)</f>
        <v>0.11</v>
      </c>
      <c r="Q65">
        <f>VLOOKUP(Table1[[#This Row],[Category]],REF_Target!$A$1:$E$6,2,FALSE)</f>
        <v>40000</v>
      </c>
      <c r="R65">
        <f>Table1[[#This Row],[Quantity]]*Table1[[#This Row],[Unit_Price]]</f>
        <v>6097.75</v>
      </c>
      <c r="S65">
        <f>Table1[[#This Row],[Gross_Sales]]*Table1[[#This Row],[Discount_Rate]]</f>
        <v>0</v>
      </c>
      <c r="T65">
        <f>Table1[[#This Row],[Gross_Sales]]-Table1[[#This Row],[Discount_Amount]]</f>
        <v>6097.75</v>
      </c>
      <c r="U65">
        <f>VLOOKUP(Table1[[#This Row],[Category]],REF_Cost!$A$1:$B$6,2,FALSE)*Table1[[#This Row],[Quantity]]</f>
        <v>600</v>
      </c>
      <c r="V65">
        <f>Table1[[#This Row],[Net_Sales]]-Table1[[#This Row],[Total_Cost]]</f>
        <v>5497.75</v>
      </c>
      <c r="W65" t="str">
        <f>TEXT(Table1[[#This Row],[Order_Date]],"mmm")</f>
        <v>Sep</v>
      </c>
      <c r="X65">
        <f>ROUNDUP(MONTH(Table1[[#This Row],[Order_Date]])/3,0)</f>
        <v>3</v>
      </c>
      <c r="Y65">
        <f>YEAR(Table1[[#This Row],[Order_Date]])</f>
        <v>2024</v>
      </c>
    </row>
    <row r="66" spans="1:25" x14ac:dyDescent="0.25">
      <c r="A66" t="s">
        <v>332</v>
      </c>
      <c r="B66" t="s">
        <v>333</v>
      </c>
      <c r="C66" t="s">
        <v>334</v>
      </c>
      <c r="D66" t="s">
        <v>335</v>
      </c>
      <c r="E66" t="s">
        <v>78</v>
      </c>
      <c r="F66" t="s">
        <v>49</v>
      </c>
      <c r="G66" t="s">
        <v>226</v>
      </c>
      <c r="H66" t="s">
        <v>42</v>
      </c>
      <c r="I66" t="s">
        <v>66</v>
      </c>
      <c r="J66" t="s">
        <v>126</v>
      </c>
      <c r="K66">
        <v>5</v>
      </c>
      <c r="L66">
        <v>1364.13</v>
      </c>
      <c r="M66" s="3">
        <v>0.15</v>
      </c>
      <c r="N66" t="str">
        <f>VLOOKUP(Table1[[#This Row],[Country]],REF_Country!$A$1:$D$11,2,FALSE)</f>
        <v>Oceania</v>
      </c>
      <c r="O66" t="str">
        <f>VLOOKUP(Table1[[#This Row],[Country]],REF_Country!$A$1:$D$11,3,FALSE)</f>
        <v>AU</v>
      </c>
      <c r="P66">
        <f>VLOOKUP(Table1[[#This Row],[Country]],REF_Country!$A$1:$D$11,4,FALSE)</f>
        <v>0.1</v>
      </c>
      <c r="Q66">
        <f>VLOOKUP(Table1[[#This Row],[Category]],REF_Target!$A$1:$E$6,2,FALSE)</f>
        <v>35000</v>
      </c>
      <c r="R66">
        <f>Table1[[#This Row],[Quantity]]*Table1[[#This Row],[Unit_Price]]</f>
        <v>6820.6500000000005</v>
      </c>
      <c r="S66">
        <f>Table1[[#This Row],[Gross_Sales]]*Table1[[#This Row],[Discount_Rate]]</f>
        <v>1023.0975000000001</v>
      </c>
      <c r="T66">
        <f>Table1[[#This Row],[Gross_Sales]]-Table1[[#This Row],[Discount_Amount]]</f>
        <v>5797.5525000000007</v>
      </c>
      <c r="U66">
        <f>VLOOKUP(Table1[[#This Row],[Category]],REF_Cost!$A$1:$B$6,2,FALSE)*Table1[[#This Row],[Quantity]]</f>
        <v>750</v>
      </c>
      <c r="V66">
        <f>Table1[[#This Row],[Net_Sales]]-Table1[[#This Row],[Total_Cost]]</f>
        <v>5047.5525000000007</v>
      </c>
      <c r="W66" t="str">
        <f>TEXT(Table1[[#This Row],[Order_Date]],"mmm")</f>
        <v>Nov</v>
      </c>
      <c r="X66">
        <f>ROUNDUP(MONTH(Table1[[#This Row],[Order_Date]])/3,0)</f>
        <v>4</v>
      </c>
      <c r="Y66">
        <f>YEAR(Table1[[#This Row],[Order_Date]])</f>
        <v>2024</v>
      </c>
    </row>
    <row r="67" spans="1:25" x14ac:dyDescent="0.25">
      <c r="A67" t="s">
        <v>336</v>
      </c>
      <c r="B67" t="s">
        <v>337</v>
      </c>
      <c r="C67" t="s">
        <v>338</v>
      </c>
      <c r="D67" t="s">
        <v>339</v>
      </c>
      <c r="E67" t="s">
        <v>39</v>
      </c>
      <c r="F67" t="s">
        <v>84</v>
      </c>
      <c r="G67" t="s">
        <v>205</v>
      </c>
      <c r="H67" t="s">
        <v>32</v>
      </c>
      <c r="I67" t="s">
        <v>43</v>
      </c>
      <c r="J67" t="s">
        <v>126</v>
      </c>
      <c r="K67">
        <v>3</v>
      </c>
      <c r="L67">
        <v>248.23</v>
      </c>
      <c r="M67" s="3">
        <v>0.15</v>
      </c>
      <c r="N67" t="str">
        <f>VLOOKUP(Table1[[#This Row],[Country]],REF_Country!$A$1:$D$11,2,FALSE)</f>
        <v>Southeast Asia</v>
      </c>
      <c r="O67" t="str">
        <f>VLOOKUP(Table1[[#This Row],[Country]],REF_Country!$A$1:$D$11,3,FALSE)</f>
        <v>TH</v>
      </c>
      <c r="P67">
        <f>VLOOKUP(Table1[[#This Row],[Country]],REF_Country!$A$1:$D$11,4,FALSE)</f>
        <v>7.0000000000000007E-2</v>
      </c>
      <c r="Q67">
        <f>VLOOKUP(Table1[[#This Row],[Category]],REF_Target!$A$1:$E$6,2,FALSE)</f>
        <v>30000</v>
      </c>
      <c r="R67">
        <f>Table1[[#This Row],[Quantity]]*Table1[[#This Row],[Unit_Price]]</f>
        <v>744.68999999999994</v>
      </c>
      <c r="S67">
        <f>Table1[[#This Row],[Gross_Sales]]*Table1[[#This Row],[Discount_Rate]]</f>
        <v>111.70349999999999</v>
      </c>
      <c r="T67">
        <f>Table1[[#This Row],[Gross_Sales]]-Table1[[#This Row],[Discount_Amount]]</f>
        <v>632.98649999999998</v>
      </c>
      <c r="U67">
        <f>VLOOKUP(Table1[[#This Row],[Category]],REF_Cost!$A$1:$B$6,2,FALSE)*Table1[[#This Row],[Quantity]]</f>
        <v>600</v>
      </c>
      <c r="V67">
        <f>Table1[[#This Row],[Net_Sales]]-Table1[[#This Row],[Total_Cost]]</f>
        <v>32.986499999999978</v>
      </c>
      <c r="W67" t="str">
        <f>TEXT(Table1[[#This Row],[Order_Date]],"mmm")</f>
        <v>Feb</v>
      </c>
      <c r="X67">
        <f>ROUNDUP(MONTH(Table1[[#This Row],[Order_Date]])/3,0)</f>
        <v>1</v>
      </c>
      <c r="Y67">
        <f>YEAR(Table1[[#This Row],[Order_Date]])</f>
        <v>2024</v>
      </c>
    </row>
    <row r="68" spans="1:25" x14ac:dyDescent="0.25">
      <c r="A68" t="s">
        <v>340</v>
      </c>
      <c r="B68" t="s">
        <v>341</v>
      </c>
      <c r="C68" t="s">
        <v>342</v>
      </c>
      <c r="D68" t="s">
        <v>343</v>
      </c>
      <c r="E68" t="s">
        <v>200</v>
      </c>
      <c r="F68" t="s">
        <v>84</v>
      </c>
      <c r="G68" t="s">
        <v>205</v>
      </c>
      <c r="H68" t="s">
        <v>42</v>
      </c>
      <c r="I68" t="s">
        <v>51</v>
      </c>
      <c r="J68" t="s">
        <v>73</v>
      </c>
      <c r="K68">
        <v>5</v>
      </c>
      <c r="L68">
        <v>358.74</v>
      </c>
      <c r="M68" s="3">
        <v>0.2</v>
      </c>
      <c r="N68" t="str">
        <f>VLOOKUP(Table1[[#This Row],[Country]],REF_Country!$A$1:$D$11,2,FALSE)</f>
        <v>East Asia</v>
      </c>
      <c r="O68" t="str">
        <f>VLOOKUP(Table1[[#This Row],[Country]],REF_Country!$A$1:$D$11,3,FALSE)</f>
        <v>KR</v>
      </c>
      <c r="P68">
        <f>VLOOKUP(Table1[[#This Row],[Country]],REF_Country!$A$1:$D$11,4,FALSE)</f>
        <v>0.1</v>
      </c>
      <c r="Q68">
        <f>VLOOKUP(Table1[[#This Row],[Category]],REF_Target!$A$1:$E$6,2,FALSE)</f>
        <v>30000</v>
      </c>
      <c r="R68">
        <f>Table1[[#This Row],[Quantity]]*Table1[[#This Row],[Unit_Price]]</f>
        <v>1793.7</v>
      </c>
      <c r="S68">
        <f>Table1[[#This Row],[Gross_Sales]]*Table1[[#This Row],[Discount_Rate]]</f>
        <v>358.74</v>
      </c>
      <c r="T68">
        <f>Table1[[#This Row],[Gross_Sales]]-Table1[[#This Row],[Discount_Amount]]</f>
        <v>1434.96</v>
      </c>
      <c r="U68">
        <f>VLOOKUP(Table1[[#This Row],[Category]],REF_Cost!$A$1:$B$6,2,FALSE)*Table1[[#This Row],[Quantity]]</f>
        <v>1000</v>
      </c>
      <c r="V68">
        <f>Table1[[#This Row],[Net_Sales]]-Table1[[#This Row],[Total_Cost]]</f>
        <v>434.96000000000004</v>
      </c>
      <c r="W68" t="str">
        <f>TEXT(Table1[[#This Row],[Order_Date]],"mmm")</f>
        <v>Aug</v>
      </c>
      <c r="X68">
        <f>ROUNDUP(MONTH(Table1[[#This Row],[Order_Date]])/3,0)</f>
        <v>3</v>
      </c>
      <c r="Y68">
        <f>YEAR(Table1[[#This Row],[Order_Date]])</f>
        <v>2024</v>
      </c>
    </row>
    <row r="69" spans="1:25" x14ac:dyDescent="0.25">
      <c r="A69" t="s">
        <v>344</v>
      </c>
      <c r="B69" t="s">
        <v>345</v>
      </c>
      <c r="C69" t="s">
        <v>346</v>
      </c>
      <c r="D69" t="s">
        <v>347</v>
      </c>
      <c r="E69" t="s">
        <v>39</v>
      </c>
      <c r="F69" t="s">
        <v>49</v>
      </c>
      <c r="G69" t="s">
        <v>117</v>
      </c>
      <c r="H69" t="s">
        <v>72</v>
      </c>
      <c r="I69" t="s">
        <v>51</v>
      </c>
      <c r="J69" t="s">
        <v>126</v>
      </c>
      <c r="K69">
        <v>3</v>
      </c>
      <c r="L69">
        <v>823.68</v>
      </c>
      <c r="M69" s="3">
        <v>0.05</v>
      </c>
      <c r="N69" t="str">
        <f>VLOOKUP(Table1[[#This Row],[Country]],REF_Country!$A$1:$D$11,2,FALSE)</f>
        <v>Southeast Asia</v>
      </c>
      <c r="O69" t="str">
        <f>VLOOKUP(Table1[[#This Row],[Country]],REF_Country!$A$1:$D$11,3,FALSE)</f>
        <v>TH</v>
      </c>
      <c r="P69">
        <f>VLOOKUP(Table1[[#This Row],[Country]],REF_Country!$A$1:$D$11,4,FALSE)</f>
        <v>7.0000000000000007E-2</v>
      </c>
      <c r="Q69">
        <f>VLOOKUP(Table1[[#This Row],[Category]],REF_Target!$A$1:$E$6,2,FALSE)</f>
        <v>35000</v>
      </c>
      <c r="R69">
        <f>Table1[[#This Row],[Quantity]]*Table1[[#This Row],[Unit_Price]]</f>
        <v>2471.04</v>
      </c>
      <c r="S69">
        <f>Table1[[#This Row],[Gross_Sales]]*Table1[[#This Row],[Discount_Rate]]</f>
        <v>123.55200000000001</v>
      </c>
      <c r="T69">
        <f>Table1[[#This Row],[Gross_Sales]]-Table1[[#This Row],[Discount_Amount]]</f>
        <v>2347.4879999999998</v>
      </c>
      <c r="U69">
        <f>VLOOKUP(Table1[[#This Row],[Category]],REF_Cost!$A$1:$B$6,2,FALSE)*Table1[[#This Row],[Quantity]]</f>
        <v>450</v>
      </c>
      <c r="V69">
        <f>Table1[[#This Row],[Net_Sales]]-Table1[[#This Row],[Total_Cost]]</f>
        <v>1897.4879999999998</v>
      </c>
      <c r="W69" t="str">
        <f>TEXT(Table1[[#This Row],[Order_Date]],"mmm")</f>
        <v>Nov</v>
      </c>
      <c r="X69">
        <f>ROUNDUP(MONTH(Table1[[#This Row],[Order_Date]])/3,0)</f>
        <v>4</v>
      </c>
      <c r="Y69">
        <f>YEAR(Table1[[#This Row],[Order_Date]])</f>
        <v>2024</v>
      </c>
    </row>
    <row r="70" spans="1:25" x14ac:dyDescent="0.25">
      <c r="A70" t="s">
        <v>348</v>
      </c>
      <c r="B70" t="s">
        <v>349</v>
      </c>
      <c r="C70" t="s">
        <v>350</v>
      </c>
      <c r="D70" t="s">
        <v>351</v>
      </c>
      <c r="E70" t="s">
        <v>83</v>
      </c>
      <c r="F70" t="s">
        <v>84</v>
      </c>
      <c r="G70" t="s">
        <v>264</v>
      </c>
      <c r="H70" t="s">
        <v>42</v>
      </c>
      <c r="I70" t="s">
        <v>66</v>
      </c>
      <c r="J70" t="s">
        <v>34</v>
      </c>
      <c r="K70">
        <v>5</v>
      </c>
      <c r="L70">
        <v>199.67</v>
      </c>
      <c r="M70" s="3">
        <v>0.2</v>
      </c>
      <c r="N70" t="str">
        <f>VLOOKUP(Table1[[#This Row],[Country]],REF_Country!$A$1:$D$11,2,FALSE)</f>
        <v>South Asia</v>
      </c>
      <c r="O70" t="str">
        <f>VLOOKUP(Table1[[#This Row],[Country]],REF_Country!$A$1:$D$11,3,FALSE)</f>
        <v>IN</v>
      </c>
      <c r="P70">
        <f>VLOOKUP(Table1[[#This Row],[Country]],REF_Country!$A$1:$D$11,4,FALSE)</f>
        <v>0.18</v>
      </c>
      <c r="Q70">
        <f>VLOOKUP(Table1[[#This Row],[Category]],REF_Target!$A$1:$E$6,2,FALSE)</f>
        <v>30000</v>
      </c>
      <c r="R70">
        <f>Table1[[#This Row],[Quantity]]*Table1[[#This Row],[Unit_Price]]</f>
        <v>998.34999999999991</v>
      </c>
      <c r="S70">
        <f>Table1[[#This Row],[Gross_Sales]]*Table1[[#This Row],[Discount_Rate]]</f>
        <v>199.67</v>
      </c>
      <c r="T70">
        <f>Table1[[#This Row],[Gross_Sales]]-Table1[[#This Row],[Discount_Amount]]</f>
        <v>798.68</v>
      </c>
      <c r="U70">
        <f>VLOOKUP(Table1[[#This Row],[Category]],REF_Cost!$A$1:$B$6,2,FALSE)*Table1[[#This Row],[Quantity]]</f>
        <v>1000</v>
      </c>
      <c r="V70">
        <f>Table1[[#This Row],[Net_Sales]]-Table1[[#This Row],[Total_Cost]]</f>
        <v>-201.32000000000005</v>
      </c>
      <c r="W70" t="str">
        <f>TEXT(Table1[[#This Row],[Order_Date]],"mmm")</f>
        <v>Jun</v>
      </c>
      <c r="X70">
        <f>ROUNDUP(MONTH(Table1[[#This Row],[Order_Date]])/3,0)</f>
        <v>2</v>
      </c>
      <c r="Y70">
        <f>YEAR(Table1[[#This Row],[Order_Date]])</f>
        <v>2024</v>
      </c>
    </row>
    <row r="71" spans="1:25" x14ac:dyDescent="0.25">
      <c r="A71" t="s">
        <v>352</v>
      </c>
      <c r="B71" t="s">
        <v>353</v>
      </c>
      <c r="C71" t="s">
        <v>354</v>
      </c>
      <c r="D71" t="s">
        <v>355</v>
      </c>
      <c r="E71" t="s">
        <v>149</v>
      </c>
      <c r="F71" t="s">
        <v>84</v>
      </c>
      <c r="G71" t="s">
        <v>90</v>
      </c>
      <c r="H71" t="s">
        <v>32</v>
      </c>
      <c r="I71" t="s">
        <v>66</v>
      </c>
      <c r="J71" t="s">
        <v>126</v>
      </c>
      <c r="K71">
        <v>2</v>
      </c>
      <c r="L71">
        <v>386.8</v>
      </c>
      <c r="M71" s="3">
        <v>0</v>
      </c>
      <c r="N71" t="str">
        <f>VLOOKUP(Table1[[#This Row],[Country]],REF_Country!$A$1:$D$11,2,FALSE)</f>
        <v>East Asia</v>
      </c>
      <c r="O71" t="str">
        <f>VLOOKUP(Table1[[#This Row],[Country]],REF_Country!$A$1:$D$11,3,FALSE)</f>
        <v>JP</v>
      </c>
      <c r="P71">
        <f>VLOOKUP(Table1[[#This Row],[Country]],REF_Country!$A$1:$D$11,4,FALSE)</f>
        <v>0.1</v>
      </c>
      <c r="Q71">
        <f>VLOOKUP(Table1[[#This Row],[Category]],REF_Target!$A$1:$E$6,2,FALSE)</f>
        <v>30000</v>
      </c>
      <c r="R71">
        <f>Table1[[#This Row],[Quantity]]*Table1[[#This Row],[Unit_Price]]</f>
        <v>773.6</v>
      </c>
      <c r="S71">
        <f>Table1[[#This Row],[Gross_Sales]]*Table1[[#This Row],[Discount_Rate]]</f>
        <v>0</v>
      </c>
      <c r="T71">
        <f>Table1[[#This Row],[Gross_Sales]]-Table1[[#This Row],[Discount_Amount]]</f>
        <v>773.6</v>
      </c>
      <c r="U71">
        <f>VLOOKUP(Table1[[#This Row],[Category]],REF_Cost!$A$1:$B$6,2,FALSE)*Table1[[#This Row],[Quantity]]</f>
        <v>400</v>
      </c>
      <c r="V71">
        <f>Table1[[#This Row],[Net_Sales]]-Table1[[#This Row],[Total_Cost]]</f>
        <v>373.6</v>
      </c>
      <c r="W71" t="str">
        <f>TEXT(Table1[[#This Row],[Order_Date]],"mmm")</f>
        <v>Feb</v>
      </c>
      <c r="X71">
        <f>ROUNDUP(MONTH(Table1[[#This Row],[Order_Date]])/3,0)</f>
        <v>1</v>
      </c>
      <c r="Y71">
        <f>YEAR(Table1[[#This Row],[Order_Date]])</f>
        <v>2024</v>
      </c>
    </row>
    <row r="72" spans="1:25" x14ac:dyDescent="0.25">
      <c r="A72" t="s">
        <v>356</v>
      </c>
      <c r="B72" t="s">
        <v>357</v>
      </c>
      <c r="C72" t="s">
        <v>358</v>
      </c>
      <c r="D72" t="s">
        <v>359</v>
      </c>
      <c r="E72" t="s">
        <v>200</v>
      </c>
      <c r="F72" t="s">
        <v>84</v>
      </c>
      <c r="G72" t="s">
        <v>85</v>
      </c>
      <c r="H72" t="s">
        <v>42</v>
      </c>
      <c r="I72" t="s">
        <v>51</v>
      </c>
      <c r="J72" t="s">
        <v>34</v>
      </c>
      <c r="K72">
        <v>7</v>
      </c>
      <c r="L72">
        <v>1495.46</v>
      </c>
      <c r="M72" s="3">
        <v>0.2</v>
      </c>
      <c r="N72" t="str">
        <f>VLOOKUP(Table1[[#This Row],[Country]],REF_Country!$A$1:$D$11,2,FALSE)</f>
        <v>East Asia</v>
      </c>
      <c r="O72" t="str">
        <f>VLOOKUP(Table1[[#This Row],[Country]],REF_Country!$A$1:$D$11,3,FALSE)</f>
        <v>KR</v>
      </c>
      <c r="P72">
        <f>VLOOKUP(Table1[[#This Row],[Country]],REF_Country!$A$1:$D$11,4,FALSE)</f>
        <v>0.1</v>
      </c>
      <c r="Q72">
        <f>VLOOKUP(Table1[[#This Row],[Category]],REF_Target!$A$1:$E$6,2,FALSE)</f>
        <v>30000</v>
      </c>
      <c r="R72">
        <f>Table1[[#This Row],[Quantity]]*Table1[[#This Row],[Unit_Price]]</f>
        <v>10468.220000000001</v>
      </c>
      <c r="S72">
        <f>Table1[[#This Row],[Gross_Sales]]*Table1[[#This Row],[Discount_Rate]]</f>
        <v>2093.6440000000002</v>
      </c>
      <c r="T72">
        <f>Table1[[#This Row],[Gross_Sales]]-Table1[[#This Row],[Discount_Amount]]</f>
        <v>8374.5760000000009</v>
      </c>
      <c r="U72">
        <f>VLOOKUP(Table1[[#This Row],[Category]],REF_Cost!$A$1:$B$6,2,FALSE)*Table1[[#This Row],[Quantity]]</f>
        <v>1400</v>
      </c>
      <c r="V72">
        <f>Table1[[#This Row],[Net_Sales]]-Table1[[#This Row],[Total_Cost]]</f>
        <v>6974.5760000000009</v>
      </c>
      <c r="W72" t="str">
        <f>TEXT(Table1[[#This Row],[Order_Date]],"mmm")</f>
        <v>Aug</v>
      </c>
      <c r="X72">
        <f>ROUNDUP(MONTH(Table1[[#This Row],[Order_Date]])/3,0)</f>
        <v>3</v>
      </c>
      <c r="Y72">
        <f>YEAR(Table1[[#This Row],[Order_Date]])</f>
        <v>2024</v>
      </c>
    </row>
    <row r="73" spans="1:25" x14ac:dyDescent="0.25">
      <c r="A73" t="s">
        <v>360</v>
      </c>
      <c r="B73" t="s">
        <v>361</v>
      </c>
      <c r="C73" t="s">
        <v>362</v>
      </c>
      <c r="D73" t="s">
        <v>363</v>
      </c>
      <c r="E73" t="s">
        <v>116</v>
      </c>
      <c r="F73" t="s">
        <v>30</v>
      </c>
      <c r="G73" t="s">
        <v>65</v>
      </c>
      <c r="H73" t="s">
        <v>42</v>
      </c>
      <c r="I73" t="s">
        <v>33</v>
      </c>
      <c r="J73" t="s">
        <v>126</v>
      </c>
      <c r="K73">
        <v>8</v>
      </c>
      <c r="L73">
        <v>626.29</v>
      </c>
      <c r="M73" s="3">
        <v>0.05</v>
      </c>
      <c r="N73" t="str">
        <f>VLOOKUP(Table1[[#This Row],[Country]],REF_Country!$A$1:$D$11,2,FALSE)</f>
        <v>Southeast Asia</v>
      </c>
      <c r="O73" t="str">
        <f>VLOOKUP(Table1[[#This Row],[Country]],REF_Country!$A$1:$D$11,3,FALSE)</f>
        <v>MY</v>
      </c>
      <c r="P73">
        <f>VLOOKUP(Table1[[#This Row],[Country]],REF_Country!$A$1:$D$11,4,FALSE)</f>
        <v>0.06</v>
      </c>
      <c r="Q73">
        <f>VLOOKUP(Table1[[#This Row],[Category]],REF_Target!$A$1:$E$6,2,FALSE)</f>
        <v>40000</v>
      </c>
      <c r="R73">
        <f>Table1[[#This Row],[Quantity]]*Table1[[#This Row],[Unit_Price]]</f>
        <v>5010.32</v>
      </c>
      <c r="S73">
        <f>Table1[[#This Row],[Gross_Sales]]*Table1[[#This Row],[Discount_Rate]]</f>
        <v>250.51599999999999</v>
      </c>
      <c r="T73">
        <f>Table1[[#This Row],[Gross_Sales]]-Table1[[#This Row],[Discount_Amount]]</f>
        <v>4759.8040000000001</v>
      </c>
      <c r="U73">
        <f>VLOOKUP(Table1[[#This Row],[Category]],REF_Cost!$A$1:$B$6,2,FALSE)*Table1[[#This Row],[Quantity]]</f>
        <v>960</v>
      </c>
      <c r="V73">
        <f>Table1[[#This Row],[Net_Sales]]-Table1[[#This Row],[Total_Cost]]</f>
        <v>3799.8040000000001</v>
      </c>
      <c r="W73" t="str">
        <f>TEXT(Table1[[#This Row],[Order_Date]],"mmm")</f>
        <v>Jul</v>
      </c>
      <c r="X73">
        <f>ROUNDUP(MONTH(Table1[[#This Row],[Order_Date]])/3,0)</f>
        <v>3</v>
      </c>
      <c r="Y73">
        <f>YEAR(Table1[[#This Row],[Order_Date]])</f>
        <v>2024</v>
      </c>
    </row>
    <row r="74" spans="1:25" x14ac:dyDescent="0.25">
      <c r="A74" t="s">
        <v>364</v>
      </c>
      <c r="B74" t="s">
        <v>365</v>
      </c>
      <c r="C74" t="s">
        <v>366</v>
      </c>
      <c r="D74" t="s">
        <v>367</v>
      </c>
      <c r="E74" t="s">
        <v>71</v>
      </c>
      <c r="F74" t="s">
        <v>56</v>
      </c>
      <c r="G74" t="s">
        <v>57</v>
      </c>
      <c r="H74" t="s">
        <v>42</v>
      </c>
      <c r="I74" t="s">
        <v>96</v>
      </c>
      <c r="J74" t="s">
        <v>126</v>
      </c>
      <c r="K74">
        <v>1</v>
      </c>
      <c r="L74">
        <v>1299.3900000000001</v>
      </c>
      <c r="M74" s="3">
        <v>0.2</v>
      </c>
      <c r="N74" t="str">
        <f>VLOOKUP(Table1[[#This Row],[Country]],REF_Country!$A$1:$D$11,2,FALSE)</f>
        <v>Southeast Asia</v>
      </c>
      <c r="O74" t="str">
        <f>VLOOKUP(Table1[[#This Row],[Country]],REF_Country!$A$1:$D$11,3,FALSE)</f>
        <v>PH</v>
      </c>
      <c r="P74">
        <f>VLOOKUP(Table1[[#This Row],[Country]],REF_Country!$A$1:$D$11,4,FALSE)</f>
        <v>0.12</v>
      </c>
      <c r="Q74">
        <f>VLOOKUP(Table1[[#This Row],[Category]],REF_Target!$A$1:$E$6,2,FALSE)</f>
        <v>50000</v>
      </c>
      <c r="R74">
        <f>Table1[[#This Row],[Quantity]]*Table1[[#This Row],[Unit_Price]]</f>
        <v>1299.3900000000001</v>
      </c>
      <c r="S74">
        <f>Table1[[#This Row],[Gross_Sales]]*Table1[[#This Row],[Discount_Rate]]</f>
        <v>259.87800000000004</v>
      </c>
      <c r="T74">
        <f>Table1[[#This Row],[Gross_Sales]]-Table1[[#This Row],[Discount_Amount]]</f>
        <v>1039.5120000000002</v>
      </c>
      <c r="U74">
        <f>VLOOKUP(Table1[[#This Row],[Category]],REF_Cost!$A$1:$B$6,2,FALSE)*Table1[[#This Row],[Quantity]]</f>
        <v>450</v>
      </c>
      <c r="V74">
        <f>Table1[[#This Row],[Net_Sales]]-Table1[[#This Row],[Total_Cost]]</f>
        <v>589.51200000000017</v>
      </c>
      <c r="W74" t="str">
        <f>TEXT(Table1[[#This Row],[Order_Date]],"mmm")</f>
        <v>Feb</v>
      </c>
      <c r="X74">
        <f>ROUNDUP(MONTH(Table1[[#This Row],[Order_Date]])/3,0)</f>
        <v>1</v>
      </c>
      <c r="Y74">
        <f>YEAR(Table1[[#This Row],[Order_Date]])</f>
        <v>2024</v>
      </c>
    </row>
    <row r="75" spans="1:25" x14ac:dyDescent="0.25">
      <c r="A75" t="s">
        <v>368</v>
      </c>
      <c r="B75" t="s">
        <v>369</v>
      </c>
      <c r="C75" t="s">
        <v>370</v>
      </c>
      <c r="D75" t="s">
        <v>371</v>
      </c>
      <c r="E75" t="s">
        <v>200</v>
      </c>
      <c r="F75" t="s">
        <v>49</v>
      </c>
      <c r="G75" t="s">
        <v>117</v>
      </c>
      <c r="H75" t="s">
        <v>58</v>
      </c>
      <c r="I75" t="s">
        <v>96</v>
      </c>
      <c r="J75" t="s">
        <v>34</v>
      </c>
      <c r="K75">
        <v>9</v>
      </c>
      <c r="L75">
        <v>317.27999999999997</v>
      </c>
      <c r="M75" s="3">
        <v>0</v>
      </c>
      <c r="N75" t="str">
        <f>VLOOKUP(Table1[[#This Row],[Country]],REF_Country!$A$1:$D$11,2,FALSE)</f>
        <v>East Asia</v>
      </c>
      <c r="O75" t="str">
        <f>VLOOKUP(Table1[[#This Row],[Country]],REF_Country!$A$1:$D$11,3,FALSE)</f>
        <v>KR</v>
      </c>
      <c r="P75">
        <f>VLOOKUP(Table1[[#This Row],[Country]],REF_Country!$A$1:$D$11,4,FALSE)</f>
        <v>0.1</v>
      </c>
      <c r="Q75">
        <f>VLOOKUP(Table1[[#This Row],[Category]],REF_Target!$A$1:$E$6,2,FALSE)</f>
        <v>35000</v>
      </c>
      <c r="R75">
        <f>Table1[[#This Row],[Quantity]]*Table1[[#This Row],[Unit_Price]]</f>
        <v>2855.5199999999995</v>
      </c>
      <c r="S75">
        <f>Table1[[#This Row],[Gross_Sales]]*Table1[[#This Row],[Discount_Rate]]</f>
        <v>0</v>
      </c>
      <c r="T75">
        <f>Table1[[#This Row],[Gross_Sales]]-Table1[[#This Row],[Discount_Amount]]</f>
        <v>2855.5199999999995</v>
      </c>
      <c r="U75">
        <f>VLOOKUP(Table1[[#This Row],[Category]],REF_Cost!$A$1:$B$6,2,FALSE)*Table1[[#This Row],[Quantity]]</f>
        <v>1350</v>
      </c>
      <c r="V75">
        <f>Table1[[#This Row],[Net_Sales]]-Table1[[#This Row],[Total_Cost]]</f>
        <v>1505.5199999999995</v>
      </c>
      <c r="W75" t="str">
        <f>TEXT(Table1[[#This Row],[Order_Date]],"mmm")</f>
        <v>Sep</v>
      </c>
      <c r="X75">
        <f>ROUNDUP(MONTH(Table1[[#This Row],[Order_Date]])/3,0)</f>
        <v>3</v>
      </c>
      <c r="Y75">
        <f>YEAR(Table1[[#This Row],[Order_Date]])</f>
        <v>2024</v>
      </c>
    </row>
    <row r="76" spans="1:25" x14ac:dyDescent="0.25">
      <c r="A76" t="s">
        <v>372</v>
      </c>
      <c r="B76" t="s">
        <v>373</v>
      </c>
      <c r="C76" t="s">
        <v>374</v>
      </c>
      <c r="D76" t="s">
        <v>375</v>
      </c>
      <c r="E76" t="s">
        <v>39</v>
      </c>
      <c r="F76" t="s">
        <v>30</v>
      </c>
      <c r="G76" t="s">
        <v>65</v>
      </c>
      <c r="H76" t="s">
        <v>32</v>
      </c>
      <c r="I76" t="s">
        <v>43</v>
      </c>
      <c r="J76" t="s">
        <v>126</v>
      </c>
      <c r="K76">
        <v>9</v>
      </c>
      <c r="L76">
        <v>833</v>
      </c>
      <c r="M76" s="3">
        <v>0.1</v>
      </c>
      <c r="N76" t="str">
        <f>VLOOKUP(Table1[[#This Row],[Country]],REF_Country!$A$1:$D$11,2,FALSE)</f>
        <v>Southeast Asia</v>
      </c>
      <c r="O76" t="str">
        <f>VLOOKUP(Table1[[#This Row],[Country]],REF_Country!$A$1:$D$11,3,FALSE)</f>
        <v>TH</v>
      </c>
      <c r="P76">
        <f>VLOOKUP(Table1[[#This Row],[Country]],REF_Country!$A$1:$D$11,4,FALSE)</f>
        <v>7.0000000000000007E-2</v>
      </c>
      <c r="Q76">
        <f>VLOOKUP(Table1[[#This Row],[Category]],REF_Target!$A$1:$E$6,2,FALSE)</f>
        <v>40000</v>
      </c>
      <c r="R76">
        <f>Table1[[#This Row],[Quantity]]*Table1[[#This Row],[Unit_Price]]</f>
        <v>7497</v>
      </c>
      <c r="S76">
        <f>Table1[[#This Row],[Gross_Sales]]*Table1[[#This Row],[Discount_Rate]]</f>
        <v>749.7</v>
      </c>
      <c r="T76">
        <f>Table1[[#This Row],[Gross_Sales]]-Table1[[#This Row],[Discount_Amount]]</f>
        <v>6747.3</v>
      </c>
      <c r="U76">
        <f>VLOOKUP(Table1[[#This Row],[Category]],REF_Cost!$A$1:$B$6,2,FALSE)*Table1[[#This Row],[Quantity]]</f>
        <v>1080</v>
      </c>
      <c r="V76">
        <f>Table1[[#This Row],[Net_Sales]]-Table1[[#This Row],[Total_Cost]]</f>
        <v>5667.3</v>
      </c>
      <c r="W76" t="str">
        <f>TEXT(Table1[[#This Row],[Order_Date]],"mmm")</f>
        <v>Jan</v>
      </c>
      <c r="X76">
        <f>ROUNDUP(MONTH(Table1[[#This Row],[Order_Date]])/3,0)</f>
        <v>1</v>
      </c>
      <c r="Y76">
        <f>YEAR(Table1[[#This Row],[Order_Date]])</f>
        <v>2024</v>
      </c>
    </row>
    <row r="77" spans="1:25" x14ac:dyDescent="0.25">
      <c r="A77" t="s">
        <v>376</v>
      </c>
      <c r="B77" t="s">
        <v>377</v>
      </c>
      <c r="C77" t="s">
        <v>378</v>
      </c>
      <c r="D77" t="s">
        <v>379</v>
      </c>
      <c r="E77" t="s">
        <v>48</v>
      </c>
      <c r="F77" t="s">
        <v>49</v>
      </c>
      <c r="G77" t="s">
        <v>50</v>
      </c>
      <c r="H77" t="s">
        <v>42</v>
      </c>
      <c r="I77" t="s">
        <v>96</v>
      </c>
      <c r="J77" t="s">
        <v>73</v>
      </c>
      <c r="K77">
        <v>5</v>
      </c>
      <c r="L77">
        <v>770.67</v>
      </c>
      <c r="M77" s="3">
        <v>0.1</v>
      </c>
      <c r="N77" t="str">
        <f>VLOOKUP(Table1[[#This Row],[Country]],REF_Country!$A$1:$D$11,2,FALSE)</f>
        <v>Southeast Asia</v>
      </c>
      <c r="O77" t="str">
        <f>VLOOKUP(Table1[[#This Row],[Country]],REF_Country!$A$1:$D$11,3,FALSE)</f>
        <v>SG</v>
      </c>
      <c r="P77">
        <f>VLOOKUP(Table1[[#This Row],[Country]],REF_Country!$A$1:$D$11,4,FALSE)</f>
        <v>7.0000000000000007E-2</v>
      </c>
      <c r="Q77">
        <f>VLOOKUP(Table1[[#This Row],[Category]],REF_Target!$A$1:$E$6,2,FALSE)</f>
        <v>35000</v>
      </c>
      <c r="R77">
        <f>Table1[[#This Row],[Quantity]]*Table1[[#This Row],[Unit_Price]]</f>
        <v>3853.35</v>
      </c>
      <c r="S77">
        <f>Table1[[#This Row],[Gross_Sales]]*Table1[[#This Row],[Discount_Rate]]</f>
        <v>385.33500000000004</v>
      </c>
      <c r="T77">
        <f>Table1[[#This Row],[Gross_Sales]]-Table1[[#This Row],[Discount_Amount]]</f>
        <v>3468.0149999999999</v>
      </c>
      <c r="U77">
        <f>VLOOKUP(Table1[[#This Row],[Category]],REF_Cost!$A$1:$B$6,2,FALSE)*Table1[[#This Row],[Quantity]]</f>
        <v>750</v>
      </c>
      <c r="V77">
        <f>Table1[[#This Row],[Net_Sales]]-Table1[[#This Row],[Total_Cost]]</f>
        <v>2718.0149999999999</v>
      </c>
      <c r="W77" t="str">
        <f>TEXT(Table1[[#This Row],[Order_Date]],"mmm")</f>
        <v>Mar</v>
      </c>
      <c r="X77">
        <f>ROUNDUP(MONTH(Table1[[#This Row],[Order_Date]])/3,0)</f>
        <v>1</v>
      </c>
      <c r="Y77">
        <f>YEAR(Table1[[#This Row],[Order_Date]])</f>
        <v>2024</v>
      </c>
    </row>
    <row r="78" spans="1:25" x14ac:dyDescent="0.25">
      <c r="A78" t="s">
        <v>380</v>
      </c>
      <c r="B78" t="s">
        <v>381</v>
      </c>
      <c r="C78" t="s">
        <v>382</v>
      </c>
      <c r="D78" t="s">
        <v>383</v>
      </c>
      <c r="E78" t="s">
        <v>39</v>
      </c>
      <c r="F78" t="s">
        <v>40</v>
      </c>
      <c r="G78" t="s">
        <v>41</v>
      </c>
      <c r="H78" t="s">
        <v>58</v>
      </c>
      <c r="I78" t="s">
        <v>96</v>
      </c>
      <c r="J78" t="s">
        <v>59</v>
      </c>
      <c r="K78">
        <v>3</v>
      </c>
      <c r="L78">
        <v>1123.24</v>
      </c>
      <c r="M78" s="3">
        <v>0</v>
      </c>
      <c r="N78" t="str">
        <f>VLOOKUP(Table1[[#This Row],[Country]],REF_Country!$A$1:$D$11,2,FALSE)</f>
        <v>Southeast Asia</v>
      </c>
      <c r="O78" t="str">
        <f>VLOOKUP(Table1[[#This Row],[Country]],REF_Country!$A$1:$D$11,3,FALSE)</f>
        <v>TH</v>
      </c>
      <c r="P78">
        <f>VLOOKUP(Table1[[#This Row],[Country]],REF_Country!$A$1:$D$11,4,FALSE)</f>
        <v>7.0000000000000007E-2</v>
      </c>
      <c r="Q78">
        <f>VLOOKUP(Table1[[#This Row],[Category]],REF_Target!$A$1:$E$6,2,FALSE)</f>
        <v>45000</v>
      </c>
      <c r="R78">
        <f>Table1[[#This Row],[Quantity]]*Table1[[#This Row],[Unit_Price]]</f>
        <v>3369.7200000000003</v>
      </c>
      <c r="S78">
        <f>Table1[[#This Row],[Gross_Sales]]*Table1[[#This Row],[Discount_Rate]]</f>
        <v>0</v>
      </c>
      <c r="T78">
        <f>Table1[[#This Row],[Gross_Sales]]-Table1[[#This Row],[Discount_Amount]]</f>
        <v>3369.7200000000003</v>
      </c>
      <c r="U78">
        <f>VLOOKUP(Table1[[#This Row],[Category]],REF_Cost!$A$1:$B$6,2,FALSE)*Table1[[#This Row],[Quantity]]</f>
        <v>240</v>
      </c>
      <c r="V78">
        <f>Table1[[#This Row],[Net_Sales]]-Table1[[#This Row],[Total_Cost]]</f>
        <v>3129.7200000000003</v>
      </c>
      <c r="W78" t="str">
        <f>TEXT(Table1[[#This Row],[Order_Date]],"mmm")</f>
        <v>Oct</v>
      </c>
      <c r="X78">
        <f>ROUNDUP(MONTH(Table1[[#This Row],[Order_Date]])/3,0)</f>
        <v>4</v>
      </c>
      <c r="Y78">
        <f>YEAR(Table1[[#This Row],[Order_Date]])</f>
        <v>2024</v>
      </c>
    </row>
    <row r="79" spans="1:25" x14ac:dyDescent="0.25">
      <c r="A79" t="s">
        <v>384</v>
      </c>
      <c r="B79" t="s">
        <v>385</v>
      </c>
      <c r="C79" t="s">
        <v>386</v>
      </c>
      <c r="D79" t="s">
        <v>387</v>
      </c>
      <c r="E79" t="s">
        <v>29</v>
      </c>
      <c r="F79" t="s">
        <v>40</v>
      </c>
      <c r="G79" t="s">
        <v>41</v>
      </c>
      <c r="H79" t="s">
        <v>42</v>
      </c>
      <c r="I79" t="s">
        <v>33</v>
      </c>
      <c r="J79" t="s">
        <v>34</v>
      </c>
      <c r="K79">
        <v>8</v>
      </c>
      <c r="L79">
        <v>1498.37</v>
      </c>
      <c r="M79" s="3">
        <v>0</v>
      </c>
      <c r="N79" t="str">
        <f>VLOOKUP(Table1[[#This Row],[Country]],REF_Country!$A$1:$D$11,2,FALSE)</f>
        <v>Southeast Asia</v>
      </c>
      <c r="O79" t="str">
        <f>VLOOKUP(Table1[[#This Row],[Country]],REF_Country!$A$1:$D$11,3,FALSE)</f>
        <v>VN</v>
      </c>
      <c r="P79">
        <f>VLOOKUP(Table1[[#This Row],[Country]],REF_Country!$A$1:$D$11,4,FALSE)</f>
        <v>0.1</v>
      </c>
      <c r="Q79">
        <f>VLOOKUP(Table1[[#This Row],[Category]],REF_Target!$A$1:$E$6,2,FALSE)</f>
        <v>45000</v>
      </c>
      <c r="R79">
        <f>Table1[[#This Row],[Quantity]]*Table1[[#This Row],[Unit_Price]]</f>
        <v>11986.96</v>
      </c>
      <c r="S79">
        <f>Table1[[#This Row],[Gross_Sales]]*Table1[[#This Row],[Discount_Rate]]</f>
        <v>0</v>
      </c>
      <c r="T79">
        <f>Table1[[#This Row],[Gross_Sales]]-Table1[[#This Row],[Discount_Amount]]</f>
        <v>11986.96</v>
      </c>
      <c r="U79">
        <f>VLOOKUP(Table1[[#This Row],[Category]],REF_Cost!$A$1:$B$6,2,FALSE)*Table1[[#This Row],[Quantity]]</f>
        <v>640</v>
      </c>
      <c r="V79">
        <f>Table1[[#This Row],[Net_Sales]]-Table1[[#This Row],[Total_Cost]]</f>
        <v>11346.96</v>
      </c>
      <c r="W79" t="str">
        <f>TEXT(Table1[[#This Row],[Order_Date]],"mmm")</f>
        <v>May</v>
      </c>
      <c r="X79">
        <f>ROUNDUP(MONTH(Table1[[#This Row],[Order_Date]])/3,0)</f>
        <v>2</v>
      </c>
      <c r="Y79">
        <f>YEAR(Table1[[#This Row],[Order_Date]])</f>
        <v>2024</v>
      </c>
    </row>
    <row r="80" spans="1:25" x14ac:dyDescent="0.25">
      <c r="A80" t="s">
        <v>388</v>
      </c>
      <c r="B80" t="s">
        <v>389</v>
      </c>
      <c r="C80" t="s">
        <v>390</v>
      </c>
      <c r="D80" t="s">
        <v>391</v>
      </c>
      <c r="E80" t="s">
        <v>78</v>
      </c>
      <c r="F80" t="s">
        <v>49</v>
      </c>
      <c r="G80" t="s">
        <v>226</v>
      </c>
      <c r="H80" t="s">
        <v>72</v>
      </c>
      <c r="I80" t="s">
        <v>33</v>
      </c>
      <c r="J80" t="s">
        <v>34</v>
      </c>
      <c r="K80">
        <v>4</v>
      </c>
      <c r="L80">
        <v>1400.29</v>
      </c>
      <c r="M80" s="3">
        <v>0.2</v>
      </c>
      <c r="N80" t="str">
        <f>VLOOKUP(Table1[[#This Row],[Country]],REF_Country!$A$1:$D$11,2,FALSE)</f>
        <v>Oceania</v>
      </c>
      <c r="O80" t="str">
        <f>VLOOKUP(Table1[[#This Row],[Country]],REF_Country!$A$1:$D$11,3,FALSE)</f>
        <v>AU</v>
      </c>
      <c r="P80">
        <f>VLOOKUP(Table1[[#This Row],[Country]],REF_Country!$A$1:$D$11,4,FALSE)</f>
        <v>0.1</v>
      </c>
      <c r="Q80">
        <f>VLOOKUP(Table1[[#This Row],[Category]],REF_Target!$A$1:$E$6,2,FALSE)</f>
        <v>35000</v>
      </c>
      <c r="R80">
        <f>Table1[[#This Row],[Quantity]]*Table1[[#This Row],[Unit_Price]]</f>
        <v>5601.16</v>
      </c>
      <c r="S80">
        <f>Table1[[#This Row],[Gross_Sales]]*Table1[[#This Row],[Discount_Rate]]</f>
        <v>1120.232</v>
      </c>
      <c r="T80">
        <f>Table1[[#This Row],[Gross_Sales]]-Table1[[#This Row],[Discount_Amount]]</f>
        <v>4480.9279999999999</v>
      </c>
      <c r="U80">
        <f>VLOOKUP(Table1[[#This Row],[Category]],REF_Cost!$A$1:$B$6,2,FALSE)*Table1[[#This Row],[Quantity]]</f>
        <v>600</v>
      </c>
      <c r="V80">
        <f>Table1[[#This Row],[Net_Sales]]-Table1[[#This Row],[Total_Cost]]</f>
        <v>3880.9279999999999</v>
      </c>
      <c r="W80" t="str">
        <f>TEXT(Table1[[#This Row],[Order_Date]],"mmm")</f>
        <v>Jun</v>
      </c>
      <c r="X80">
        <f>ROUNDUP(MONTH(Table1[[#This Row],[Order_Date]])/3,0)</f>
        <v>2</v>
      </c>
      <c r="Y80">
        <f>YEAR(Table1[[#This Row],[Order_Date]])</f>
        <v>2024</v>
      </c>
    </row>
    <row r="81" spans="1:25" x14ac:dyDescent="0.25">
      <c r="A81" t="s">
        <v>392</v>
      </c>
      <c r="B81" t="s">
        <v>393</v>
      </c>
      <c r="C81" t="s">
        <v>394</v>
      </c>
      <c r="D81" t="s">
        <v>395</v>
      </c>
      <c r="E81" t="s">
        <v>200</v>
      </c>
      <c r="F81" t="s">
        <v>49</v>
      </c>
      <c r="G81" t="s">
        <v>226</v>
      </c>
      <c r="H81" t="s">
        <v>32</v>
      </c>
      <c r="I81" t="s">
        <v>43</v>
      </c>
      <c r="J81" t="s">
        <v>59</v>
      </c>
      <c r="K81">
        <v>3</v>
      </c>
      <c r="L81">
        <v>1482.79</v>
      </c>
      <c r="M81" s="3">
        <v>0.1</v>
      </c>
      <c r="N81" t="str">
        <f>VLOOKUP(Table1[[#This Row],[Country]],REF_Country!$A$1:$D$11,2,FALSE)</f>
        <v>East Asia</v>
      </c>
      <c r="O81" t="str">
        <f>VLOOKUP(Table1[[#This Row],[Country]],REF_Country!$A$1:$D$11,3,FALSE)</f>
        <v>KR</v>
      </c>
      <c r="P81">
        <f>VLOOKUP(Table1[[#This Row],[Country]],REF_Country!$A$1:$D$11,4,FALSE)</f>
        <v>0.1</v>
      </c>
      <c r="Q81">
        <f>VLOOKUP(Table1[[#This Row],[Category]],REF_Target!$A$1:$E$6,2,FALSE)</f>
        <v>35000</v>
      </c>
      <c r="R81">
        <f>Table1[[#This Row],[Quantity]]*Table1[[#This Row],[Unit_Price]]</f>
        <v>4448.37</v>
      </c>
      <c r="S81">
        <f>Table1[[#This Row],[Gross_Sales]]*Table1[[#This Row],[Discount_Rate]]</f>
        <v>444.83699999999999</v>
      </c>
      <c r="T81">
        <f>Table1[[#This Row],[Gross_Sales]]-Table1[[#This Row],[Discount_Amount]]</f>
        <v>4003.5329999999999</v>
      </c>
      <c r="U81">
        <f>VLOOKUP(Table1[[#This Row],[Category]],REF_Cost!$A$1:$B$6,2,FALSE)*Table1[[#This Row],[Quantity]]</f>
        <v>450</v>
      </c>
      <c r="V81">
        <f>Table1[[#This Row],[Net_Sales]]-Table1[[#This Row],[Total_Cost]]</f>
        <v>3553.5329999999999</v>
      </c>
      <c r="W81" t="str">
        <f>TEXT(Table1[[#This Row],[Order_Date]],"mmm")</f>
        <v>Jul</v>
      </c>
      <c r="X81">
        <f>ROUNDUP(MONTH(Table1[[#This Row],[Order_Date]])/3,0)</f>
        <v>3</v>
      </c>
      <c r="Y81">
        <f>YEAR(Table1[[#This Row],[Order_Date]])</f>
        <v>2024</v>
      </c>
    </row>
    <row r="82" spans="1:25" x14ac:dyDescent="0.25">
      <c r="A82" t="s">
        <v>396</v>
      </c>
      <c r="B82" t="s">
        <v>397</v>
      </c>
      <c r="C82" t="s">
        <v>398</v>
      </c>
      <c r="D82" t="s">
        <v>399</v>
      </c>
      <c r="E82" t="s">
        <v>200</v>
      </c>
      <c r="F82" t="s">
        <v>56</v>
      </c>
      <c r="G82" t="s">
        <v>95</v>
      </c>
      <c r="H82" t="s">
        <v>42</v>
      </c>
      <c r="I82" t="s">
        <v>66</v>
      </c>
      <c r="J82" t="s">
        <v>59</v>
      </c>
      <c r="K82">
        <v>3</v>
      </c>
      <c r="L82">
        <v>623.82000000000005</v>
      </c>
      <c r="M82" s="3">
        <v>0</v>
      </c>
      <c r="N82" t="str">
        <f>VLOOKUP(Table1[[#This Row],[Country]],REF_Country!$A$1:$D$11,2,FALSE)</f>
        <v>East Asia</v>
      </c>
      <c r="O82" t="str">
        <f>VLOOKUP(Table1[[#This Row],[Country]],REF_Country!$A$1:$D$11,3,FALSE)</f>
        <v>KR</v>
      </c>
      <c r="P82">
        <f>VLOOKUP(Table1[[#This Row],[Country]],REF_Country!$A$1:$D$11,4,FALSE)</f>
        <v>0.1</v>
      </c>
      <c r="Q82">
        <f>VLOOKUP(Table1[[#This Row],[Category]],REF_Target!$A$1:$E$6,2,FALSE)</f>
        <v>50000</v>
      </c>
      <c r="R82">
        <f>Table1[[#This Row],[Quantity]]*Table1[[#This Row],[Unit_Price]]</f>
        <v>1871.46</v>
      </c>
      <c r="S82">
        <f>Table1[[#This Row],[Gross_Sales]]*Table1[[#This Row],[Discount_Rate]]</f>
        <v>0</v>
      </c>
      <c r="T82">
        <f>Table1[[#This Row],[Gross_Sales]]-Table1[[#This Row],[Discount_Amount]]</f>
        <v>1871.46</v>
      </c>
      <c r="U82">
        <f>VLOOKUP(Table1[[#This Row],[Category]],REF_Cost!$A$1:$B$6,2,FALSE)*Table1[[#This Row],[Quantity]]</f>
        <v>1350</v>
      </c>
      <c r="V82">
        <f>Table1[[#This Row],[Net_Sales]]-Table1[[#This Row],[Total_Cost]]</f>
        <v>521.46</v>
      </c>
      <c r="W82" t="str">
        <f>TEXT(Table1[[#This Row],[Order_Date]],"mmm")</f>
        <v>Aug</v>
      </c>
      <c r="X82">
        <f>ROUNDUP(MONTH(Table1[[#This Row],[Order_Date]])/3,0)</f>
        <v>3</v>
      </c>
      <c r="Y82">
        <f>YEAR(Table1[[#This Row],[Order_Date]])</f>
        <v>2024</v>
      </c>
    </row>
    <row r="83" spans="1:25" x14ac:dyDescent="0.25">
      <c r="A83" t="s">
        <v>400</v>
      </c>
      <c r="B83" t="s">
        <v>401</v>
      </c>
      <c r="C83" t="s">
        <v>402</v>
      </c>
      <c r="D83" t="s">
        <v>403</v>
      </c>
      <c r="E83" t="s">
        <v>116</v>
      </c>
      <c r="F83" t="s">
        <v>84</v>
      </c>
      <c r="G83" t="s">
        <v>90</v>
      </c>
      <c r="H83" t="s">
        <v>42</v>
      </c>
      <c r="I83" t="s">
        <v>33</v>
      </c>
      <c r="J83" t="s">
        <v>126</v>
      </c>
      <c r="K83">
        <v>6</v>
      </c>
      <c r="L83">
        <v>579.30999999999995</v>
      </c>
      <c r="M83" s="3">
        <v>0.2</v>
      </c>
      <c r="N83" t="str">
        <f>VLOOKUP(Table1[[#This Row],[Country]],REF_Country!$A$1:$D$11,2,FALSE)</f>
        <v>Southeast Asia</v>
      </c>
      <c r="O83" t="str">
        <f>VLOOKUP(Table1[[#This Row],[Country]],REF_Country!$A$1:$D$11,3,FALSE)</f>
        <v>MY</v>
      </c>
      <c r="P83">
        <f>VLOOKUP(Table1[[#This Row],[Country]],REF_Country!$A$1:$D$11,4,FALSE)</f>
        <v>0.06</v>
      </c>
      <c r="Q83">
        <f>VLOOKUP(Table1[[#This Row],[Category]],REF_Target!$A$1:$E$6,2,FALSE)</f>
        <v>30000</v>
      </c>
      <c r="R83">
        <f>Table1[[#This Row],[Quantity]]*Table1[[#This Row],[Unit_Price]]</f>
        <v>3475.8599999999997</v>
      </c>
      <c r="S83">
        <f>Table1[[#This Row],[Gross_Sales]]*Table1[[#This Row],[Discount_Rate]]</f>
        <v>695.17200000000003</v>
      </c>
      <c r="T83">
        <f>Table1[[#This Row],[Gross_Sales]]-Table1[[#This Row],[Discount_Amount]]</f>
        <v>2780.6879999999996</v>
      </c>
      <c r="U83">
        <f>VLOOKUP(Table1[[#This Row],[Category]],REF_Cost!$A$1:$B$6,2,FALSE)*Table1[[#This Row],[Quantity]]</f>
        <v>1200</v>
      </c>
      <c r="V83">
        <f>Table1[[#This Row],[Net_Sales]]-Table1[[#This Row],[Total_Cost]]</f>
        <v>1580.6879999999996</v>
      </c>
      <c r="W83" t="str">
        <f>TEXT(Table1[[#This Row],[Order_Date]],"mmm")</f>
        <v>Dec</v>
      </c>
      <c r="X83">
        <f>ROUNDUP(MONTH(Table1[[#This Row],[Order_Date]])/3,0)</f>
        <v>4</v>
      </c>
      <c r="Y83">
        <f>YEAR(Table1[[#This Row],[Order_Date]])</f>
        <v>2024</v>
      </c>
    </row>
    <row r="84" spans="1:25" x14ac:dyDescent="0.25">
      <c r="A84" t="s">
        <v>404</v>
      </c>
      <c r="B84" t="s">
        <v>405</v>
      </c>
      <c r="C84" t="s">
        <v>406</v>
      </c>
      <c r="D84" t="s">
        <v>407</v>
      </c>
      <c r="E84" t="s">
        <v>29</v>
      </c>
      <c r="F84" t="s">
        <v>30</v>
      </c>
      <c r="G84" t="s">
        <v>269</v>
      </c>
      <c r="H84" t="s">
        <v>32</v>
      </c>
      <c r="I84" t="s">
        <v>96</v>
      </c>
      <c r="J84" t="s">
        <v>73</v>
      </c>
      <c r="K84">
        <v>2</v>
      </c>
      <c r="L84">
        <v>659.45</v>
      </c>
      <c r="M84" s="3">
        <v>0.2</v>
      </c>
      <c r="N84" t="str">
        <f>VLOOKUP(Table1[[#This Row],[Country]],REF_Country!$A$1:$D$11,2,FALSE)</f>
        <v>Southeast Asia</v>
      </c>
      <c r="O84" t="str">
        <f>VLOOKUP(Table1[[#This Row],[Country]],REF_Country!$A$1:$D$11,3,FALSE)</f>
        <v>VN</v>
      </c>
      <c r="P84">
        <f>VLOOKUP(Table1[[#This Row],[Country]],REF_Country!$A$1:$D$11,4,FALSE)</f>
        <v>0.1</v>
      </c>
      <c r="Q84">
        <f>VLOOKUP(Table1[[#This Row],[Category]],REF_Target!$A$1:$E$6,2,FALSE)</f>
        <v>40000</v>
      </c>
      <c r="R84">
        <f>Table1[[#This Row],[Quantity]]*Table1[[#This Row],[Unit_Price]]</f>
        <v>1318.9</v>
      </c>
      <c r="S84">
        <f>Table1[[#This Row],[Gross_Sales]]*Table1[[#This Row],[Discount_Rate]]</f>
        <v>263.78000000000003</v>
      </c>
      <c r="T84">
        <f>Table1[[#This Row],[Gross_Sales]]-Table1[[#This Row],[Discount_Amount]]</f>
        <v>1055.1200000000001</v>
      </c>
      <c r="U84">
        <f>VLOOKUP(Table1[[#This Row],[Category]],REF_Cost!$A$1:$B$6,2,FALSE)*Table1[[#This Row],[Quantity]]</f>
        <v>240</v>
      </c>
      <c r="V84">
        <f>Table1[[#This Row],[Net_Sales]]-Table1[[#This Row],[Total_Cost]]</f>
        <v>815.12000000000012</v>
      </c>
      <c r="W84" t="str">
        <f>TEXT(Table1[[#This Row],[Order_Date]],"mmm")</f>
        <v>Feb</v>
      </c>
      <c r="X84">
        <f>ROUNDUP(MONTH(Table1[[#This Row],[Order_Date]])/3,0)</f>
        <v>1</v>
      </c>
      <c r="Y84">
        <f>YEAR(Table1[[#This Row],[Order_Date]])</f>
        <v>2024</v>
      </c>
    </row>
    <row r="85" spans="1:25" x14ac:dyDescent="0.25">
      <c r="A85" t="s">
        <v>408</v>
      </c>
      <c r="B85" t="s">
        <v>409</v>
      </c>
      <c r="C85" t="s">
        <v>410</v>
      </c>
      <c r="D85" t="s">
        <v>411</v>
      </c>
      <c r="E85" t="s">
        <v>64</v>
      </c>
      <c r="F85" t="s">
        <v>84</v>
      </c>
      <c r="G85" t="s">
        <v>412</v>
      </c>
      <c r="H85" t="s">
        <v>42</v>
      </c>
      <c r="I85" t="s">
        <v>33</v>
      </c>
      <c r="J85" t="s">
        <v>73</v>
      </c>
      <c r="K85">
        <v>3</v>
      </c>
      <c r="L85">
        <v>571.64</v>
      </c>
      <c r="M85" s="3">
        <v>0</v>
      </c>
      <c r="N85" t="str">
        <f>VLOOKUP(Table1[[#This Row],[Country]],REF_Country!$A$1:$D$11,2,FALSE)</f>
        <v>Southeast Asia</v>
      </c>
      <c r="O85" t="str">
        <f>VLOOKUP(Table1[[#This Row],[Country]],REF_Country!$A$1:$D$11,3,FALSE)</f>
        <v>ID</v>
      </c>
      <c r="P85">
        <f>VLOOKUP(Table1[[#This Row],[Country]],REF_Country!$A$1:$D$11,4,FALSE)</f>
        <v>0.11</v>
      </c>
      <c r="Q85">
        <f>VLOOKUP(Table1[[#This Row],[Category]],REF_Target!$A$1:$E$6,2,FALSE)</f>
        <v>30000</v>
      </c>
      <c r="R85">
        <f>Table1[[#This Row],[Quantity]]*Table1[[#This Row],[Unit_Price]]</f>
        <v>1714.92</v>
      </c>
      <c r="S85">
        <f>Table1[[#This Row],[Gross_Sales]]*Table1[[#This Row],[Discount_Rate]]</f>
        <v>0</v>
      </c>
      <c r="T85">
        <f>Table1[[#This Row],[Gross_Sales]]-Table1[[#This Row],[Discount_Amount]]</f>
        <v>1714.92</v>
      </c>
      <c r="U85">
        <f>VLOOKUP(Table1[[#This Row],[Category]],REF_Cost!$A$1:$B$6,2,FALSE)*Table1[[#This Row],[Quantity]]</f>
        <v>600</v>
      </c>
      <c r="V85">
        <f>Table1[[#This Row],[Net_Sales]]-Table1[[#This Row],[Total_Cost]]</f>
        <v>1114.92</v>
      </c>
      <c r="W85" t="str">
        <f>TEXT(Table1[[#This Row],[Order_Date]],"mmm")</f>
        <v>Jan</v>
      </c>
      <c r="X85">
        <f>ROUNDUP(MONTH(Table1[[#This Row],[Order_Date]])/3,0)</f>
        <v>1</v>
      </c>
      <c r="Y85">
        <f>YEAR(Table1[[#This Row],[Order_Date]])</f>
        <v>2024</v>
      </c>
    </row>
    <row r="86" spans="1:25" x14ac:dyDescent="0.25">
      <c r="A86" t="s">
        <v>413</v>
      </c>
      <c r="B86" t="s">
        <v>414</v>
      </c>
      <c r="C86" t="s">
        <v>415</v>
      </c>
      <c r="D86" t="s">
        <v>416</v>
      </c>
      <c r="E86" t="s">
        <v>149</v>
      </c>
      <c r="F86" t="s">
        <v>40</v>
      </c>
      <c r="G86" t="s">
        <v>106</v>
      </c>
      <c r="H86" t="s">
        <v>72</v>
      </c>
      <c r="I86" t="s">
        <v>96</v>
      </c>
      <c r="J86" t="s">
        <v>59</v>
      </c>
      <c r="K86">
        <v>10</v>
      </c>
      <c r="L86">
        <v>754.04</v>
      </c>
      <c r="M86" s="3">
        <v>0</v>
      </c>
      <c r="N86" t="str">
        <f>VLOOKUP(Table1[[#This Row],[Country]],REF_Country!$A$1:$D$11,2,FALSE)</f>
        <v>East Asia</v>
      </c>
      <c r="O86" t="str">
        <f>VLOOKUP(Table1[[#This Row],[Country]],REF_Country!$A$1:$D$11,3,FALSE)</f>
        <v>JP</v>
      </c>
      <c r="P86">
        <f>VLOOKUP(Table1[[#This Row],[Country]],REF_Country!$A$1:$D$11,4,FALSE)</f>
        <v>0.1</v>
      </c>
      <c r="Q86">
        <f>VLOOKUP(Table1[[#This Row],[Category]],REF_Target!$A$1:$E$6,2,FALSE)</f>
        <v>45000</v>
      </c>
      <c r="R86">
        <f>Table1[[#This Row],[Quantity]]*Table1[[#This Row],[Unit_Price]]</f>
        <v>7540.4</v>
      </c>
      <c r="S86">
        <f>Table1[[#This Row],[Gross_Sales]]*Table1[[#This Row],[Discount_Rate]]</f>
        <v>0</v>
      </c>
      <c r="T86">
        <f>Table1[[#This Row],[Gross_Sales]]-Table1[[#This Row],[Discount_Amount]]</f>
        <v>7540.4</v>
      </c>
      <c r="U86">
        <f>VLOOKUP(Table1[[#This Row],[Category]],REF_Cost!$A$1:$B$6,2,FALSE)*Table1[[#This Row],[Quantity]]</f>
        <v>800</v>
      </c>
      <c r="V86">
        <f>Table1[[#This Row],[Net_Sales]]-Table1[[#This Row],[Total_Cost]]</f>
        <v>6740.4</v>
      </c>
      <c r="W86" t="str">
        <f>TEXT(Table1[[#This Row],[Order_Date]],"mmm")</f>
        <v>Mar</v>
      </c>
      <c r="X86">
        <f>ROUNDUP(MONTH(Table1[[#This Row],[Order_Date]])/3,0)</f>
        <v>1</v>
      </c>
      <c r="Y86">
        <f>YEAR(Table1[[#This Row],[Order_Date]])</f>
        <v>2024</v>
      </c>
    </row>
    <row r="87" spans="1:25" x14ac:dyDescent="0.25">
      <c r="A87" t="s">
        <v>417</v>
      </c>
      <c r="B87" t="s">
        <v>418</v>
      </c>
      <c r="C87" t="s">
        <v>419</v>
      </c>
      <c r="D87" t="s">
        <v>420</v>
      </c>
      <c r="E87" t="s">
        <v>200</v>
      </c>
      <c r="F87" t="s">
        <v>84</v>
      </c>
      <c r="G87" t="s">
        <v>90</v>
      </c>
      <c r="H87" t="s">
        <v>58</v>
      </c>
      <c r="I87" t="s">
        <v>96</v>
      </c>
      <c r="J87" t="s">
        <v>59</v>
      </c>
      <c r="K87">
        <v>8</v>
      </c>
      <c r="L87">
        <v>249.59</v>
      </c>
      <c r="M87" s="3">
        <v>0.05</v>
      </c>
      <c r="N87" t="str">
        <f>VLOOKUP(Table1[[#This Row],[Country]],REF_Country!$A$1:$D$11,2,FALSE)</f>
        <v>East Asia</v>
      </c>
      <c r="O87" t="str">
        <f>VLOOKUP(Table1[[#This Row],[Country]],REF_Country!$A$1:$D$11,3,FALSE)</f>
        <v>KR</v>
      </c>
      <c r="P87">
        <f>VLOOKUP(Table1[[#This Row],[Country]],REF_Country!$A$1:$D$11,4,FALSE)</f>
        <v>0.1</v>
      </c>
      <c r="Q87">
        <f>VLOOKUP(Table1[[#This Row],[Category]],REF_Target!$A$1:$E$6,2,FALSE)</f>
        <v>30000</v>
      </c>
      <c r="R87">
        <f>Table1[[#This Row],[Quantity]]*Table1[[#This Row],[Unit_Price]]</f>
        <v>1996.72</v>
      </c>
      <c r="S87">
        <f>Table1[[#This Row],[Gross_Sales]]*Table1[[#This Row],[Discount_Rate]]</f>
        <v>99.836000000000013</v>
      </c>
      <c r="T87">
        <f>Table1[[#This Row],[Gross_Sales]]-Table1[[#This Row],[Discount_Amount]]</f>
        <v>1896.884</v>
      </c>
      <c r="U87">
        <f>VLOOKUP(Table1[[#This Row],[Category]],REF_Cost!$A$1:$B$6,2,FALSE)*Table1[[#This Row],[Quantity]]</f>
        <v>1600</v>
      </c>
      <c r="V87">
        <f>Table1[[#This Row],[Net_Sales]]-Table1[[#This Row],[Total_Cost]]</f>
        <v>296.88400000000001</v>
      </c>
      <c r="W87" t="str">
        <f>TEXT(Table1[[#This Row],[Order_Date]],"mmm")</f>
        <v>May</v>
      </c>
      <c r="X87">
        <f>ROUNDUP(MONTH(Table1[[#This Row],[Order_Date]])/3,0)</f>
        <v>2</v>
      </c>
      <c r="Y87">
        <f>YEAR(Table1[[#This Row],[Order_Date]])</f>
        <v>2024</v>
      </c>
    </row>
    <row r="88" spans="1:25" x14ac:dyDescent="0.25">
      <c r="A88" t="s">
        <v>421</v>
      </c>
      <c r="B88" t="s">
        <v>422</v>
      </c>
      <c r="C88" t="s">
        <v>423</v>
      </c>
      <c r="D88" t="s">
        <v>424</v>
      </c>
      <c r="E88" t="s">
        <v>200</v>
      </c>
      <c r="F88" t="s">
        <v>56</v>
      </c>
      <c r="G88" t="s">
        <v>95</v>
      </c>
      <c r="H88" t="s">
        <v>58</v>
      </c>
      <c r="I88" t="s">
        <v>66</v>
      </c>
      <c r="J88" t="s">
        <v>126</v>
      </c>
      <c r="K88">
        <v>6</v>
      </c>
      <c r="L88">
        <v>581.33000000000004</v>
      </c>
      <c r="M88" s="3">
        <v>0.15</v>
      </c>
      <c r="N88" t="str">
        <f>VLOOKUP(Table1[[#This Row],[Country]],REF_Country!$A$1:$D$11,2,FALSE)</f>
        <v>East Asia</v>
      </c>
      <c r="O88" t="str">
        <f>VLOOKUP(Table1[[#This Row],[Country]],REF_Country!$A$1:$D$11,3,FALSE)</f>
        <v>KR</v>
      </c>
      <c r="P88">
        <f>VLOOKUP(Table1[[#This Row],[Country]],REF_Country!$A$1:$D$11,4,FALSE)</f>
        <v>0.1</v>
      </c>
      <c r="Q88">
        <f>VLOOKUP(Table1[[#This Row],[Category]],REF_Target!$A$1:$E$6,2,FALSE)</f>
        <v>50000</v>
      </c>
      <c r="R88">
        <f>Table1[[#This Row],[Quantity]]*Table1[[#This Row],[Unit_Price]]</f>
        <v>3487.9800000000005</v>
      </c>
      <c r="S88">
        <f>Table1[[#This Row],[Gross_Sales]]*Table1[[#This Row],[Discount_Rate]]</f>
        <v>523.197</v>
      </c>
      <c r="T88">
        <f>Table1[[#This Row],[Gross_Sales]]-Table1[[#This Row],[Discount_Amount]]</f>
        <v>2964.7830000000004</v>
      </c>
      <c r="U88">
        <f>VLOOKUP(Table1[[#This Row],[Category]],REF_Cost!$A$1:$B$6,2,FALSE)*Table1[[#This Row],[Quantity]]</f>
        <v>2700</v>
      </c>
      <c r="V88">
        <f>Table1[[#This Row],[Net_Sales]]-Table1[[#This Row],[Total_Cost]]</f>
        <v>264.78300000000036</v>
      </c>
      <c r="W88" t="str">
        <f>TEXT(Table1[[#This Row],[Order_Date]],"mmm")</f>
        <v>Jun</v>
      </c>
      <c r="X88">
        <f>ROUNDUP(MONTH(Table1[[#This Row],[Order_Date]])/3,0)</f>
        <v>2</v>
      </c>
      <c r="Y88">
        <f>YEAR(Table1[[#This Row],[Order_Date]])</f>
        <v>2024</v>
      </c>
    </row>
    <row r="89" spans="1:25" x14ac:dyDescent="0.25">
      <c r="A89" t="s">
        <v>425</v>
      </c>
      <c r="B89" t="s">
        <v>426</v>
      </c>
      <c r="C89" t="s">
        <v>427</v>
      </c>
      <c r="D89" t="s">
        <v>428</v>
      </c>
      <c r="E89" t="s">
        <v>83</v>
      </c>
      <c r="F89" t="s">
        <v>56</v>
      </c>
      <c r="G89" t="s">
        <v>111</v>
      </c>
      <c r="H89" t="s">
        <v>58</v>
      </c>
      <c r="I89" t="s">
        <v>43</v>
      </c>
      <c r="J89" t="s">
        <v>73</v>
      </c>
      <c r="K89">
        <v>5</v>
      </c>
      <c r="L89">
        <v>1121.58</v>
      </c>
      <c r="M89" s="3">
        <v>0</v>
      </c>
      <c r="N89" t="str">
        <f>VLOOKUP(Table1[[#This Row],[Country]],REF_Country!$A$1:$D$11,2,FALSE)</f>
        <v>South Asia</v>
      </c>
      <c r="O89" t="str">
        <f>VLOOKUP(Table1[[#This Row],[Country]],REF_Country!$A$1:$D$11,3,FALSE)</f>
        <v>IN</v>
      </c>
      <c r="P89">
        <f>VLOOKUP(Table1[[#This Row],[Country]],REF_Country!$A$1:$D$11,4,FALSE)</f>
        <v>0.18</v>
      </c>
      <c r="Q89">
        <f>VLOOKUP(Table1[[#This Row],[Category]],REF_Target!$A$1:$E$6,2,FALSE)</f>
        <v>50000</v>
      </c>
      <c r="R89">
        <f>Table1[[#This Row],[Quantity]]*Table1[[#This Row],[Unit_Price]]</f>
        <v>5607.9</v>
      </c>
      <c r="S89">
        <f>Table1[[#This Row],[Gross_Sales]]*Table1[[#This Row],[Discount_Rate]]</f>
        <v>0</v>
      </c>
      <c r="T89">
        <f>Table1[[#This Row],[Gross_Sales]]-Table1[[#This Row],[Discount_Amount]]</f>
        <v>5607.9</v>
      </c>
      <c r="U89">
        <f>VLOOKUP(Table1[[#This Row],[Category]],REF_Cost!$A$1:$B$6,2,FALSE)*Table1[[#This Row],[Quantity]]</f>
        <v>2250</v>
      </c>
      <c r="V89">
        <f>Table1[[#This Row],[Net_Sales]]-Table1[[#This Row],[Total_Cost]]</f>
        <v>3357.8999999999996</v>
      </c>
      <c r="W89" t="str">
        <f>TEXT(Table1[[#This Row],[Order_Date]],"mmm")</f>
        <v>Jul</v>
      </c>
      <c r="X89">
        <f>ROUNDUP(MONTH(Table1[[#This Row],[Order_Date]])/3,0)</f>
        <v>3</v>
      </c>
      <c r="Y89">
        <f>YEAR(Table1[[#This Row],[Order_Date]])</f>
        <v>2024</v>
      </c>
    </row>
    <row r="90" spans="1:25" x14ac:dyDescent="0.25">
      <c r="A90" t="s">
        <v>429</v>
      </c>
      <c r="B90" t="s">
        <v>430</v>
      </c>
      <c r="C90" t="s">
        <v>431</v>
      </c>
      <c r="D90" t="s">
        <v>432</v>
      </c>
      <c r="E90" t="s">
        <v>48</v>
      </c>
      <c r="F90" t="s">
        <v>56</v>
      </c>
      <c r="G90" t="s">
        <v>101</v>
      </c>
      <c r="H90" t="s">
        <v>58</v>
      </c>
      <c r="I90" t="s">
        <v>43</v>
      </c>
      <c r="J90" t="s">
        <v>126</v>
      </c>
      <c r="K90">
        <v>8</v>
      </c>
      <c r="L90">
        <v>473.77</v>
      </c>
      <c r="M90" s="3">
        <v>0</v>
      </c>
      <c r="N90" t="str">
        <f>VLOOKUP(Table1[[#This Row],[Country]],REF_Country!$A$1:$D$11,2,FALSE)</f>
        <v>Southeast Asia</v>
      </c>
      <c r="O90" t="str">
        <f>VLOOKUP(Table1[[#This Row],[Country]],REF_Country!$A$1:$D$11,3,FALSE)</f>
        <v>SG</v>
      </c>
      <c r="P90">
        <f>VLOOKUP(Table1[[#This Row],[Country]],REF_Country!$A$1:$D$11,4,FALSE)</f>
        <v>7.0000000000000007E-2</v>
      </c>
      <c r="Q90">
        <f>VLOOKUP(Table1[[#This Row],[Category]],REF_Target!$A$1:$E$6,2,FALSE)</f>
        <v>50000</v>
      </c>
      <c r="R90">
        <f>Table1[[#This Row],[Quantity]]*Table1[[#This Row],[Unit_Price]]</f>
        <v>3790.16</v>
      </c>
      <c r="S90">
        <f>Table1[[#This Row],[Gross_Sales]]*Table1[[#This Row],[Discount_Rate]]</f>
        <v>0</v>
      </c>
      <c r="T90">
        <f>Table1[[#This Row],[Gross_Sales]]-Table1[[#This Row],[Discount_Amount]]</f>
        <v>3790.16</v>
      </c>
      <c r="U90">
        <f>VLOOKUP(Table1[[#This Row],[Category]],REF_Cost!$A$1:$B$6,2,FALSE)*Table1[[#This Row],[Quantity]]</f>
        <v>3600</v>
      </c>
      <c r="V90">
        <f>Table1[[#This Row],[Net_Sales]]-Table1[[#This Row],[Total_Cost]]</f>
        <v>190.15999999999985</v>
      </c>
      <c r="W90" t="str">
        <f>TEXT(Table1[[#This Row],[Order_Date]],"mmm")</f>
        <v>May</v>
      </c>
      <c r="X90">
        <f>ROUNDUP(MONTH(Table1[[#This Row],[Order_Date]])/3,0)</f>
        <v>2</v>
      </c>
      <c r="Y90">
        <f>YEAR(Table1[[#This Row],[Order_Date]])</f>
        <v>2024</v>
      </c>
    </row>
    <row r="91" spans="1:25" x14ac:dyDescent="0.25">
      <c r="A91" t="s">
        <v>433</v>
      </c>
      <c r="B91" t="s">
        <v>434</v>
      </c>
      <c r="C91" t="s">
        <v>435</v>
      </c>
      <c r="D91" t="s">
        <v>436</v>
      </c>
      <c r="E91" t="s">
        <v>48</v>
      </c>
      <c r="F91" t="s">
        <v>30</v>
      </c>
      <c r="G91" t="s">
        <v>31</v>
      </c>
      <c r="H91" t="s">
        <v>58</v>
      </c>
      <c r="I91" t="s">
        <v>43</v>
      </c>
      <c r="J91" t="s">
        <v>59</v>
      </c>
      <c r="K91">
        <v>6</v>
      </c>
      <c r="L91">
        <v>1182.97</v>
      </c>
      <c r="M91" s="3">
        <v>0.15</v>
      </c>
      <c r="N91" t="str">
        <f>VLOOKUP(Table1[[#This Row],[Country]],REF_Country!$A$1:$D$11,2,FALSE)</f>
        <v>Southeast Asia</v>
      </c>
      <c r="O91" t="str">
        <f>VLOOKUP(Table1[[#This Row],[Country]],REF_Country!$A$1:$D$11,3,FALSE)</f>
        <v>SG</v>
      </c>
      <c r="P91">
        <f>VLOOKUP(Table1[[#This Row],[Country]],REF_Country!$A$1:$D$11,4,FALSE)</f>
        <v>7.0000000000000007E-2</v>
      </c>
      <c r="Q91">
        <f>VLOOKUP(Table1[[#This Row],[Category]],REF_Target!$A$1:$E$6,2,FALSE)</f>
        <v>40000</v>
      </c>
      <c r="R91">
        <f>Table1[[#This Row],[Quantity]]*Table1[[#This Row],[Unit_Price]]</f>
        <v>7097.82</v>
      </c>
      <c r="S91">
        <f>Table1[[#This Row],[Gross_Sales]]*Table1[[#This Row],[Discount_Rate]]</f>
        <v>1064.673</v>
      </c>
      <c r="T91">
        <f>Table1[[#This Row],[Gross_Sales]]-Table1[[#This Row],[Discount_Amount]]</f>
        <v>6033.1469999999999</v>
      </c>
      <c r="U91">
        <f>VLOOKUP(Table1[[#This Row],[Category]],REF_Cost!$A$1:$B$6,2,FALSE)*Table1[[#This Row],[Quantity]]</f>
        <v>720</v>
      </c>
      <c r="V91">
        <f>Table1[[#This Row],[Net_Sales]]-Table1[[#This Row],[Total_Cost]]</f>
        <v>5313.1469999999999</v>
      </c>
      <c r="W91" t="str">
        <f>TEXT(Table1[[#This Row],[Order_Date]],"mmm")</f>
        <v>Jun</v>
      </c>
      <c r="X91">
        <f>ROUNDUP(MONTH(Table1[[#This Row],[Order_Date]])/3,0)</f>
        <v>2</v>
      </c>
      <c r="Y91">
        <f>YEAR(Table1[[#This Row],[Order_Date]])</f>
        <v>2024</v>
      </c>
    </row>
    <row r="92" spans="1:25" x14ac:dyDescent="0.25">
      <c r="A92" t="s">
        <v>437</v>
      </c>
      <c r="B92" t="s">
        <v>438</v>
      </c>
      <c r="C92" t="s">
        <v>439</v>
      </c>
      <c r="D92" t="s">
        <v>440</v>
      </c>
      <c r="E92" t="s">
        <v>71</v>
      </c>
      <c r="F92" t="s">
        <v>56</v>
      </c>
      <c r="G92" t="s">
        <v>57</v>
      </c>
      <c r="H92" t="s">
        <v>42</v>
      </c>
      <c r="I92" t="s">
        <v>33</v>
      </c>
      <c r="J92" t="s">
        <v>59</v>
      </c>
      <c r="K92">
        <v>3</v>
      </c>
      <c r="L92">
        <v>1444.9</v>
      </c>
      <c r="M92" s="3">
        <v>0</v>
      </c>
      <c r="N92" t="str">
        <f>VLOOKUP(Table1[[#This Row],[Country]],REF_Country!$A$1:$D$11,2,FALSE)</f>
        <v>Southeast Asia</v>
      </c>
      <c r="O92" t="str">
        <f>VLOOKUP(Table1[[#This Row],[Country]],REF_Country!$A$1:$D$11,3,FALSE)</f>
        <v>PH</v>
      </c>
      <c r="P92">
        <f>VLOOKUP(Table1[[#This Row],[Country]],REF_Country!$A$1:$D$11,4,FALSE)</f>
        <v>0.12</v>
      </c>
      <c r="Q92">
        <f>VLOOKUP(Table1[[#This Row],[Category]],REF_Target!$A$1:$E$6,2,FALSE)</f>
        <v>50000</v>
      </c>
      <c r="R92">
        <f>Table1[[#This Row],[Quantity]]*Table1[[#This Row],[Unit_Price]]</f>
        <v>4334.7000000000007</v>
      </c>
      <c r="S92">
        <f>Table1[[#This Row],[Gross_Sales]]*Table1[[#This Row],[Discount_Rate]]</f>
        <v>0</v>
      </c>
      <c r="T92">
        <f>Table1[[#This Row],[Gross_Sales]]-Table1[[#This Row],[Discount_Amount]]</f>
        <v>4334.7000000000007</v>
      </c>
      <c r="U92">
        <f>VLOOKUP(Table1[[#This Row],[Category]],REF_Cost!$A$1:$B$6,2,FALSE)*Table1[[#This Row],[Quantity]]</f>
        <v>1350</v>
      </c>
      <c r="V92">
        <f>Table1[[#This Row],[Net_Sales]]-Table1[[#This Row],[Total_Cost]]</f>
        <v>2984.7000000000007</v>
      </c>
      <c r="W92" t="str">
        <f>TEXT(Table1[[#This Row],[Order_Date]],"mmm")</f>
        <v>May</v>
      </c>
      <c r="X92">
        <f>ROUNDUP(MONTH(Table1[[#This Row],[Order_Date]])/3,0)</f>
        <v>2</v>
      </c>
      <c r="Y92">
        <f>YEAR(Table1[[#This Row],[Order_Date]])</f>
        <v>2024</v>
      </c>
    </row>
    <row r="93" spans="1:25" x14ac:dyDescent="0.25">
      <c r="A93" t="s">
        <v>441</v>
      </c>
      <c r="B93" t="s">
        <v>442</v>
      </c>
      <c r="C93" t="s">
        <v>443</v>
      </c>
      <c r="D93" t="s">
        <v>444</v>
      </c>
      <c r="E93" t="s">
        <v>78</v>
      </c>
      <c r="F93" t="s">
        <v>56</v>
      </c>
      <c r="G93" t="s">
        <v>57</v>
      </c>
      <c r="H93" t="s">
        <v>42</v>
      </c>
      <c r="I93" t="s">
        <v>66</v>
      </c>
      <c r="J93" t="s">
        <v>126</v>
      </c>
      <c r="K93">
        <v>5</v>
      </c>
      <c r="L93">
        <v>562.35</v>
      </c>
      <c r="M93" s="3">
        <v>0.15</v>
      </c>
      <c r="N93" t="str">
        <f>VLOOKUP(Table1[[#This Row],[Country]],REF_Country!$A$1:$D$11,2,FALSE)</f>
        <v>Oceania</v>
      </c>
      <c r="O93" t="str">
        <f>VLOOKUP(Table1[[#This Row],[Country]],REF_Country!$A$1:$D$11,3,FALSE)</f>
        <v>AU</v>
      </c>
      <c r="P93">
        <f>VLOOKUP(Table1[[#This Row],[Country]],REF_Country!$A$1:$D$11,4,FALSE)</f>
        <v>0.1</v>
      </c>
      <c r="Q93">
        <f>VLOOKUP(Table1[[#This Row],[Category]],REF_Target!$A$1:$E$6,2,FALSE)</f>
        <v>50000</v>
      </c>
      <c r="R93">
        <f>Table1[[#This Row],[Quantity]]*Table1[[#This Row],[Unit_Price]]</f>
        <v>2811.75</v>
      </c>
      <c r="S93">
        <f>Table1[[#This Row],[Gross_Sales]]*Table1[[#This Row],[Discount_Rate]]</f>
        <v>421.76249999999999</v>
      </c>
      <c r="T93">
        <f>Table1[[#This Row],[Gross_Sales]]-Table1[[#This Row],[Discount_Amount]]</f>
        <v>2389.9875000000002</v>
      </c>
      <c r="U93">
        <f>VLOOKUP(Table1[[#This Row],[Category]],REF_Cost!$A$1:$B$6,2,FALSE)*Table1[[#This Row],[Quantity]]</f>
        <v>2250</v>
      </c>
      <c r="V93">
        <f>Table1[[#This Row],[Net_Sales]]-Table1[[#This Row],[Total_Cost]]</f>
        <v>139.98750000000018</v>
      </c>
      <c r="W93" t="str">
        <f>TEXT(Table1[[#This Row],[Order_Date]],"mmm")</f>
        <v>Jul</v>
      </c>
      <c r="X93">
        <f>ROUNDUP(MONTH(Table1[[#This Row],[Order_Date]])/3,0)</f>
        <v>3</v>
      </c>
      <c r="Y93">
        <f>YEAR(Table1[[#This Row],[Order_Date]])</f>
        <v>2024</v>
      </c>
    </row>
    <row r="94" spans="1:25" x14ac:dyDescent="0.25">
      <c r="A94" t="s">
        <v>445</v>
      </c>
      <c r="B94" t="s">
        <v>446</v>
      </c>
      <c r="C94" t="s">
        <v>447</v>
      </c>
      <c r="D94" t="s">
        <v>448</v>
      </c>
      <c r="E94" t="s">
        <v>83</v>
      </c>
      <c r="F94" t="s">
        <v>40</v>
      </c>
      <c r="G94" t="s">
        <v>315</v>
      </c>
      <c r="H94" t="s">
        <v>32</v>
      </c>
      <c r="I94" t="s">
        <v>96</v>
      </c>
      <c r="J94" t="s">
        <v>59</v>
      </c>
      <c r="K94">
        <v>4</v>
      </c>
      <c r="L94">
        <v>1374.16</v>
      </c>
      <c r="M94" s="3">
        <v>0.2</v>
      </c>
      <c r="N94" t="str">
        <f>VLOOKUP(Table1[[#This Row],[Country]],REF_Country!$A$1:$D$11,2,FALSE)</f>
        <v>South Asia</v>
      </c>
      <c r="O94" t="str">
        <f>VLOOKUP(Table1[[#This Row],[Country]],REF_Country!$A$1:$D$11,3,FALSE)</f>
        <v>IN</v>
      </c>
      <c r="P94">
        <f>VLOOKUP(Table1[[#This Row],[Country]],REF_Country!$A$1:$D$11,4,FALSE)</f>
        <v>0.18</v>
      </c>
      <c r="Q94">
        <f>VLOOKUP(Table1[[#This Row],[Category]],REF_Target!$A$1:$E$6,2,FALSE)</f>
        <v>45000</v>
      </c>
      <c r="R94">
        <f>Table1[[#This Row],[Quantity]]*Table1[[#This Row],[Unit_Price]]</f>
        <v>5496.64</v>
      </c>
      <c r="S94">
        <f>Table1[[#This Row],[Gross_Sales]]*Table1[[#This Row],[Discount_Rate]]</f>
        <v>1099.3280000000002</v>
      </c>
      <c r="T94">
        <f>Table1[[#This Row],[Gross_Sales]]-Table1[[#This Row],[Discount_Amount]]</f>
        <v>4397.3119999999999</v>
      </c>
      <c r="U94">
        <f>VLOOKUP(Table1[[#This Row],[Category]],REF_Cost!$A$1:$B$6,2,FALSE)*Table1[[#This Row],[Quantity]]</f>
        <v>320</v>
      </c>
      <c r="V94">
        <f>Table1[[#This Row],[Net_Sales]]-Table1[[#This Row],[Total_Cost]]</f>
        <v>4077.3119999999999</v>
      </c>
      <c r="W94" t="str">
        <f>TEXT(Table1[[#This Row],[Order_Date]],"mmm")</f>
        <v>Apr</v>
      </c>
      <c r="X94">
        <f>ROUNDUP(MONTH(Table1[[#This Row],[Order_Date]])/3,0)</f>
        <v>2</v>
      </c>
      <c r="Y94">
        <f>YEAR(Table1[[#This Row],[Order_Date]])</f>
        <v>2024</v>
      </c>
    </row>
    <row r="95" spans="1:25" x14ac:dyDescent="0.25">
      <c r="A95" t="s">
        <v>449</v>
      </c>
      <c r="B95" t="s">
        <v>450</v>
      </c>
      <c r="C95" t="s">
        <v>451</v>
      </c>
      <c r="D95" t="s">
        <v>452</v>
      </c>
      <c r="E95" t="s">
        <v>64</v>
      </c>
      <c r="F95" t="s">
        <v>56</v>
      </c>
      <c r="G95" t="s">
        <v>190</v>
      </c>
      <c r="H95" t="s">
        <v>72</v>
      </c>
      <c r="I95" t="s">
        <v>33</v>
      </c>
      <c r="J95" t="s">
        <v>73</v>
      </c>
      <c r="K95">
        <v>2</v>
      </c>
      <c r="L95">
        <v>1493.95</v>
      </c>
      <c r="M95" s="3">
        <v>0</v>
      </c>
      <c r="N95" t="str">
        <f>VLOOKUP(Table1[[#This Row],[Country]],REF_Country!$A$1:$D$11,2,FALSE)</f>
        <v>Southeast Asia</v>
      </c>
      <c r="O95" t="str">
        <f>VLOOKUP(Table1[[#This Row],[Country]],REF_Country!$A$1:$D$11,3,FALSE)</f>
        <v>ID</v>
      </c>
      <c r="P95">
        <f>VLOOKUP(Table1[[#This Row],[Country]],REF_Country!$A$1:$D$11,4,FALSE)</f>
        <v>0.11</v>
      </c>
      <c r="Q95">
        <f>VLOOKUP(Table1[[#This Row],[Category]],REF_Target!$A$1:$E$6,2,FALSE)</f>
        <v>50000</v>
      </c>
      <c r="R95">
        <f>Table1[[#This Row],[Quantity]]*Table1[[#This Row],[Unit_Price]]</f>
        <v>2987.9</v>
      </c>
      <c r="S95">
        <f>Table1[[#This Row],[Gross_Sales]]*Table1[[#This Row],[Discount_Rate]]</f>
        <v>0</v>
      </c>
      <c r="T95">
        <f>Table1[[#This Row],[Gross_Sales]]-Table1[[#This Row],[Discount_Amount]]</f>
        <v>2987.9</v>
      </c>
      <c r="U95">
        <f>VLOOKUP(Table1[[#This Row],[Category]],REF_Cost!$A$1:$B$6,2,FALSE)*Table1[[#This Row],[Quantity]]</f>
        <v>900</v>
      </c>
      <c r="V95">
        <f>Table1[[#This Row],[Net_Sales]]-Table1[[#This Row],[Total_Cost]]</f>
        <v>2087.9</v>
      </c>
      <c r="W95" t="str">
        <f>TEXT(Table1[[#This Row],[Order_Date]],"mmm")</f>
        <v>Jul</v>
      </c>
      <c r="X95">
        <f>ROUNDUP(MONTH(Table1[[#This Row],[Order_Date]])/3,0)</f>
        <v>3</v>
      </c>
      <c r="Y95">
        <f>YEAR(Table1[[#This Row],[Order_Date]])</f>
        <v>2024</v>
      </c>
    </row>
    <row r="96" spans="1:25" x14ac:dyDescent="0.25">
      <c r="A96" t="s">
        <v>453</v>
      </c>
      <c r="B96" t="s">
        <v>454</v>
      </c>
      <c r="C96" t="s">
        <v>455</v>
      </c>
      <c r="D96" t="s">
        <v>456</v>
      </c>
      <c r="E96" t="s">
        <v>78</v>
      </c>
      <c r="F96" t="s">
        <v>49</v>
      </c>
      <c r="G96" t="s">
        <v>259</v>
      </c>
      <c r="H96" t="s">
        <v>32</v>
      </c>
      <c r="I96" t="s">
        <v>96</v>
      </c>
      <c r="J96" t="s">
        <v>34</v>
      </c>
      <c r="K96">
        <v>3</v>
      </c>
      <c r="L96">
        <v>1117.27</v>
      </c>
      <c r="M96" s="3">
        <v>0.1</v>
      </c>
      <c r="N96" t="str">
        <f>VLOOKUP(Table1[[#This Row],[Country]],REF_Country!$A$1:$D$11,2,FALSE)</f>
        <v>Oceania</v>
      </c>
      <c r="O96" t="str">
        <f>VLOOKUP(Table1[[#This Row],[Country]],REF_Country!$A$1:$D$11,3,FALSE)</f>
        <v>AU</v>
      </c>
      <c r="P96">
        <f>VLOOKUP(Table1[[#This Row],[Country]],REF_Country!$A$1:$D$11,4,FALSE)</f>
        <v>0.1</v>
      </c>
      <c r="Q96">
        <f>VLOOKUP(Table1[[#This Row],[Category]],REF_Target!$A$1:$E$6,2,FALSE)</f>
        <v>35000</v>
      </c>
      <c r="R96">
        <f>Table1[[#This Row],[Quantity]]*Table1[[#This Row],[Unit_Price]]</f>
        <v>3351.81</v>
      </c>
      <c r="S96">
        <f>Table1[[#This Row],[Gross_Sales]]*Table1[[#This Row],[Discount_Rate]]</f>
        <v>335.18100000000004</v>
      </c>
      <c r="T96">
        <f>Table1[[#This Row],[Gross_Sales]]-Table1[[#This Row],[Discount_Amount]]</f>
        <v>3016.6289999999999</v>
      </c>
      <c r="U96">
        <f>VLOOKUP(Table1[[#This Row],[Category]],REF_Cost!$A$1:$B$6,2,FALSE)*Table1[[#This Row],[Quantity]]</f>
        <v>450</v>
      </c>
      <c r="V96">
        <f>Table1[[#This Row],[Net_Sales]]-Table1[[#This Row],[Total_Cost]]</f>
        <v>2566.6289999999999</v>
      </c>
      <c r="W96" t="str">
        <f>TEXT(Table1[[#This Row],[Order_Date]],"mmm")</f>
        <v>Aug</v>
      </c>
      <c r="X96">
        <f>ROUNDUP(MONTH(Table1[[#This Row],[Order_Date]])/3,0)</f>
        <v>3</v>
      </c>
      <c r="Y96">
        <f>YEAR(Table1[[#This Row],[Order_Date]])</f>
        <v>2024</v>
      </c>
    </row>
    <row r="97" spans="1:25" x14ac:dyDescent="0.25">
      <c r="A97" t="s">
        <v>457</v>
      </c>
      <c r="B97" t="s">
        <v>458</v>
      </c>
      <c r="C97" t="s">
        <v>459</v>
      </c>
      <c r="D97" t="s">
        <v>460</v>
      </c>
      <c r="E97" t="s">
        <v>39</v>
      </c>
      <c r="F97" t="s">
        <v>49</v>
      </c>
      <c r="G97" t="s">
        <v>226</v>
      </c>
      <c r="H97" t="s">
        <v>58</v>
      </c>
      <c r="I97" t="s">
        <v>33</v>
      </c>
      <c r="J97" t="s">
        <v>59</v>
      </c>
      <c r="K97">
        <v>6</v>
      </c>
      <c r="L97">
        <v>1426.57</v>
      </c>
      <c r="M97" s="3">
        <v>0</v>
      </c>
      <c r="N97" t="str">
        <f>VLOOKUP(Table1[[#This Row],[Country]],REF_Country!$A$1:$D$11,2,FALSE)</f>
        <v>Southeast Asia</v>
      </c>
      <c r="O97" t="str">
        <f>VLOOKUP(Table1[[#This Row],[Country]],REF_Country!$A$1:$D$11,3,FALSE)</f>
        <v>TH</v>
      </c>
      <c r="P97">
        <f>VLOOKUP(Table1[[#This Row],[Country]],REF_Country!$A$1:$D$11,4,FALSE)</f>
        <v>7.0000000000000007E-2</v>
      </c>
      <c r="Q97">
        <f>VLOOKUP(Table1[[#This Row],[Category]],REF_Target!$A$1:$E$6,2,FALSE)</f>
        <v>35000</v>
      </c>
      <c r="R97">
        <f>Table1[[#This Row],[Quantity]]*Table1[[#This Row],[Unit_Price]]</f>
        <v>8559.42</v>
      </c>
      <c r="S97">
        <f>Table1[[#This Row],[Gross_Sales]]*Table1[[#This Row],[Discount_Rate]]</f>
        <v>0</v>
      </c>
      <c r="T97">
        <f>Table1[[#This Row],[Gross_Sales]]-Table1[[#This Row],[Discount_Amount]]</f>
        <v>8559.42</v>
      </c>
      <c r="U97">
        <f>VLOOKUP(Table1[[#This Row],[Category]],REF_Cost!$A$1:$B$6,2,FALSE)*Table1[[#This Row],[Quantity]]</f>
        <v>900</v>
      </c>
      <c r="V97">
        <f>Table1[[#This Row],[Net_Sales]]-Table1[[#This Row],[Total_Cost]]</f>
        <v>7659.42</v>
      </c>
      <c r="W97" t="str">
        <f>TEXT(Table1[[#This Row],[Order_Date]],"mmm")</f>
        <v>Jan</v>
      </c>
      <c r="X97">
        <f>ROUNDUP(MONTH(Table1[[#This Row],[Order_Date]])/3,0)</f>
        <v>1</v>
      </c>
      <c r="Y97">
        <f>YEAR(Table1[[#This Row],[Order_Date]])</f>
        <v>2024</v>
      </c>
    </row>
    <row r="98" spans="1:25" x14ac:dyDescent="0.25">
      <c r="A98" t="s">
        <v>461</v>
      </c>
      <c r="B98" t="s">
        <v>462</v>
      </c>
      <c r="C98" t="s">
        <v>463</v>
      </c>
      <c r="D98" t="s">
        <v>464</v>
      </c>
      <c r="E98" t="s">
        <v>116</v>
      </c>
      <c r="F98" t="s">
        <v>49</v>
      </c>
      <c r="G98" t="s">
        <v>117</v>
      </c>
      <c r="H98" t="s">
        <v>32</v>
      </c>
      <c r="I98" t="s">
        <v>66</v>
      </c>
      <c r="J98" t="s">
        <v>73</v>
      </c>
      <c r="K98">
        <v>10</v>
      </c>
      <c r="L98">
        <v>999.21</v>
      </c>
      <c r="M98" s="3">
        <v>0</v>
      </c>
      <c r="N98" t="str">
        <f>VLOOKUP(Table1[[#This Row],[Country]],REF_Country!$A$1:$D$11,2,FALSE)</f>
        <v>Southeast Asia</v>
      </c>
      <c r="O98" t="str">
        <f>VLOOKUP(Table1[[#This Row],[Country]],REF_Country!$A$1:$D$11,3,FALSE)</f>
        <v>MY</v>
      </c>
      <c r="P98">
        <f>VLOOKUP(Table1[[#This Row],[Country]],REF_Country!$A$1:$D$11,4,FALSE)</f>
        <v>0.06</v>
      </c>
      <c r="Q98">
        <f>VLOOKUP(Table1[[#This Row],[Category]],REF_Target!$A$1:$E$6,2,FALSE)</f>
        <v>35000</v>
      </c>
      <c r="R98">
        <f>Table1[[#This Row],[Quantity]]*Table1[[#This Row],[Unit_Price]]</f>
        <v>9992.1</v>
      </c>
      <c r="S98">
        <f>Table1[[#This Row],[Gross_Sales]]*Table1[[#This Row],[Discount_Rate]]</f>
        <v>0</v>
      </c>
      <c r="T98">
        <f>Table1[[#This Row],[Gross_Sales]]-Table1[[#This Row],[Discount_Amount]]</f>
        <v>9992.1</v>
      </c>
      <c r="U98">
        <f>VLOOKUP(Table1[[#This Row],[Category]],REF_Cost!$A$1:$B$6,2,FALSE)*Table1[[#This Row],[Quantity]]</f>
        <v>1500</v>
      </c>
      <c r="V98">
        <f>Table1[[#This Row],[Net_Sales]]-Table1[[#This Row],[Total_Cost]]</f>
        <v>8492.1</v>
      </c>
      <c r="W98" t="str">
        <f>TEXT(Table1[[#This Row],[Order_Date]],"mmm")</f>
        <v>Jul</v>
      </c>
      <c r="X98">
        <f>ROUNDUP(MONTH(Table1[[#This Row],[Order_Date]])/3,0)</f>
        <v>3</v>
      </c>
      <c r="Y98">
        <f>YEAR(Table1[[#This Row],[Order_Date]])</f>
        <v>2024</v>
      </c>
    </row>
    <row r="99" spans="1:25" x14ac:dyDescent="0.25">
      <c r="A99" t="s">
        <v>465</v>
      </c>
      <c r="B99" t="s">
        <v>466</v>
      </c>
      <c r="C99" t="s">
        <v>467</v>
      </c>
      <c r="D99" t="s">
        <v>468</v>
      </c>
      <c r="E99" t="s">
        <v>78</v>
      </c>
      <c r="F99" t="s">
        <v>30</v>
      </c>
      <c r="G99" t="s">
        <v>139</v>
      </c>
      <c r="H99" t="s">
        <v>72</v>
      </c>
      <c r="I99" t="s">
        <v>33</v>
      </c>
      <c r="J99" t="s">
        <v>126</v>
      </c>
      <c r="K99">
        <v>4</v>
      </c>
      <c r="L99">
        <v>335.69</v>
      </c>
      <c r="M99" s="3">
        <v>0.05</v>
      </c>
      <c r="N99" t="str">
        <f>VLOOKUP(Table1[[#This Row],[Country]],REF_Country!$A$1:$D$11,2,FALSE)</f>
        <v>Oceania</v>
      </c>
      <c r="O99" t="str">
        <f>VLOOKUP(Table1[[#This Row],[Country]],REF_Country!$A$1:$D$11,3,FALSE)</f>
        <v>AU</v>
      </c>
      <c r="P99">
        <f>VLOOKUP(Table1[[#This Row],[Country]],REF_Country!$A$1:$D$11,4,FALSE)</f>
        <v>0.1</v>
      </c>
      <c r="Q99">
        <f>VLOOKUP(Table1[[#This Row],[Category]],REF_Target!$A$1:$E$6,2,FALSE)</f>
        <v>40000</v>
      </c>
      <c r="R99">
        <f>Table1[[#This Row],[Quantity]]*Table1[[#This Row],[Unit_Price]]</f>
        <v>1342.76</v>
      </c>
      <c r="S99">
        <f>Table1[[#This Row],[Gross_Sales]]*Table1[[#This Row],[Discount_Rate]]</f>
        <v>67.138000000000005</v>
      </c>
      <c r="T99">
        <f>Table1[[#This Row],[Gross_Sales]]-Table1[[#This Row],[Discount_Amount]]</f>
        <v>1275.6220000000001</v>
      </c>
      <c r="U99">
        <f>VLOOKUP(Table1[[#This Row],[Category]],REF_Cost!$A$1:$B$6,2,FALSE)*Table1[[#This Row],[Quantity]]</f>
        <v>480</v>
      </c>
      <c r="V99">
        <f>Table1[[#This Row],[Net_Sales]]-Table1[[#This Row],[Total_Cost]]</f>
        <v>795.62200000000007</v>
      </c>
      <c r="W99" t="str">
        <f>TEXT(Table1[[#This Row],[Order_Date]],"mmm")</f>
        <v>Oct</v>
      </c>
      <c r="X99">
        <f>ROUNDUP(MONTH(Table1[[#This Row],[Order_Date]])/3,0)</f>
        <v>4</v>
      </c>
      <c r="Y99">
        <f>YEAR(Table1[[#This Row],[Order_Date]])</f>
        <v>2024</v>
      </c>
    </row>
    <row r="100" spans="1:25" x14ac:dyDescent="0.25">
      <c r="A100" t="s">
        <v>469</v>
      </c>
      <c r="B100" t="s">
        <v>470</v>
      </c>
      <c r="C100" t="s">
        <v>471</v>
      </c>
      <c r="D100" t="s">
        <v>472</v>
      </c>
      <c r="E100" t="s">
        <v>29</v>
      </c>
      <c r="F100" t="s">
        <v>30</v>
      </c>
      <c r="G100" t="s">
        <v>269</v>
      </c>
      <c r="H100" t="s">
        <v>32</v>
      </c>
      <c r="I100" t="s">
        <v>66</v>
      </c>
      <c r="J100" t="s">
        <v>73</v>
      </c>
      <c r="K100">
        <v>1</v>
      </c>
      <c r="L100">
        <v>996.67</v>
      </c>
      <c r="M100" s="3">
        <v>0</v>
      </c>
      <c r="N100" t="str">
        <f>VLOOKUP(Table1[[#This Row],[Country]],REF_Country!$A$1:$D$11,2,FALSE)</f>
        <v>Southeast Asia</v>
      </c>
      <c r="O100" t="str">
        <f>VLOOKUP(Table1[[#This Row],[Country]],REF_Country!$A$1:$D$11,3,FALSE)</f>
        <v>VN</v>
      </c>
      <c r="P100">
        <f>VLOOKUP(Table1[[#This Row],[Country]],REF_Country!$A$1:$D$11,4,FALSE)</f>
        <v>0.1</v>
      </c>
      <c r="Q100">
        <f>VLOOKUP(Table1[[#This Row],[Category]],REF_Target!$A$1:$E$6,2,FALSE)</f>
        <v>40000</v>
      </c>
      <c r="R100">
        <f>Table1[[#This Row],[Quantity]]*Table1[[#This Row],[Unit_Price]]</f>
        <v>996.67</v>
      </c>
      <c r="S100">
        <f>Table1[[#This Row],[Gross_Sales]]*Table1[[#This Row],[Discount_Rate]]</f>
        <v>0</v>
      </c>
      <c r="T100">
        <f>Table1[[#This Row],[Gross_Sales]]-Table1[[#This Row],[Discount_Amount]]</f>
        <v>996.67</v>
      </c>
      <c r="U100">
        <f>VLOOKUP(Table1[[#This Row],[Category]],REF_Cost!$A$1:$B$6,2,FALSE)*Table1[[#This Row],[Quantity]]</f>
        <v>120</v>
      </c>
      <c r="V100">
        <f>Table1[[#This Row],[Net_Sales]]-Table1[[#This Row],[Total_Cost]]</f>
        <v>876.67</v>
      </c>
      <c r="W100" t="str">
        <f>TEXT(Table1[[#This Row],[Order_Date]],"mmm")</f>
        <v>Mar</v>
      </c>
      <c r="X100">
        <f>ROUNDUP(MONTH(Table1[[#This Row],[Order_Date]])/3,0)</f>
        <v>1</v>
      </c>
      <c r="Y100">
        <f>YEAR(Table1[[#This Row],[Order_Date]])</f>
        <v>2024</v>
      </c>
    </row>
    <row r="101" spans="1:25" x14ac:dyDescent="0.25">
      <c r="A101" t="s">
        <v>473</v>
      </c>
      <c r="B101" t="s">
        <v>474</v>
      </c>
      <c r="C101" t="s">
        <v>475</v>
      </c>
      <c r="D101" t="s">
        <v>476</v>
      </c>
      <c r="E101" t="s">
        <v>29</v>
      </c>
      <c r="F101" t="s">
        <v>56</v>
      </c>
      <c r="G101" t="s">
        <v>95</v>
      </c>
      <c r="H101" t="s">
        <v>32</v>
      </c>
      <c r="I101" t="s">
        <v>96</v>
      </c>
      <c r="J101" t="s">
        <v>34</v>
      </c>
      <c r="K101">
        <v>9</v>
      </c>
      <c r="L101">
        <v>1116.45</v>
      </c>
      <c r="M101" s="3">
        <v>0</v>
      </c>
      <c r="N101" t="str">
        <f>VLOOKUP(Table1[[#This Row],[Country]],REF_Country!$A$1:$D$11,2,FALSE)</f>
        <v>Southeast Asia</v>
      </c>
      <c r="O101" t="str">
        <f>VLOOKUP(Table1[[#This Row],[Country]],REF_Country!$A$1:$D$11,3,FALSE)</f>
        <v>VN</v>
      </c>
      <c r="P101">
        <f>VLOOKUP(Table1[[#This Row],[Country]],REF_Country!$A$1:$D$11,4,FALSE)</f>
        <v>0.1</v>
      </c>
      <c r="Q101">
        <f>VLOOKUP(Table1[[#This Row],[Category]],REF_Target!$A$1:$E$6,2,FALSE)</f>
        <v>50000</v>
      </c>
      <c r="R101">
        <f>Table1[[#This Row],[Quantity]]*Table1[[#This Row],[Unit_Price]]</f>
        <v>10048.050000000001</v>
      </c>
      <c r="S101">
        <f>Table1[[#This Row],[Gross_Sales]]*Table1[[#This Row],[Discount_Rate]]</f>
        <v>0</v>
      </c>
      <c r="T101">
        <f>Table1[[#This Row],[Gross_Sales]]-Table1[[#This Row],[Discount_Amount]]</f>
        <v>10048.050000000001</v>
      </c>
      <c r="U101">
        <f>VLOOKUP(Table1[[#This Row],[Category]],REF_Cost!$A$1:$B$6,2,FALSE)*Table1[[#This Row],[Quantity]]</f>
        <v>4050</v>
      </c>
      <c r="V101">
        <f>Table1[[#This Row],[Net_Sales]]-Table1[[#This Row],[Total_Cost]]</f>
        <v>5998.0500000000011</v>
      </c>
      <c r="W101" t="str">
        <f>TEXT(Table1[[#This Row],[Order_Date]],"mmm")</f>
        <v>Jun</v>
      </c>
      <c r="X101">
        <f>ROUNDUP(MONTH(Table1[[#This Row],[Order_Date]])/3,0)</f>
        <v>2</v>
      </c>
      <c r="Y101">
        <f>YEAR(Table1[[#This Row],[Order_Date]])</f>
        <v>2024</v>
      </c>
    </row>
    <row r="102" spans="1:25" x14ac:dyDescent="0.25">
      <c r="A102" t="s">
        <v>477</v>
      </c>
      <c r="B102" t="s">
        <v>478</v>
      </c>
      <c r="C102" t="s">
        <v>479</v>
      </c>
      <c r="D102" t="s">
        <v>480</v>
      </c>
      <c r="E102" t="s">
        <v>200</v>
      </c>
      <c r="F102" t="s">
        <v>40</v>
      </c>
      <c r="G102" t="s">
        <v>106</v>
      </c>
      <c r="H102" t="s">
        <v>58</v>
      </c>
      <c r="I102" t="s">
        <v>96</v>
      </c>
      <c r="J102" t="s">
        <v>126</v>
      </c>
      <c r="K102">
        <v>1</v>
      </c>
      <c r="L102">
        <v>1418.94</v>
      </c>
      <c r="M102" s="3">
        <v>0.2</v>
      </c>
      <c r="N102" t="str">
        <f>VLOOKUP(Table1[[#This Row],[Country]],REF_Country!$A$1:$D$11,2,FALSE)</f>
        <v>East Asia</v>
      </c>
      <c r="O102" t="str">
        <f>VLOOKUP(Table1[[#This Row],[Country]],REF_Country!$A$1:$D$11,3,FALSE)</f>
        <v>KR</v>
      </c>
      <c r="P102">
        <f>VLOOKUP(Table1[[#This Row],[Country]],REF_Country!$A$1:$D$11,4,FALSE)</f>
        <v>0.1</v>
      </c>
      <c r="Q102">
        <f>VLOOKUP(Table1[[#This Row],[Category]],REF_Target!$A$1:$E$6,2,FALSE)</f>
        <v>45000</v>
      </c>
      <c r="R102">
        <f>Table1[[#This Row],[Quantity]]*Table1[[#This Row],[Unit_Price]]</f>
        <v>1418.94</v>
      </c>
      <c r="S102">
        <f>Table1[[#This Row],[Gross_Sales]]*Table1[[#This Row],[Discount_Rate]]</f>
        <v>283.78800000000001</v>
      </c>
      <c r="T102">
        <f>Table1[[#This Row],[Gross_Sales]]-Table1[[#This Row],[Discount_Amount]]</f>
        <v>1135.152</v>
      </c>
      <c r="U102">
        <f>VLOOKUP(Table1[[#This Row],[Category]],REF_Cost!$A$1:$B$6,2,FALSE)*Table1[[#This Row],[Quantity]]</f>
        <v>80</v>
      </c>
      <c r="V102">
        <f>Table1[[#This Row],[Net_Sales]]-Table1[[#This Row],[Total_Cost]]</f>
        <v>1055.152</v>
      </c>
      <c r="W102" t="str">
        <f>TEXT(Table1[[#This Row],[Order_Date]],"mmm")</f>
        <v>Sep</v>
      </c>
      <c r="X102">
        <f>ROUNDUP(MONTH(Table1[[#This Row],[Order_Date]])/3,0)</f>
        <v>3</v>
      </c>
      <c r="Y102">
        <f>YEAR(Table1[[#This Row],[Order_Date]])</f>
        <v>2024</v>
      </c>
    </row>
    <row r="103" spans="1:25" x14ac:dyDescent="0.25">
      <c r="A103" t="s">
        <v>481</v>
      </c>
      <c r="B103" t="s">
        <v>482</v>
      </c>
      <c r="C103" t="s">
        <v>483</v>
      </c>
      <c r="D103" t="s">
        <v>484</v>
      </c>
      <c r="E103" t="s">
        <v>116</v>
      </c>
      <c r="F103" t="s">
        <v>49</v>
      </c>
      <c r="G103" t="s">
        <v>226</v>
      </c>
      <c r="H103" t="s">
        <v>72</v>
      </c>
      <c r="I103" t="s">
        <v>51</v>
      </c>
      <c r="J103" t="s">
        <v>73</v>
      </c>
      <c r="K103">
        <v>2</v>
      </c>
      <c r="L103">
        <v>124.13</v>
      </c>
      <c r="M103" s="3">
        <v>0.05</v>
      </c>
      <c r="N103" t="str">
        <f>VLOOKUP(Table1[[#This Row],[Country]],REF_Country!$A$1:$D$11,2,FALSE)</f>
        <v>Southeast Asia</v>
      </c>
      <c r="O103" t="str">
        <f>VLOOKUP(Table1[[#This Row],[Country]],REF_Country!$A$1:$D$11,3,FALSE)</f>
        <v>MY</v>
      </c>
      <c r="P103">
        <f>VLOOKUP(Table1[[#This Row],[Country]],REF_Country!$A$1:$D$11,4,FALSE)</f>
        <v>0.06</v>
      </c>
      <c r="Q103">
        <f>VLOOKUP(Table1[[#This Row],[Category]],REF_Target!$A$1:$E$6,2,FALSE)</f>
        <v>35000</v>
      </c>
      <c r="R103">
        <f>Table1[[#This Row],[Quantity]]*Table1[[#This Row],[Unit_Price]]</f>
        <v>248.26</v>
      </c>
      <c r="S103">
        <f>Table1[[#This Row],[Gross_Sales]]*Table1[[#This Row],[Discount_Rate]]</f>
        <v>12.413</v>
      </c>
      <c r="T103">
        <f>Table1[[#This Row],[Gross_Sales]]-Table1[[#This Row],[Discount_Amount]]</f>
        <v>235.84699999999998</v>
      </c>
      <c r="U103">
        <f>VLOOKUP(Table1[[#This Row],[Category]],REF_Cost!$A$1:$B$6,2,FALSE)*Table1[[#This Row],[Quantity]]</f>
        <v>300</v>
      </c>
      <c r="V103">
        <f>Table1[[#This Row],[Net_Sales]]-Table1[[#This Row],[Total_Cost]]</f>
        <v>-64.15300000000002</v>
      </c>
      <c r="W103" t="str">
        <f>TEXT(Table1[[#This Row],[Order_Date]],"mmm")</f>
        <v>Sep</v>
      </c>
      <c r="X103">
        <f>ROUNDUP(MONTH(Table1[[#This Row],[Order_Date]])/3,0)</f>
        <v>3</v>
      </c>
      <c r="Y103">
        <f>YEAR(Table1[[#This Row],[Order_Date]])</f>
        <v>2024</v>
      </c>
    </row>
    <row r="104" spans="1:25" x14ac:dyDescent="0.25">
      <c r="A104" t="s">
        <v>485</v>
      </c>
      <c r="B104" t="s">
        <v>486</v>
      </c>
      <c r="C104" t="s">
        <v>487</v>
      </c>
      <c r="D104" t="s">
        <v>488</v>
      </c>
      <c r="E104" t="s">
        <v>78</v>
      </c>
      <c r="F104" t="s">
        <v>84</v>
      </c>
      <c r="G104" t="s">
        <v>264</v>
      </c>
      <c r="H104" t="s">
        <v>42</v>
      </c>
      <c r="I104" t="s">
        <v>33</v>
      </c>
      <c r="J104" t="s">
        <v>34</v>
      </c>
      <c r="K104">
        <v>9</v>
      </c>
      <c r="L104">
        <v>1492.02</v>
      </c>
      <c r="M104" s="3">
        <v>0.05</v>
      </c>
      <c r="N104" t="str">
        <f>VLOOKUP(Table1[[#This Row],[Country]],REF_Country!$A$1:$D$11,2,FALSE)</f>
        <v>Oceania</v>
      </c>
      <c r="O104" t="str">
        <f>VLOOKUP(Table1[[#This Row],[Country]],REF_Country!$A$1:$D$11,3,FALSE)</f>
        <v>AU</v>
      </c>
      <c r="P104">
        <f>VLOOKUP(Table1[[#This Row],[Country]],REF_Country!$A$1:$D$11,4,FALSE)</f>
        <v>0.1</v>
      </c>
      <c r="Q104">
        <f>VLOOKUP(Table1[[#This Row],[Category]],REF_Target!$A$1:$E$6,2,FALSE)</f>
        <v>30000</v>
      </c>
      <c r="R104">
        <f>Table1[[#This Row],[Quantity]]*Table1[[#This Row],[Unit_Price]]</f>
        <v>13428.18</v>
      </c>
      <c r="S104">
        <f>Table1[[#This Row],[Gross_Sales]]*Table1[[#This Row],[Discount_Rate]]</f>
        <v>671.40900000000011</v>
      </c>
      <c r="T104">
        <f>Table1[[#This Row],[Gross_Sales]]-Table1[[#This Row],[Discount_Amount]]</f>
        <v>12756.771000000001</v>
      </c>
      <c r="U104">
        <f>VLOOKUP(Table1[[#This Row],[Category]],REF_Cost!$A$1:$B$6,2,FALSE)*Table1[[#This Row],[Quantity]]</f>
        <v>1800</v>
      </c>
      <c r="V104">
        <f>Table1[[#This Row],[Net_Sales]]-Table1[[#This Row],[Total_Cost]]</f>
        <v>10956.771000000001</v>
      </c>
      <c r="W104" t="str">
        <f>TEXT(Table1[[#This Row],[Order_Date]],"mmm")</f>
        <v>Nov</v>
      </c>
      <c r="X104">
        <f>ROUNDUP(MONTH(Table1[[#This Row],[Order_Date]])/3,0)</f>
        <v>4</v>
      </c>
      <c r="Y104">
        <f>YEAR(Table1[[#This Row],[Order_Date]])</f>
        <v>2024</v>
      </c>
    </row>
    <row r="105" spans="1:25" x14ac:dyDescent="0.25">
      <c r="A105" t="s">
        <v>489</v>
      </c>
      <c r="B105" t="s">
        <v>490</v>
      </c>
      <c r="C105" t="s">
        <v>491</v>
      </c>
      <c r="D105" t="s">
        <v>492</v>
      </c>
      <c r="E105" t="s">
        <v>78</v>
      </c>
      <c r="F105" t="s">
        <v>30</v>
      </c>
      <c r="G105" t="s">
        <v>195</v>
      </c>
      <c r="H105" t="s">
        <v>58</v>
      </c>
      <c r="I105" t="s">
        <v>96</v>
      </c>
      <c r="J105" t="s">
        <v>34</v>
      </c>
      <c r="K105">
        <v>4</v>
      </c>
      <c r="L105">
        <v>685.56</v>
      </c>
      <c r="M105" s="3">
        <v>0.1</v>
      </c>
      <c r="N105" t="str">
        <f>VLOOKUP(Table1[[#This Row],[Country]],REF_Country!$A$1:$D$11,2,FALSE)</f>
        <v>Oceania</v>
      </c>
      <c r="O105" t="str">
        <f>VLOOKUP(Table1[[#This Row],[Country]],REF_Country!$A$1:$D$11,3,FALSE)</f>
        <v>AU</v>
      </c>
      <c r="P105">
        <f>VLOOKUP(Table1[[#This Row],[Country]],REF_Country!$A$1:$D$11,4,FALSE)</f>
        <v>0.1</v>
      </c>
      <c r="Q105">
        <f>VLOOKUP(Table1[[#This Row],[Category]],REF_Target!$A$1:$E$6,2,FALSE)</f>
        <v>40000</v>
      </c>
      <c r="R105">
        <f>Table1[[#This Row],[Quantity]]*Table1[[#This Row],[Unit_Price]]</f>
        <v>2742.24</v>
      </c>
      <c r="S105">
        <f>Table1[[#This Row],[Gross_Sales]]*Table1[[#This Row],[Discount_Rate]]</f>
        <v>274.22399999999999</v>
      </c>
      <c r="T105">
        <f>Table1[[#This Row],[Gross_Sales]]-Table1[[#This Row],[Discount_Amount]]</f>
        <v>2468.0159999999996</v>
      </c>
      <c r="U105">
        <f>VLOOKUP(Table1[[#This Row],[Category]],REF_Cost!$A$1:$B$6,2,FALSE)*Table1[[#This Row],[Quantity]]</f>
        <v>480</v>
      </c>
      <c r="V105">
        <f>Table1[[#This Row],[Net_Sales]]-Table1[[#This Row],[Total_Cost]]</f>
        <v>1988.0159999999996</v>
      </c>
      <c r="W105" t="str">
        <f>TEXT(Table1[[#This Row],[Order_Date]],"mmm")</f>
        <v>Dec</v>
      </c>
      <c r="X105">
        <f>ROUNDUP(MONTH(Table1[[#This Row],[Order_Date]])/3,0)</f>
        <v>4</v>
      </c>
      <c r="Y105">
        <f>YEAR(Table1[[#This Row],[Order_Date]])</f>
        <v>2024</v>
      </c>
    </row>
    <row r="106" spans="1:25" x14ac:dyDescent="0.25">
      <c r="A106" t="s">
        <v>493</v>
      </c>
      <c r="B106" t="s">
        <v>494</v>
      </c>
      <c r="C106" t="s">
        <v>495</v>
      </c>
      <c r="D106" t="s">
        <v>496</v>
      </c>
      <c r="E106" t="s">
        <v>71</v>
      </c>
      <c r="F106" t="s">
        <v>84</v>
      </c>
      <c r="G106" t="s">
        <v>412</v>
      </c>
      <c r="H106" t="s">
        <v>32</v>
      </c>
      <c r="I106" t="s">
        <v>51</v>
      </c>
      <c r="J106" t="s">
        <v>126</v>
      </c>
      <c r="K106">
        <v>8</v>
      </c>
      <c r="L106">
        <v>1431.08</v>
      </c>
      <c r="M106" s="3">
        <v>0</v>
      </c>
      <c r="N106" t="str">
        <f>VLOOKUP(Table1[[#This Row],[Country]],REF_Country!$A$1:$D$11,2,FALSE)</f>
        <v>Southeast Asia</v>
      </c>
      <c r="O106" t="str">
        <f>VLOOKUP(Table1[[#This Row],[Country]],REF_Country!$A$1:$D$11,3,FALSE)</f>
        <v>PH</v>
      </c>
      <c r="P106">
        <f>VLOOKUP(Table1[[#This Row],[Country]],REF_Country!$A$1:$D$11,4,FALSE)</f>
        <v>0.12</v>
      </c>
      <c r="Q106">
        <f>VLOOKUP(Table1[[#This Row],[Category]],REF_Target!$A$1:$E$6,2,FALSE)</f>
        <v>30000</v>
      </c>
      <c r="R106">
        <f>Table1[[#This Row],[Quantity]]*Table1[[#This Row],[Unit_Price]]</f>
        <v>11448.64</v>
      </c>
      <c r="S106">
        <f>Table1[[#This Row],[Gross_Sales]]*Table1[[#This Row],[Discount_Rate]]</f>
        <v>0</v>
      </c>
      <c r="T106">
        <f>Table1[[#This Row],[Gross_Sales]]-Table1[[#This Row],[Discount_Amount]]</f>
        <v>11448.64</v>
      </c>
      <c r="U106">
        <f>VLOOKUP(Table1[[#This Row],[Category]],REF_Cost!$A$1:$B$6,2,FALSE)*Table1[[#This Row],[Quantity]]</f>
        <v>1600</v>
      </c>
      <c r="V106">
        <f>Table1[[#This Row],[Net_Sales]]-Table1[[#This Row],[Total_Cost]]</f>
        <v>9848.64</v>
      </c>
      <c r="W106" t="str">
        <f>TEXT(Table1[[#This Row],[Order_Date]],"mmm")</f>
        <v>Feb</v>
      </c>
      <c r="X106">
        <f>ROUNDUP(MONTH(Table1[[#This Row],[Order_Date]])/3,0)</f>
        <v>1</v>
      </c>
      <c r="Y106">
        <f>YEAR(Table1[[#This Row],[Order_Date]])</f>
        <v>2024</v>
      </c>
    </row>
    <row r="107" spans="1:25" x14ac:dyDescent="0.25">
      <c r="A107" t="s">
        <v>497</v>
      </c>
      <c r="B107" t="s">
        <v>498</v>
      </c>
      <c r="C107" t="s">
        <v>499</v>
      </c>
      <c r="D107" t="s">
        <v>500</v>
      </c>
      <c r="E107" t="s">
        <v>71</v>
      </c>
      <c r="F107" t="s">
        <v>30</v>
      </c>
      <c r="G107" t="s">
        <v>139</v>
      </c>
      <c r="H107" t="s">
        <v>58</v>
      </c>
      <c r="I107" t="s">
        <v>51</v>
      </c>
      <c r="J107" t="s">
        <v>34</v>
      </c>
      <c r="K107">
        <v>9</v>
      </c>
      <c r="L107">
        <v>104.07</v>
      </c>
      <c r="M107" s="3">
        <v>0.15</v>
      </c>
      <c r="N107" t="str">
        <f>VLOOKUP(Table1[[#This Row],[Country]],REF_Country!$A$1:$D$11,2,FALSE)</f>
        <v>Southeast Asia</v>
      </c>
      <c r="O107" t="str">
        <f>VLOOKUP(Table1[[#This Row],[Country]],REF_Country!$A$1:$D$11,3,FALSE)</f>
        <v>PH</v>
      </c>
      <c r="P107">
        <f>VLOOKUP(Table1[[#This Row],[Country]],REF_Country!$A$1:$D$11,4,FALSE)</f>
        <v>0.12</v>
      </c>
      <c r="Q107">
        <f>VLOOKUP(Table1[[#This Row],[Category]],REF_Target!$A$1:$E$6,2,FALSE)</f>
        <v>40000</v>
      </c>
      <c r="R107">
        <f>Table1[[#This Row],[Quantity]]*Table1[[#This Row],[Unit_Price]]</f>
        <v>936.62999999999988</v>
      </c>
      <c r="S107">
        <f>Table1[[#This Row],[Gross_Sales]]*Table1[[#This Row],[Discount_Rate]]</f>
        <v>140.49449999999999</v>
      </c>
      <c r="T107">
        <f>Table1[[#This Row],[Gross_Sales]]-Table1[[#This Row],[Discount_Amount]]</f>
        <v>796.13549999999987</v>
      </c>
      <c r="U107">
        <f>VLOOKUP(Table1[[#This Row],[Category]],REF_Cost!$A$1:$B$6,2,FALSE)*Table1[[#This Row],[Quantity]]</f>
        <v>1080</v>
      </c>
      <c r="V107">
        <f>Table1[[#This Row],[Net_Sales]]-Table1[[#This Row],[Total_Cost]]</f>
        <v>-283.86450000000013</v>
      </c>
      <c r="W107" t="str">
        <f>TEXT(Table1[[#This Row],[Order_Date]],"mmm")</f>
        <v>Feb</v>
      </c>
      <c r="X107">
        <f>ROUNDUP(MONTH(Table1[[#This Row],[Order_Date]])/3,0)</f>
        <v>1</v>
      </c>
      <c r="Y107">
        <f>YEAR(Table1[[#This Row],[Order_Date]])</f>
        <v>2024</v>
      </c>
    </row>
    <row r="108" spans="1:25" x14ac:dyDescent="0.25">
      <c r="A108" t="s">
        <v>501</v>
      </c>
      <c r="B108" t="s">
        <v>502</v>
      </c>
      <c r="C108" t="s">
        <v>503</v>
      </c>
      <c r="D108" t="s">
        <v>504</v>
      </c>
      <c r="E108" t="s">
        <v>64</v>
      </c>
      <c r="F108" t="s">
        <v>84</v>
      </c>
      <c r="G108" t="s">
        <v>90</v>
      </c>
      <c r="H108" t="s">
        <v>72</v>
      </c>
      <c r="I108" t="s">
        <v>43</v>
      </c>
      <c r="J108" t="s">
        <v>34</v>
      </c>
      <c r="K108">
        <v>2</v>
      </c>
      <c r="L108">
        <v>478.99</v>
      </c>
      <c r="M108" s="3">
        <v>0.15</v>
      </c>
      <c r="N108" t="str">
        <f>VLOOKUP(Table1[[#This Row],[Country]],REF_Country!$A$1:$D$11,2,FALSE)</f>
        <v>Southeast Asia</v>
      </c>
      <c r="O108" t="str">
        <f>VLOOKUP(Table1[[#This Row],[Country]],REF_Country!$A$1:$D$11,3,FALSE)</f>
        <v>ID</v>
      </c>
      <c r="P108">
        <f>VLOOKUP(Table1[[#This Row],[Country]],REF_Country!$A$1:$D$11,4,FALSE)</f>
        <v>0.11</v>
      </c>
      <c r="Q108">
        <f>VLOOKUP(Table1[[#This Row],[Category]],REF_Target!$A$1:$E$6,2,FALSE)</f>
        <v>30000</v>
      </c>
      <c r="R108">
        <f>Table1[[#This Row],[Quantity]]*Table1[[#This Row],[Unit_Price]]</f>
        <v>957.98</v>
      </c>
      <c r="S108">
        <f>Table1[[#This Row],[Gross_Sales]]*Table1[[#This Row],[Discount_Rate]]</f>
        <v>143.697</v>
      </c>
      <c r="T108">
        <f>Table1[[#This Row],[Gross_Sales]]-Table1[[#This Row],[Discount_Amount]]</f>
        <v>814.28300000000002</v>
      </c>
      <c r="U108">
        <f>VLOOKUP(Table1[[#This Row],[Category]],REF_Cost!$A$1:$B$6,2,FALSE)*Table1[[#This Row],[Quantity]]</f>
        <v>400</v>
      </c>
      <c r="V108">
        <f>Table1[[#This Row],[Net_Sales]]-Table1[[#This Row],[Total_Cost]]</f>
        <v>414.28300000000002</v>
      </c>
      <c r="W108" t="str">
        <f>TEXT(Table1[[#This Row],[Order_Date]],"mmm")</f>
        <v>Dec</v>
      </c>
      <c r="X108">
        <f>ROUNDUP(MONTH(Table1[[#This Row],[Order_Date]])/3,0)</f>
        <v>4</v>
      </c>
      <c r="Y108">
        <f>YEAR(Table1[[#This Row],[Order_Date]])</f>
        <v>2024</v>
      </c>
    </row>
    <row r="109" spans="1:25" x14ac:dyDescent="0.25">
      <c r="A109" t="s">
        <v>505</v>
      </c>
      <c r="B109" t="s">
        <v>506</v>
      </c>
      <c r="C109" t="s">
        <v>507</v>
      </c>
      <c r="D109" t="s">
        <v>508</v>
      </c>
      <c r="E109" t="s">
        <v>78</v>
      </c>
      <c r="F109" t="s">
        <v>84</v>
      </c>
      <c r="G109" t="s">
        <v>205</v>
      </c>
      <c r="H109" t="s">
        <v>42</v>
      </c>
      <c r="I109" t="s">
        <v>33</v>
      </c>
      <c r="J109" t="s">
        <v>126</v>
      </c>
      <c r="K109">
        <v>10</v>
      </c>
      <c r="L109">
        <v>1147.47</v>
      </c>
      <c r="M109" s="3">
        <v>0</v>
      </c>
      <c r="N109" t="str">
        <f>VLOOKUP(Table1[[#This Row],[Country]],REF_Country!$A$1:$D$11,2,FALSE)</f>
        <v>Oceania</v>
      </c>
      <c r="O109" t="str">
        <f>VLOOKUP(Table1[[#This Row],[Country]],REF_Country!$A$1:$D$11,3,FALSE)</f>
        <v>AU</v>
      </c>
      <c r="P109">
        <f>VLOOKUP(Table1[[#This Row],[Country]],REF_Country!$A$1:$D$11,4,FALSE)</f>
        <v>0.1</v>
      </c>
      <c r="Q109">
        <f>VLOOKUP(Table1[[#This Row],[Category]],REF_Target!$A$1:$E$6,2,FALSE)</f>
        <v>30000</v>
      </c>
      <c r="R109">
        <f>Table1[[#This Row],[Quantity]]*Table1[[#This Row],[Unit_Price]]</f>
        <v>11474.7</v>
      </c>
      <c r="S109">
        <f>Table1[[#This Row],[Gross_Sales]]*Table1[[#This Row],[Discount_Rate]]</f>
        <v>0</v>
      </c>
      <c r="T109">
        <f>Table1[[#This Row],[Gross_Sales]]-Table1[[#This Row],[Discount_Amount]]</f>
        <v>11474.7</v>
      </c>
      <c r="U109">
        <f>VLOOKUP(Table1[[#This Row],[Category]],REF_Cost!$A$1:$B$6,2,FALSE)*Table1[[#This Row],[Quantity]]</f>
        <v>2000</v>
      </c>
      <c r="V109">
        <f>Table1[[#This Row],[Net_Sales]]-Table1[[#This Row],[Total_Cost]]</f>
        <v>9474.7000000000007</v>
      </c>
      <c r="W109" t="str">
        <f>TEXT(Table1[[#This Row],[Order_Date]],"mmm")</f>
        <v>Feb</v>
      </c>
      <c r="X109">
        <f>ROUNDUP(MONTH(Table1[[#This Row],[Order_Date]])/3,0)</f>
        <v>1</v>
      </c>
      <c r="Y109">
        <f>YEAR(Table1[[#This Row],[Order_Date]])</f>
        <v>2024</v>
      </c>
    </row>
    <row r="110" spans="1:25" x14ac:dyDescent="0.25">
      <c r="A110" t="s">
        <v>509</v>
      </c>
      <c r="B110" t="s">
        <v>510</v>
      </c>
      <c r="C110" t="s">
        <v>511</v>
      </c>
      <c r="D110" t="s">
        <v>512</v>
      </c>
      <c r="E110" t="s">
        <v>64</v>
      </c>
      <c r="F110" t="s">
        <v>30</v>
      </c>
      <c r="G110" t="s">
        <v>65</v>
      </c>
      <c r="H110" t="s">
        <v>58</v>
      </c>
      <c r="I110" t="s">
        <v>51</v>
      </c>
      <c r="J110" t="s">
        <v>73</v>
      </c>
      <c r="K110">
        <v>5</v>
      </c>
      <c r="L110">
        <v>1058.51</v>
      </c>
      <c r="M110" s="3">
        <v>0.05</v>
      </c>
      <c r="N110" t="str">
        <f>VLOOKUP(Table1[[#This Row],[Country]],REF_Country!$A$1:$D$11,2,FALSE)</f>
        <v>Southeast Asia</v>
      </c>
      <c r="O110" t="str">
        <f>VLOOKUP(Table1[[#This Row],[Country]],REF_Country!$A$1:$D$11,3,FALSE)</f>
        <v>ID</v>
      </c>
      <c r="P110">
        <f>VLOOKUP(Table1[[#This Row],[Country]],REF_Country!$A$1:$D$11,4,FALSE)</f>
        <v>0.11</v>
      </c>
      <c r="Q110">
        <f>VLOOKUP(Table1[[#This Row],[Category]],REF_Target!$A$1:$E$6,2,FALSE)</f>
        <v>40000</v>
      </c>
      <c r="R110">
        <f>Table1[[#This Row],[Quantity]]*Table1[[#This Row],[Unit_Price]]</f>
        <v>5292.55</v>
      </c>
      <c r="S110">
        <f>Table1[[#This Row],[Gross_Sales]]*Table1[[#This Row],[Discount_Rate]]</f>
        <v>264.6275</v>
      </c>
      <c r="T110">
        <f>Table1[[#This Row],[Gross_Sales]]-Table1[[#This Row],[Discount_Amount]]</f>
        <v>5027.9225000000006</v>
      </c>
      <c r="U110">
        <f>VLOOKUP(Table1[[#This Row],[Category]],REF_Cost!$A$1:$B$6,2,FALSE)*Table1[[#This Row],[Quantity]]</f>
        <v>600</v>
      </c>
      <c r="V110">
        <f>Table1[[#This Row],[Net_Sales]]-Table1[[#This Row],[Total_Cost]]</f>
        <v>4427.9225000000006</v>
      </c>
      <c r="W110" t="str">
        <f>TEXT(Table1[[#This Row],[Order_Date]],"mmm")</f>
        <v>Dec</v>
      </c>
      <c r="X110">
        <f>ROUNDUP(MONTH(Table1[[#This Row],[Order_Date]])/3,0)</f>
        <v>4</v>
      </c>
      <c r="Y110">
        <f>YEAR(Table1[[#This Row],[Order_Date]])</f>
        <v>2024</v>
      </c>
    </row>
    <row r="111" spans="1:25" x14ac:dyDescent="0.25">
      <c r="A111" t="s">
        <v>513</v>
      </c>
      <c r="B111" t="s">
        <v>514</v>
      </c>
      <c r="C111" t="s">
        <v>515</v>
      </c>
      <c r="D111" t="s">
        <v>516</v>
      </c>
      <c r="E111" t="s">
        <v>116</v>
      </c>
      <c r="F111" t="s">
        <v>30</v>
      </c>
      <c r="G111" t="s">
        <v>269</v>
      </c>
      <c r="H111" t="s">
        <v>42</v>
      </c>
      <c r="I111" t="s">
        <v>96</v>
      </c>
      <c r="J111" t="s">
        <v>34</v>
      </c>
      <c r="K111">
        <v>9</v>
      </c>
      <c r="L111">
        <v>151.26</v>
      </c>
      <c r="M111" s="3">
        <v>0</v>
      </c>
      <c r="N111" t="str">
        <f>VLOOKUP(Table1[[#This Row],[Country]],REF_Country!$A$1:$D$11,2,FALSE)</f>
        <v>Southeast Asia</v>
      </c>
      <c r="O111" t="str">
        <f>VLOOKUP(Table1[[#This Row],[Country]],REF_Country!$A$1:$D$11,3,FALSE)</f>
        <v>MY</v>
      </c>
      <c r="P111">
        <f>VLOOKUP(Table1[[#This Row],[Country]],REF_Country!$A$1:$D$11,4,FALSE)</f>
        <v>0.06</v>
      </c>
      <c r="Q111">
        <f>VLOOKUP(Table1[[#This Row],[Category]],REF_Target!$A$1:$E$6,2,FALSE)</f>
        <v>40000</v>
      </c>
      <c r="R111">
        <f>Table1[[#This Row],[Quantity]]*Table1[[#This Row],[Unit_Price]]</f>
        <v>1361.34</v>
      </c>
      <c r="S111">
        <f>Table1[[#This Row],[Gross_Sales]]*Table1[[#This Row],[Discount_Rate]]</f>
        <v>0</v>
      </c>
      <c r="T111">
        <f>Table1[[#This Row],[Gross_Sales]]-Table1[[#This Row],[Discount_Amount]]</f>
        <v>1361.34</v>
      </c>
      <c r="U111">
        <f>VLOOKUP(Table1[[#This Row],[Category]],REF_Cost!$A$1:$B$6,2,FALSE)*Table1[[#This Row],[Quantity]]</f>
        <v>1080</v>
      </c>
      <c r="V111">
        <f>Table1[[#This Row],[Net_Sales]]-Table1[[#This Row],[Total_Cost]]</f>
        <v>281.33999999999992</v>
      </c>
      <c r="W111" t="str">
        <f>TEXT(Table1[[#This Row],[Order_Date]],"mmm")</f>
        <v>Oct</v>
      </c>
      <c r="X111">
        <f>ROUNDUP(MONTH(Table1[[#This Row],[Order_Date]])/3,0)</f>
        <v>4</v>
      </c>
      <c r="Y111">
        <f>YEAR(Table1[[#This Row],[Order_Date]])</f>
        <v>2024</v>
      </c>
    </row>
    <row r="112" spans="1:25" x14ac:dyDescent="0.25">
      <c r="A112" t="s">
        <v>517</v>
      </c>
      <c r="B112" t="s">
        <v>518</v>
      </c>
      <c r="C112" t="s">
        <v>519</v>
      </c>
      <c r="D112" t="s">
        <v>520</v>
      </c>
      <c r="E112" t="s">
        <v>71</v>
      </c>
      <c r="F112" t="s">
        <v>40</v>
      </c>
      <c r="G112" t="s">
        <v>41</v>
      </c>
      <c r="H112" t="s">
        <v>72</v>
      </c>
      <c r="I112" t="s">
        <v>33</v>
      </c>
      <c r="J112" t="s">
        <v>126</v>
      </c>
      <c r="K112">
        <v>1</v>
      </c>
      <c r="L112">
        <v>141.16</v>
      </c>
      <c r="M112" s="3">
        <v>0</v>
      </c>
      <c r="N112" t="str">
        <f>VLOOKUP(Table1[[#This Row],[Country]],REF_Country!$A$1:$D$11,2,FALSE)</f>
        <v>Southeast Asia</v>
      </c>
      <c r="O112" t="str">
        <f>VLOOKUP(Table1[[#This Row],[Country]],REF_Country!$A$1:$D$11,3,FALSE)</f>
        <v>PH</v>
      </c>
      <c r="P112">
        <f>VLOOKUP(Table1[[#This Row],[Country]],REF_Country!$A$1:$D$11,4,FALSE)</f>
        <v>0.12</v>
      </c>
      <c r="Q112">
        <f>VLOOKUP(Table1[[#This Row],[Category]],REF_Target!$A$1:$E$6,2,FALSE)</f>
        <v>45000</v>
      </c>
      <c r="R112">
        <f>Table1[[#This Row],[Quantity]]*Table1[[#This Row],[Unit_Price]]</f>
        <v>141.16</v>
      </c>
      <c r="S112">
        <f>Table1[[#This Row],[Gross_Sales]]*Table1[[#This Row],[Discount_Rate]]</f>
        <v>0</v>
      </c>
      <c r="T112">
        <f>Table1[[#This Row],[Gross_Sales]]-Table1[[#This Row],[Discount_Amount]]</f>
        <v>141.16</v>
      </c>
      <c r="U112">
        <f>VLOOKUP(Table1[[#This Row],[Category]],REF_Cost!$A$1:$B$6,2,FALSE)*Table1[[#This Row],[Quantity]]</f>
        <v>80</v>
      </c>
      <c r="V112">
        <f>Table1[[#This Row],[Net_Sales]]-Table1[[#This Row],[Total_Cost]]</f>
        <v>61.16</v>
      </c>
      <c r="W112" t="str">
        <f>TEXT(Table1[[#This Row],[Order_Date]],"mmm")</f>
        <v>Mar</v>
      </c>
      <c r="X112">
        <f>ROUNDUP(MONTH(Table1[[#This Row],[Order_Date]])/3,0)</f>
        <v>1</v>
      </c>
      <c r="Y112">
        <f>YEAR(Table1[[#This Row],[Order_Date]])</f>
        <v>2024</v>
      </c>
    </row>
    <row r="113" spans="1:25" x14ac:dyDescent="0.25">
      <c r="A113" t="s">
        <v>521</v>
      </c>
      <c r="B113" t="s">
        <v>522</v>
      </c>
      <c r="C113" t="s">
        <v>523</v>
      </c>
      <c r="D113" t="s">
        <v>524</v>
      </c>
      <c r="E113" t="s">
        <v>149</v>
      </c>
      <c r="F113" t="s">
        <v>49</v>
      </c>
      <c r="G113" t="s">
        <v>259</v>
      </c>
      <c r="H113" t="s">
        <v>32</v>
      </c>
      <c r="I113" t="s">
        <v>66</v>
      </c>
      <c r="J113" t="s">
        <v>34</v>
      </c>
      <c r="K113">
        <v>5</v>
      </c>
      <c r="L113">
        <v>671.44</v>
      </c>
      <c r="M113" s="3">
        <v>0</v>
      </c>
      <c r="N113" t="str">
        <f>VLOOKUP(Table1[[#This Row],[Country]],REF_Country!$A$1:$D$11,2,FALSE)</f>
        <v>East Asia</v>
      </c>
      <c r="O113" t="str">
        <f>VLOOKUP(Table1[[#This Row],[Country]],REF_Country!$A$1:$D$11,3,FALSE)</f>
        <v>JP</v>
      </c>
      <c r="P113">
        <f>VLOOKUP(Table1[[#This Row],[Country]],REF_Country!$A$1:$D$11,4,FALSE)</f>
        <v>0.1</v>
      </c>
      <c r="Q113">
        <f>VLOOKUP(Table1[[#This Row],[Category]],REF_Target!$A$1:$E$6,2,FALSE)</f>
        <v>35000</v>
      </c>
      <c r="R113">
        <f>Table1[[#This Row],[Quantity]]*Table1[[#This Row],[Unit_Price]]</f>
        <v>3357.2000000000003</v>
      </c>
      <c r="S113">
        <f>Table1[[#This Row],[Gross_Sales]]*Table1[[#This Row],[Discount_Rate]]</f>
        <v>0</v>
      </c>
      <c r="T113">
        <f>Table1[[#This Row],[Gross_Sales]]-Table1[[#This Row],[Discount_Amount]]</f>
        <v>3357.2000000000003</v>
      </c>
      <c r="U113">
        <f>VLOOKUP(Table1[[#This Row],[Category]],REF_Cost!$A$1:$B$6,2,FALSE)*Table1[[#This Row],[Quantity]]</f>
        <v>750</v>
      </c>
      <c r="V113">
        <f>Table1[[#This Row],[Net_Sales]]-Table1[[#This Row],[Total_Cost]]</f>
        <v>2607.2000000000003</v>
      </c>
      <c r="W113" t="str">
        <f>TEXT(Table1[[#This Row],[Order_Date]],"mmm")</f>
        <v>Feb</v>
      </c>
      <c r="X113">
        <f>ROUNDUP(MONTH(Table1[[#This Row],[Order_Date]])/3,0)</f>
        <v>1</v>
      </c>
      <c r="Y113">
        <f>YEAR(Table1[[#This Row],[Order_Date]])</f>
        <v>2024</v>
      </c>
    </row>
    <row r="114" spans="1:25" x14ac:dyDescent="0.25">
      <c r="A114" t="s">
        <v>525</v>
      </c>
      <c r="B114" t="s">
        <v>526</v>
      </c>
      <c r="C114" t="s">
        <v>527</v>
      </c>
      <c r="D114" t="s">
        <v>528</v>
      </c>
      <c r="E114" t="s">
        <v>83</v>
      </c>
      <c r="F114" t="s">
        <v>49</v>
      </c>
      <c r="G114" t="s">
        <v>259</v>
      </c>
      <c r="H114" t="s">
        <v>42</v>
      </c>
      <c r="I114" t="s">
        <v>33</v>
      </c>
      <c r="J114" t="s">
        <v>126</v>
      </c>
      <c r="K114">
        <v>1</v>
      </c>
      <c r="L114">
        <v>1005.69</v>
      </c>
      <c r="M114" s="3">
        <v>0</v>
      </c>
      <c r="N114" t="str">
        <f>VLOOKUP(Table1[[#This Row],[Country]],REF_Country!$A$1:$D$11,2,FALSE)</f>
        <v>South Asia</v>
      </c>
      <c r="O114" t="str">
        <f>VLOOKUP(Table1[[#This Row],[Country]],REF_Country!$A$1:$D$11,3,FALSE)</f>
        <v>IN</v>
      </c>
      <c r="P114">
        <f>VLOOKUP(Table1[[#This Row],[Country]],REF_Country!$A$1:$D$11,4,FALSE)</f>
        <v>0.18</v>
      </c>
      <c r="Q114">
        <f>VLOOKUP(Table1[[#This Row],[Category]],REF_Target!$A$1:$E$6,2,FALSE)</f>
        <v>35000</v>
      </c>
      <c r="R114">
        <f>Table1[[#This Row],[Quantity]]*Table1[[#This Row],[Unit_Price]]</f>
        <v>1005.69</v>
      </c>
      <c r="S114">
        <f>Table1[[#This Row],[Gross_Sales]]*Table1[[#This Row],[Discount_Rate]]</f>
        <v>0</v>
      </c>
      <c r="T114">
        <f>Table1[[#This Row],[Gross_Sales]]-Table1[[#This Row],[Discount_Amount]]</f>
        <v>1005.69</v>
      </c>
      <c r="U114">
        <f>VLOOKUP(Table1[[#This Row],[Category]],REF_Cost!$A$1:$B$6,2,FALSE)*Table1[[#This Row],[Quantity]]</f>
        <v>150</v>
      </c>
      <c r="V114">
        <f>Table1[[#This Row],[Net_Sales]]-Table1[[#This Row],[Total_Cost]]</f>
        <v>855.69</v>
      </c>
      <c r="W114" t="str">
        <f>TEXT(Table1[[#This Row],[Order_Date]],"mmm")</f>
        <v>May</v>
      </c>
      <c r="X114">
        <f>ROUNDUP(MONTH(Table1[[#This Row],[Order_Date]])/3,0)</f>
        <v>2</v>
      </c>
      <c r="Y114">
        <f>YEAR(Table1[[#This Row],[Order_Date]])</f>
        <v>2024</v>
      </c>
    </row>
    <row r="115" spans="1:25" x14ac:dyDescent="0.25">
      <c r="A115" t="s">
        <v>529</v>
      </c>
      <c r="B115" t="s">
        <v>530</v>
      </c>
      <c r="C115" t="s">
        <v>531</v>
      </c>
      <c r="D115" t="s">
        <v>532</v>
      </c>
      <c r="E115" t="s">
        <v>48</v>
      </c>
      <c r="F115" t="s">
        <v>84</v>
      </c>
      <c r="G115" t="s">
        <v>412</v>
      </c>
      <c r="H115" t="s">
        <v>42</v>
      </c>
      <c r="I115" t="s">
        <v>43</v>
      </c>
      <c r="J115" t="s">
        <v>73</v>
      </c>
      <c r="K115">
        <v>1</v>
      </c>
      <c r="L115">
        <v>502.26</v>
      </c>
      <c r="M115" s="3">
        <v>0.1</v>
      </c>
      <c r="N115" t="str">
        <f>VLOOKUP(Table1[[#This Row],[Country]],REF_Country!$A$1:$D$11,2,FALSE)</f>
        <v>Southeast Asia</v>
      </c>
      <c r="O115" t="str">
        <f>VLOOKUP(Table1[[#This Row],[Country]],REF_Country!$A$1:$D$11,3,FALSE)</f>
        <v>SG</v>
      </c>
      <c r="P115">
        <f>VLOOKUP(Table1[[#This Row],[Country]],REF_Country!$A$1:$D$11,4,FALSE)</f>
        <v>7.0000000000000007E-2</v>
      </c>
      <c r="Q115">
        <f>VLOOKUP(Table1[[#This Row],[Category]],REF_Target!$A$1:$E$6,2,FALSE)</f>
        <v>30000</v>
      </c>
      <c r="R115">
        <f>Table1[[#This Row],[Quantity]]*Table1[[#This Row],[Unit_Price]]</f>
        <v>502.26</v>
      </c>
      <c r="S115">
        <f>Table1[[#This Row],[Gross_Sales]]*Table1[[#This Row],[Discount_Rate]]</f>
        <v>50.225999999999999</v>
      </c>
      <c r="T115">
        <f>Table1[[#This Row],[Gross_Sales]]-Table1[[#This Row],[Discount_Amount]]</f>
        <v>452.03399999999999</v>
      </c>
      <c r="U115">
        <f>VLOOKUP(Table1[[#This Row],[Category]],REF_Cost!$A$1:$B$6,2,FALSE)*Table1[[#This Row],[Quantity]]</f>
        <v>200</v>
      </c>
      <c r="V115">
        <f>Table1[[#This Row],[Net_Sales]]-Table1[[#This Row],[Total_Cost]]</f>
        <v>252.03399999999999</v>
      </c>
      <c r="W115" t="str">
        <f>TEXT(Table1[[#This Row],[Order_Date]],"mmm")</f>
        <v>Apr</v>
      </c>
      <c r="X115">
        <f>ROUNDUP(MONTH(Table1[[#This Row],[Order_Date]])/3,0)</f>
        <v>2</v>
      </c>
      <c r="Y115">
        <f>YEAR(Table1[[#This Row],[Order_Date]])</f>
        <v>2024</v>
      </c>
    </row>
    <row r="116" spans="1:25" x14ac:dyDescent="0.25">
      <c r="A116" t="s">
        <v>533</v>
      </c>
      <c r="B116" t="s">
        <v>534</v>
      </c>
      <c r="C116" t="s">
        <v>535</v>
      </c>
      <c r="D116" t="s">
        <v>536</v>
      </c>
      <c r="E116" t="s">
        <v>78</v>
      </c>
      <c r="F116" t="s">
        <v>40</v>
      </c>
      <c r="G116" t="s">
        <v>315</v>
      </c>
      <c r="H116" t="s">
        <v>32</v>
      </c>
      <c r="I116" t="s">
        <v>96</v>
      </c>
      <c r="J116" t="s">
        <v>126</v>
      </c>
      <c r="K116">
        <v>1</v>
      </c>
      <c r="L116">
        <v>122.03</v>
      </c>
      <c r="M116" s="3">
        <v>0.1</v>
      </c>
      <c r="N116" t="str">
        <f>VLOOKUP(Table1[[#This Row],[Country]],REF_Country!$A$1:$D$11,2,FALSE)</f>
        <v>Oceania</v>
      </c>
      <c r="O116" t="str">
        <f>VLOOKUP(Table1[[#This Row],[Country]],REF_Country!$A$1:$D$11,3,FALSE)</f>
        <v>AU</v>
      </c>
      <c r="P116">
        <f>VLOOKUP(Table1[[#This Row],[Country]],REF_Country!$A$1:$D$11,4,FALSE)</f>
        <v>0.1</v>
      </c>
      <c r="Q116">
        <f>VLOOKUP(Table1[[#This Row],[Category]],REF_Target!$A$1:$E$6,2,FALSE)</f>
        <v>45000</v>
      </c>
      <c r="R116">
        <f>Table1[[#This Row],[Quantity]]*Table1[[#This Row],[Unit_Price]]</f>
        <v>122.03</v>
      </c>
      <c r="S116">
        <f>Table1[[#This Row],[Gross_Sales]]*Table1[[#This Row],[Discount_Rate]]</f>
        <v>12.203000000000001</v>
      </c>
      <c r="T116">
        <f>Table1[[#This Row],[Gross_Sales]]-Table1[[#This Row],[Discount_Amount]]</f>
        <v>109.827</v>
      </c>
      <c r="U116">
        <f>VLOOKUP(Table1[[#This Row],[Category]],REF_Cost!$A$1:$B$6,2,FALSE)*Table1[[#This Row],[Quantity]]</f>
        <v>80</v>
      </c>
      <c r="V116">
        <f>Table1[[#This Row],[Net_Sales]]-Table1[[#This Row],[Total_Cost]]</f>
        <v>29.826999999999998</v>
      </c>
      <c r="W116" t="str">
        <f>TEXT(Table1[[#This Row],[Order_Date]],"mmm")</f>
        <v>Sep</v>
      </c>
      <c r="X116">
        <f>ROUNDUP(MONTH(Table1[[#This Row],[Order_Date]])/3,0)</f>
        <v>3</v>
      </c>
      <c r="Y116">
        <f>YEAR(Table1[[#This Row],[Order_Date]])</f>
        <v>2024</v>
      </c>
    </row>
    <row r="117" spans="1:25" x14ac:dyDescent="0.25">
      <c r="A117" t="s">
        <v>537</v>
      </c>
      <c r="B117" t="s">
        <v>538</v>
      </c>
      <c r="C117" t="s">
        <v>539</v>
      </c>
      <c r="D117" t="s">
        <v>540</v>
      </c>
      <c r="E117" t="s">
        <v>149</v>
      </c>
      <c r="F117" t="s">
        <v>49</v>
      </c>
      <c r="G117" t="s">
        <v>50</v>
      </c>
      <c r="H117" t="s">
        <v>72</v>
      </c>
      <c r="I117" t="s">
        <v>33</v>
      </c>
      <c r="J117" t="s">
        <v>34</v>
      </c>
      <c r="K117">
        <v>1</v>
      </c>
      <c r="L117">
        <v>186.03</v>
      </c>
      <c r="M117" s="3">
        <v>0.05</v>
      </c>
      <c r="N117" t="str">
        <f>VLOOKUP(Table1[[#This Row],[Country]],REF_Country!$A$1:$D$11,2,FALSE)</f>
        <v>East Asia</v>
      </c>
      <c r="O117" t="str">
        <f>VLOOKUP(Table1[[#This Row],[Country]],REF_Country!$A$1:$D$11,3,FALSE)</f>
        <v>JP</v>
      </c>
      <c r="P117">
        <f>VLOOKUP(Table1[[#This Row],[Country]],REF_Country!$A$1:$D$11,4,FALSE)</f>
        <v>0.1</v>
      </c>
      <c r="Q117">
        <f>VLOOKUP(Table1[[#This Row],[Category]],REF_Target!$A$1:$E$6,2,FALSE)</f>
        <v>35000</v>
      </c>
      <c r="R117">
        <f>Table1[[#This Row],[Quantity]]*Table1[[#This Row],[Unit_Price]]</f>
        <v>186.03</v>
      </c>
      <c r="S117">
        <f>Table1[[#This Row],[Gross_Sales]]*Table1[[#This Row],[Discount_Rate]]</f>
        <v>9.3015000000000008</v>
      </c>
      <c r="T117">
        <f>Table1[[#This Row],[Gross_Sales]]-Table1[[#This Row],[Discount_Amount]]</f>
        <v>176.7285</v>
      </c>
      <c r="U117">
        <f>VLOOKUP(Table1[[#This Row],[Category]],REF_Cost!$A$1:$B$6,2,FALSE)*Table1[[#This Row],[Quantity]]</f>
        <v>150</v>
      </c>
      <c r="V117">
        <f>Table1[[#This Row],[Net_Sales]]-Table1[[#This Row],[Total_Cost]]</f>
        <v>26.728499999999997</v>
      </c>
      <c r="W117" t="str">
        <f>TEXT(Table1[[#This Row],[Order_Date]],"mmm")</f>
        <v>Oct</v>
      </c>
      <c r="X117">
        <f>ROUNDUP(MONTH(Table1[[#This Row],[Order_Date]])/3,0)</f>
        <v>4</v>
      </c>
      <c r="Y117">
        <f>YEAR(Table1[[#This Row],[Order_Date]])</f>
        <v>2024</v>
      </c>
    </row>
    <row r="118" spans="1:25" x14ac:dyDescent="0.25">
      <c r="A118" t="s">
        <v>541</v>
      </c>
      <c r="B118" t="s">
        <v>542</v>
      </c>
      <c r="C118" t="s">
        <v>543</v>
      </c>
      <c r="D118" t="s">
        <v>544</v>
      </c>
      <c r="E118" t="s">
        <v>116</v>
      </c>
      <c r="F118" t="s">
        <v>30</v>
      </c>
      <c r="G118" t="s">
        <v>195</v>
      </c>
      <c r="H118" t="s">
        <v>42</v>
      </c>
      <c r="I118" t="s">
        <v>66</v>
      </c>
      <c r="J118" t="s">
        <v>59</v>
      </c>
      <c r="K118">
        <v>9</v>
      </c>
      <c r="L118">
        <v>889.47</v>
      </c>
      <c r="M118" s="3">
        <v>0</v>
      </c>
      <c r="N118" t="str">
        <f>VLOOKUP(Table1[[#This Row],[Country]],REF_Country!$A$1:$D$11,2,FALSE)</f>
        <v>Southeast Asia</v>
      </c>
      <c r="O118" t="str">
        <f>VLOOKUP(Table1[[#This Row],[Country]],REF_Country!$A$1:$D$11,3,FALSE)</f>
        <v>MY</v>
      </c>
      <c r="P118">
        <f>VLOOKUP(Table1[[#This Row],[Country]],REF_Country!$A$1:$D$11,4,FALSE)</f>
        <v>0.06</v>
      </c>
      <c r="Q118">
        <f>VLOOKUP(Table1[[#This Row],[Category]],REF_Target!$A$1:$E$6,2,FALSE)</f>
        <v>40000</v>
      </c>
      <c r="R118">
        <f>Table1[[#This Row],[Quantity]]*Table1[[#This Row],[Unit_Price]]</f>
        <v>8005.2300000000005</v>
      </c>
      <c r="S118">
        <f>Table1[[#This Row],[Gross_Sales]]*Table1[[#This Row],[Discount_Rate]]</f>
        <v>0</v>
      </c>
      <c r="T118">
        <f>Table1[[#This Row],[Gross_Sales]]-Table1[[#This Row],[Discount_Amount]]</f>
        <v>8005.2300000000005</v>
      </c>
      <c r="U118">
        <f>VLOOKUP(Table1[[#This Row],[Category]],REF_Cost!$A$1:$B$6,2,FALSE)*Table1[[#This Row],[Quantity]]</f>
        <v>1080</v>
      </c>
      <c r="V118">
        <f>Table1[[#This Row],[Net_Sales]]-Table1[[#This Row],[Total_Cost]]</f>
        <v>6925.2300000000005</v>
      </c>
      <c r="W118" t="str">
        <f>TEXT(Table1[[#This Row],[Order_Date]],"mmm")</f>
        <v>Feb</v>
      </c>
      <c r="X118">
        <f>ROUNDUP(MONTH(Table1[[#This Row],[Order_Date]])/3,0)</f>
        <v>1</v>
      </c>
      <c r="Y118">
        <f>YEAR(Table1[[#This Row],[Order_Date]])</f>
        <v>2024</v>
      </c>
    </row>
    <row r="119" spans="1:25" x14ac:dyDescent="0.25">
      <c r="A119" t="s">
        <v>545</v>
      </c>
      <c r="B119" t="s">
        <v>546</v>
      </c>
      <c r="C119" t="s">
        <v>547</v>
      </c>
      <c r="D119" t="s">
        <v>548</v>
      </c>
      <c r="E119" t="s">
        <v>78</v>
      </c>
      <c r="F119" t="s">
        <v>56</v>
      </c>
      <c r="G119" t="s">
        <v>111</v>
      </c>
      <c r="H119" t="s">
        <v>72</v>
      </c>
      <c r="I119" t="s">
        <v>43</v>
      </c>
      <c r="J119" t="s">
        <v>126</v>
      </c>
      <c r="K119">
        <v>6</v>
      </c>
      <c r="L119">
        <v>772.28</v>
      </c>
      <c r="M119" s="3">
        <v>0.05</v>
      </c>
      <c r="N119" t="str">
        <f>VLOOKUP(Table1[[#This Row],[Country]],REF_Country!$A$1:$D$11,2,FALSE)</f>
        <v>Oceania</v>
      </c>
      <c r="O119" t="str">
        <f>VLOOKUP(Table1[[#This Row],[Country]],REF_Country!$A$1:$D$11,3,FALSE)</f>
        <v>AU</v>
      </c>
      <c r="P119">
        <f>VLOOKUP(Table1[[#This Row],[Country]],REF_Country!$A$1:$D$11,4,FALSE)</f>
        <v>0.1</v>
      </c>
      <c r="Q119">
        <f>VLOOKUP(Table1[[#This Row],[Category]],REF_Target!$A$1:$E$6,2,FALSE)</f>
        <v>50000</v>
      </c>
      <c r="R119">
        <f>Table1[[#This Row],[Quantity]]*Table1[[#This Row],[Unit_Price]]</f>
        <v>4633.68</v>
      </c>
      <c r="S119">
        <f>Table1[[#This Row],[Gross_Sales]]*Table1[[#This Row],[Discount_Rate]]</f>
        <v>231.68400000000003</v>
      </c>
      <c r="T119">
        <f>Table1[[#This Row],[Gross_Sales]]-Table1[[#This Row],[Discount_Amount]]</f>
        <v>4401.9960000000001</v>
      </c>
      <c r="U119">
        <f>VLOOKUP(Table1[[#This Row],[Category]],REF_Cost!$A$1:$B$6,2,FALSE)*Table1[[#This Row],[Quantity]]</f>
        <v>2700</v>
      </c>
      <c r="V119">
        <f>Table1[[#This Row],[Net_Sales]]-Table1[[#This Row],[Total_Cost]]</f>
        <v>1701.9960000000001</v>
      </c>
      <c r="W119" t="str">
        <f>TEXT(Table1[[#This Row],[Order_Date]],"mmm")</f>
        <v>Jun</v>
      </c>
      <c r="X119">
        <f>ROUNDUP(MONTH(Table1[[#This Row],[Order_Date]])/3,0)</f>
        <v>2</v>
      </c>
      <c r="Y119">
        <f>YEAR(Table1[[#This Row],[Order_Date]])</f>
        <v>2024</v>
      </c>
    </row>
    <row r="120" spans="1:25" x14ac:dyDescent="0.25">
      <c r="A120" t="s">
        <v>549</v>
      </c>
      <c r="B120" t="s">
        <v>550</v>
      </c>
      <c r="C120" t="s">
        <v>551</v>
      </c>
      <c r="D120" t="s">
        <v>552</v>
      </c>
      <c r="E120" t="s">
        <v>83</v>
      </c>
      <c r="F120" t="s">
        <v>30</v>
      </c>
      <c r="G120" t="s">
        <v>269</v>
      </c>
      <c r="H120" t="s">
        <v>42</v>
      </c>
      <c r="I120" t="s">
        <v>33</v>
      </c>
      <c r="J120" t="s">
        <v>59</v>
      </c>
      <c r="K120">
        <v>8</v>
      </c>
      <c r="L120">
        <v>278.06</v>
      </c>
      <c r="M120" s="3">
        <v>0.1</v>
      </c>
      <c r="N120" t="str">
        <f>VLOOKUP(Table1[[#This Row],[Country]],REF_Country!$A$1:$D$11,2,FALSE)</f>
        <v>South Asia</v>
      </c>
      <c r="O120" t="str">
        <f>VLOOKUP(Table1[[#This Row],[Country]],REF_Country!$A$1:$D$11,3,FALSE)</f>
        <v>IN</v>
      </c>
      <c r="P120">
        <f>VLOOKUP(Table1[[#This Row],[Country]],REF_Country!$A$1:$D$11,4,FALSE)</f>
        <v>0.18</v>
      </c>
      <c r="Q120">
        <f>VLOOKUP(Table1[[#This Row],[Category]],REF_Target!$A$1:$E$6,2,FALSE)</f>
        <v>40000</v>
      </c>
      <c r="R120">
        <f>Table1[[#This Row],[Quantity]]*Table1[[#This Row],[Unit_Price]]</f>
        <v>2224.48</v>
      </c>
      <c r="S120">
        <f>Table1[[#This Row],[Gross_Sales]]*Table1[[#This Row],[Discount_Rate]]</f>
        <v>222.44800000000001</v>
      </c>
      <c r="T120">
        <f>Table1[[#This Row],[Gross_Sales]]-Table1[[#This Row],[Discount_Amount]]</f>
        <v>2002.0319999999999</v>
      </c>
      <c r="U120">
        <f>VLOOKUP(Table1[[#This Row],[Category]],REF_Cost!$A$1:$B$6,2,FALSE)*Table1[[#This Row],[Quantity]]</f>
        <v>960</v>
      </c>
      <c r="V120">
        <f>Table1[[#This Row],[Net_Sales]]-Table1[[#This Row],[Total_Cost]]</f>
        <v>1042.0319999999999</v>
      </c>
      <c r="W120" t="str">
        <f>TEXT(Table1[[#This Row],[Order_Date]],"mmm")</f>
        <v>May</v>
      </c>
      <c r="X120">
        <f>ROUNDUP(MONTH(Table1[[#This Row],[Order_Date]])/3,0)</f>
        <v>2</v>
      </c>
      <c r="Y120">
        <f>YEAR(Table1[[#This Row],[Order_Date]])</f>
        <v>2024</v>
      </c>
    </row>
    <row r="121" spans="1:25" x14ac:dyDescent="0.25">
      <c r="A121" t="s">
        <v>553</v>
      </c>
      <c r="B121" t="s">
        <v>554</v>
      </c>
      <c r="C121" t="s">
        <v>555</v>
      </c>
      <c r="D121" t="s">
        <v>556</v>
      </c>
      <c r="E121" t="s">
        <v>116</v>
      </c>
      <c r="F121" t="s">
        <v>49</v>
      </c>
      <c r="G121" t="s">
        <v>226</v>
      </c>
      <c r="H121" t="s">
        <v>32</v>
      </c>
      <c r="I121" t="s">
        <v>66</v>
      </c>
      <c r="J121" t="s">
        <v>126</v>
      </c>
      <c r="K121">
        <v>5</v>
      </c>
      <c r="L121">
        <v>952.61</v>
      </c>
      <c r="M121" s="3">
        <v>0.15</v>
      </c>
      <c r="N121" t="str">
        <f>VLOOKUP(Table1[[#This Row],[Country]],REF_Country!$A$1:$D$11,2,FALSE)</f>
        <v>Southeast Asia</v>
      </c>
      <c r="O121" t="str">
        <f>VLOOKUP(Table1[[#This Row],[Country]],REF_Country!$A$1:$D$11,3,FALSE)</f>
        <v>MY</v>
      </c>
      <c r="P121">
        <f>VLOOKUP(Table1[[#This Row],[Country]],REF_Country!$A$1:$D$11,4,FALSE)</f>
        <v>0.06</v>
      </c>
      <c r="Q121">
        <f>VLOOKUP(Table1[[#This Row],[Category]],REF_Target!$A$1:$E$6,2,FALSE)</f>
        <v>35000</v>
      </c>
      <c r="R121">
        <f>Table1[[#This Row],[Quantity]]*Table1[[#This Row],[Unit_Price]]</f>
        <v>4763.05</v>
      </c>
      <c r="S121">
        <f>Table1[[#This Row],[Gross_Sales]]*Table1[[#This Row],[Discount_Rate]]</f>
        <v>714.45749999999998</v>
      </c>
      <c r="T121">
        <f>Table1[[#This Row],[Gross_Sales]]-Table1[[#This Row],[Discount_Amount]]</f>
        <v>4048.5925000000002</v>
      </c>
      <c r="U121">
        <f>VLOOKUP(Table1[[#This Row],[Category]],REF_Cost!$A$1:$B$6,2,FALSE)*Table1[[#This Row],[Quantity]]</f>
        <v>750</v>
      </c>
      <c r="V121">
        <f>Table1[[#This Row],[Net_Sales]]-Table1[[#This Row],[Total_Cost]]</f>
        <v>3298.5925000000002</v>
      </c>
      <c r="W121" t="str">
        <f>TEXT(Table1[[#This Row],[Order_Date]],"mmm")</f>
        <v>Jun</v>
      </c>
      <c r="X121">
        <f>ROUNDUP(MONTH(Table1[[#This Row],[Order_Date]])/3,0)</f>
        <v>2</v>
      </c>
      <c r="Y121">
        <f>YEAR(Table1[[#This Row],[Order_Date]])</f>
        <v>2024</v>
      </c>
    </row>
    <row r="122" spans="1:25" x14ac:dyDescent="0.25">
      <c r="A122" t="s">
        <v>557</v>
      </c>
      <c r="B122" t="s">
        <v>558</v>
      </c>
      <c r="C122" t="s">
        <v>559</v>
      </c>
      <c r="D122" t="s">
        <v>560</v>
      </c>
      <c r="E122" t="s">
        <v>64</v>
      </c>
      <c r="F122" t="s">
        <v>84</v>
      </c>
      <c r="G122" t="s">
        <v>412</v>
      </c>
      <c r="H122" t="s">
        <v>42</v>
      </c>
      <c r="I122" t="s">
        <v>96</v>
      </c>
      <c r="J122" t="s">
        <v>126</v>
      </c>
      <c r="K122">
        <v>2</v>
      </c>
      <c r="L122">
        <v>128.94999999999999</v>
      </c>
      <c r="M122" s="3">
        <v>0.15</v>
      </c>
      <c r="N122" t="str">
        <f>VLOOKUP(Table1[[#This Row],[Country]],REF_Country!$A$1:$D$11,2,FALSE)</f>
        <v>Southeast Asia</v>
      </c>
      <c r="O122" t="str">
        <f>VLOOKUP(Table1[[#This Row],[Country]],REF_Country!$A$1:$D$11,3,FALSE)</f>
        <v>ID</v>
      </c>
      <c r="P122">
        <f>VLOOKUP(Table1[[#This Row],[Country]],REF_Country!$A$1:$D$11,4,FALSE)</f>
        <v>0.11</v>
      </c>
      <c r="Q122">
        <f>VLOOKUP(Table1[[#This Row],[Category]],REF_Target!$A$1:$E$6,2,FALSE)</f>
        <v>30000</v>
      </c>
      <c r="R122">
        <f>Table1[[#This Row],[Quantity]]*Table1[[#This Row],[Unit_Price]]</f>
        <v>257.89999999999998</v>
      </c>
      <c r="S122">
        <f>Table1[[#This Row],[Gross_Sales]]*Table1[[#This Row],[Discount_Rate]]</f>
        <v>38.684999999999995</v>
      </c>
      <c r="T122">
        <f>Table1[[#This Row],[Gross_Sales]]-Table1[[#This Row],[Discount_Amount]]</f>
        <v>219.21499999999997</v>
      </c>
      <c r="U122">
        <f>VLOOKUP(Table1[[#This Row],[Category]],REF_Cost!$A$1:$B$6,2,FALSE)*Table1[[#This Row],[Quantity]]</f>
        <v>400</v>
      </c>
      <c r="V122">
        <f>Table1[[#This Row],[Net_Sales]]-Table1[[#This Row],[Total_Cost]]</f>
        <v>-180.78500000000003</v>
      </c>
      <c r="W122" t="str">
        <f>TEXT(Table1[[#This Row],[Order_Date]],"mmm")</f>
        <v>Aug</v>
      </c>
      <c r="X122">
        <f>ROUNDUP(MONTH(Table1[[#This Row],[Order_Date]])/3,0)</f>
        <v>3</v>
      </c>
      <c r="Y122">
        <f>YEAR(Table1[[#This Row],[Order_Date]])</f>
        <v>2024</v>
      </c>
    </row>
    <row r="123" spans="1:25" x14ac:dyDescent="0.25">
      <c r="A123" t="s">
        <v>561</v>
      </c>
      <c r="B123" t="s">
        <v>562</v>
      </c>
      <c r="C123" t="s">
        <v>563</v>
      </c>
      <c r="D123" t="s">
        <v>564</v>
      </c>
      <c r="E123" t="s">
        <v>71</v>
      </c>
      <c r="F123" t="s">
        <v>40</v>
      </c>
      <c r="G123" t="s">
        <v>565</v>
      </c>
      <c r="H123" t="s">
        <v>32</v>
      </c>
      <c r="I123" t="s">
        <v>66</v>
      </c>
      <c r="J123" t="s">
        <v>126</v>
      </c>
      <c r="K123">
        <v>1</v>
      </c>
      <c r="L123">
        <v>759.53</v>
      </c>
      <c r="M123" s="3">
        <v>0.1</v>
      </c>
      <c r="N123" t="str">
        <f>VLOOKUP(Table1[[#This Row],[Country]],REF_Country!$A$1:$D$11,2,FALSE)</f>
        <v>Southeast Asia</v>
      </c>
      <c r="O123" t="str">
        <f>VLOOKUP(Table1[[#This Row],[Country]],REF_Country!$A$1:$D$11,3,FALSE)</f>
        <v>PH</v>
      </c>
      <c r="P123">
        <f>VLOOKUP(Table1[[#This Row],[Country]],REF_Country!$A$1:$D$11,4,FALSE)</f>
        <v>0.12</v>
      </c>
      <c r="Q123">
        <f>VLOOKUP(Table1[[#This Row],[Category]],REF_Target!$A$1:$E$6,2,FALSE)</f>
        <v>45000</v>
      </c>
      <c r="R123">
        <f>Table1[[#This Row],[Quantity]]*Table1[[#This Row],[Unit_Price]]</f>
        <v>759.53</v>
      </c>
      <c r="S123">
        <f>Table1[[#This Row],[Gross_Sales]]*Table1[[#This Row],[Discount_Rate]]</f>
        <v>75.953000000000003</v>
      </c>
      <c r="T123">
        <f>Table1[[#This Row],[Gross_Sales]]-Table1[[#This Row],[Discount_Amount]]</f>
        <v>683.577</v>
      </c>
      <c r="U123">
        <f>VLOOKUP(Table1[[#This Row],[Category]],REF_Cost!$A$1:$B$6,2,FALSE)*Table1[[#This Row],[Quantity]]</f>
        <v>80</v>
      </c>
      <c r="V123">
        <f>Table1[[#This Row],[Net_Sales]]-Table1[[#This Row],[Total_Cost]]</f>
        <v>603.577</v>
      </c>
      <c r="W123" t="str">
        <f>TEXT(Table1[[#This Row],[Order_Date]],"mmm")</f>
        <v>Oct</v>
      </c>
      <c r="X123">
        <f>ROUNDUP(MONTH(Table1[[#This Row],[Order_Date]])/3,0)</f>
        <v>4</v>
      </c>
      <c r="Y123">
        <f>YEAR(Table1[[#This Row],[Order_Date]])</f>
        <v>2024</v>
      </c>
    </row>
    <row r="124" spans="1:25" x14ac:dyDescent="0.25">
      <c r="A124" t="s">
        <v>566</v>
      </c>
      <c r="B124" t="s">
        <v>567</v>
      </c>
      <c r="C124" t="s">
        <v>568</v>
      </c>
      <c r="D124" t="s">
        <v>569</v>
      </c>
      <c r="E124" t="s">
        <v>39</v>
      </c>
      <c r="F124" t="s">
        <v>49</v>
      </c>
      <c r="G124" t="s">
        <v>226</v>
      </c>
      <c r="H124" t="s">
        <v>58</v>
      </c>
      <c r="I124" t="s">
        <v>66</v>
      </c>
      <c r="J124" t="s">
        <v>59</v>
      </c>
      <c r="K124">
        <v>10</v>
      </c>
      <c r="L124">
        <v>793.24</v>
      </c>
      <c r="M124" s="3">
        <v>0</v>
      </c>
      <c r="N124" t="str">
        <f>VLOOKUP(Table1[[#This Row],[Country]],REF_Country!$A$1:$D$11,2,FALSE)</f>
        <v>Southeast Asia</v>
      </c>
      <c r="O124" t="str">
        <f>VLOOKUP(Table1[[#This Row],[Country]],REF_Country!$A$1:$D$11,3,FALSE)</f>
        <v>TH</v>
      </c>
      <c r="P124">
        <f>VLOOKUP(Table1[[#This Row],[Country]],REF_Country!$A$1:$D$11,4,FALSE)</f>
        <v>7.0000000000000007E-2</v>
      </c>
      <c r="Q124">
        <f>VLOOKUP(Table1[[#This Row],[Category]],REF_Target!$A$1:$E$6,2,FALSE)</f>
        <v>35000</v>
      </c>
      <c r="R124">
        <f>Table1[[#This Row],[Quantity]]*Table1[[#This Row],[Unit_Price]]</f>
        <v>7932.4</v>
      </c>
      <c r="S124">
        <f>Table1[[#This Row],[Gross_Sales]]*Table1[[#This Row],[Discount_Rate]]</f>
        <v>0</v>
      </c>
      <c r="T124">
        <f>Table1[[#This Row],[Gross_Sales]]-Table1[[#This Row],[Discount_Amount]]</f>
        <v>7932.4</v>
      </c>
      <c r="U124">
        <f>VLOOKUP(Table1[[#This Row],[Category]],REF_Cost!$A$1:$B$6,2,FALSE)*Table1[[#This Row],[Quantity]]</f>
        <v>1500</v>
      </c>
      <c r="V124">
        <f>Table1[[#This Row],[Net_Sales]]-Table1[[#This Row],[Total_Cost]]</f>
        <v>6432.4</v>
      </c>
      <c r="W124" t="str">
        <f>TEXT(Table1[[#This Row],[Order_Date]],"mmm")</f>
        <v>Nov</v>
      </c>
      <c r="X124">
        <f>ROUNDUP(MONTH(Table1[[#This Row],[Order_Date]])/3,0)</f>
        <v>4</v>
      </c>
      <c r="Y124">
        <f>YEAR(Table1[[#This Row],[Order_Date]])</f>
        <v>2024</v>
      </c>
    </row>
    <row r="125" spans="1:25" x14ac:dyDescent="0.25">
      <c r="A125" t="s">
        <v>570</v>
      </c>
      <c r="B125" t="s">
        <v>571</v>
      </c>
      <c r="C125" t="s">
        <v>572</v>
      </c>
      <c r="D125" t="s">
        <v>573</v>
      </c>
      <c r="E125" t="s">
        <v>83</v>
      </c>
      <c r="F125" t="s">
        <v>56</v>
      </c>
      <c r="G125" t="s">
        <v>190</v>
      </c>
      <c r="H125" t="s">
        <v>42</v>
      </c>
      <c r="I125" t="s">
        <v>66</v>
      </c>
      <c r="J125" t="s">
        <v>59</v>
      </c>
      <c r="K125">
        <v>2</v>
      </c>
      <c r="L125">
        <v>112.88</v>
      </c>
      <c r="M125" s="3">
        <v>0.15</v>
      </c>
      <c r="N125" t="str">
        <f>VLOOKUP(Table1[[#This Row],[Country]],REF_Country!$A$1:$D$11,2,FALSE)</f>
        <v>South Asia</v>
      </c>
      <c r="O125" t="str">
        <f>VLOOKUP(Table1[[#This Row],[Country]],REF_Country!$A$1:$D$11,3,FALSE)</f>
        <v>IN</v>
      </c>
      <c r="P125">
        <f>VLOOKUP(Table1[[#This Row],[Country]],REF_Country!$A$1:$D$11,4,FALSE)</f>
        <v>0.18</v>
      </c>
      <c r="Q125">
        <f>VLOOKUP(Table1[[#This Row],[Category]],REF_Target!$A$1:$E$6,2,FALSE)</f>
        <v>50000</v>
      </c>
      <c r="R125">
        <f>Table1[[#This Row],[Quantity]]*Table1[[#This Row],[Unit_Price]]</f>
        <v>225.76</v>
      </c>
      <c r="S125">
        <f>Table1[[#This Row],[Gross_Sales]]*Table1[[#This Row],[Discount_Rate]]</f>
        <v>33.863999999999997</v>
      </c>
      <c r="T125">
        <f>Table1[[#This Row],[Gross_Sales]]-Table1[[#This Row],[Discount_Amount]]</f>
        <v>191.89599999999999</v>
      </c>
      <c r="U125">
        <f>VLOOKUP(Table1[[#This Row],[Category]],REF_Cost!$A$1:$B$6,2,FALSE)*Table1[[#This Row],[Quantity]]</f>
        <v>900</v>
      </c>
      <c r="V125">
        <f>Table1[[#This Row],[Net_Sales]]-Table1[[#This Row],[Total_Cost]]</f>
        <v>-708.10400000000004</v>
      </c>
      <c r="W125" t="str">
        <f>TEXT(Table1[[#This Row],[Order_Date]],"mmm")</f>
        <v>Jul</v>
      </c>
      <c r="X125">
        <f>ROUNDUP(MONTH(Table1[[#This Row],[Order_Date]])/3,0)</f>
        <v>3</v>
      </c>
      <c r="Y125">
        <f>YEAR(Table1[[#This Row],[Order_Date]])</f>
        <v>2024</v>
      </c>
    </row>
    <row r="126" spans="1:25" x14ac:dyDescent="0.25">
      <c r="A126" t="s">
        <v>574</v>
      </c>
      <c r="B126" t="s">
        <v>575</v>
      </c>
      <c r="C126" t="s">
        <v>576</v>
      </c>
      <c r="D126" t="s">
        <v>577</v>
      </c>
      <c r="E126" t="s">
        <v>116</v>
      </c>
      <c r="F126" t="s">
        <v>40</v>
      </c>
      <c r="G126" t="s">
        <v>106</v>
      </c>
      <c r="H126" t="s">
        <v>42</v>
      </c>
      <c r="I126" t="s">
        <v>43</v>
      </c>
      <c r="J126" t="s">
        <v>126</v>
      </c>
      <c r="K126">
        <v>5</v>
      </c>
      <c r="L126">
        <v>1376.37</v>
      </c>
      <c r="M126" s="3">
        <v>0.2</v>
      </c>
      <c r="N126" t="str">
        <f>VLOOKUP(Table1[[#This Row],[Country]],REF_Country!$A$1:$D$11,2,FALSE)</f>
        <v>Southeast Asia</v>
      </c>
      <c r="O126" t="str">
        <f>VLOOKUP(Table1[[#This Row],[Country]],REF_Country!$A$1:$D$11,3,FALSE)</f>
        <v>MY</v>
      </c>
      <c r="P126">
        <f>VLOOKUP(Table1[[#This Row],[Country]],REF_Country!$A$1:$D$11,4,FALSE)</f>
        <v>0.06</v>
      </c>
      <c r="Q126">
        <f>VLOOKUP(Table1[[#This Row],[Category]],REF_Target!$A$1:$E$6,2,FALSE)</f>
        <v>45000</v>
      </c>
      <c r="R126">
        <f>Table1[[#This Row],[Quantity]]*Table1[[#This Row],[Unit_Price]]</f>
        <v>6881.8499999999995</v>
      </c>
      <c r="S126">
        <f>Table1[[#This Row],[Gross_Sales]]*Table1[[#This Row],[Discount_Rate]]</f>
        <v>1376.37</v>
      </c>
      <c r="T126">
        <f>Table1[[#This Row],[Gross_Sales]]-Table1[[#This Row],[Discount_Amount]]</f>
        <v>5505.48</v>
      </c>
      <c r="U126">
        <f>VLOOKUP(Table1[[#This Row],[Category]],REF_Cost!$A$1:$B$6,2,FALSE)*Table1[[#This Row],[Quantity]]</f>
        <v>400</v>
      </c>
      <c r="V126">
        <f>Table1[[#This Row],[Net_Sales]]-Table1[[#This Row],[Total_Cost]]</f>
        <v>5105.4799999999996</v>
      </c>
      <c r="W126" t="str">
        <f>TEXT(Table1[[#This Row],[Order_Date]],"mmm")</f>
        <v>Nov</v>
      </c>
      <c r="X126">
        <f>ROUNDUP(MONTH(Table1[[#This Row],[Order_Date]])/3,0)</f>
        <v>4</v>
      </c>
      <c r="Y126">
        <f>YEAR(Table1[[#This Row],[Order_Date]])</f>
        <v>2024</v>
      </c>
    </row>
    <row r="127" spans="1:25" x14ac:dyDescent="0.25">
      <c r="A127" t="s">
        <v>578</v>
      </c>
      <c r="B127" t="s">
        <v>579</v>
      </c>
      <c r="C127" t="s">
        <v>580</v>
      </c>
      <c r="D127" t="s">
        <v>581</v>
      </c>
      <c r="E127" t="s">
        <v>71</v>
      </c>
      <c r="F127" t="s">
        <v>30</v>
      </c>
      <c r="G127" t="s">
        <v>139</v>
      </c>
      <c r="H127" t="s">
        <v>58</v>
      </c>
      <c r="I127" t="s">
        <v>51</v>
      </c>
      <c r="J127" t="s">
        <v>59</v>
      </c>
      <c r="K127">
        <v>7</v>
      </c>
      <c r="L127">
        <v>153.78</v>
      </c>
      <c r="M127" s="3">
        <v>0.15</v>
      </c>
      <c r="N127" t="str">
        <f>VLOOKUP(Table1[[#This Row],[Country]],REF_Country!$A$1:$D$11,2,FALSE)</f>
        <v>Southeast Asia</v>
      </c>
      <c r="O127" t="str">
        <f>VLOOKUP(Table1[[#This Row],[Country]],REF_Country!$A$1:$D$11,3,FALSE)</f>
        <v>PH</v>
      </c>
      <c r="P127">
        <f>VLOOKUP(Table1[[#This Row],[Country]],REF_Country!$A$1:$D$11,4,FALSE)</f>
        <v>0.12</v>
      </c>
      <c r="Q127">
        <f>VLOOKUP(Table1[[#This Row],[Category]],REF_Target!$A$1:$E$6,2,FALSE)</f>
        <v>40000</v>
      </c>
      <c r="R127">
        <f>Table1[[#This Row],[Quantity]]*Table1[[#This Row],[Unit_Price]]</f>
        <v>1076.46</v>
      </c>
      <c r="S127">
        <f>Table1[[#This Row],[Gross_Sales]]*Table1[[#This Row],[Discount_Rate]]</f>
        <v>161.46899999999999</v>
      </c>
      <c r="T127">
        <f>Table1[[#This Row],[Gross_Sales]]-Table1[[#This Row],[Discount_Amount]]</f>
        <v>914.99099999999999</v>
      </c>
      <c r="U127">
        <f>VLOOKUP(Table1[[#This Row],[Category]],REF_Cost!$A$1:$B$6,2,FALSE)*Table1[[#This Row],[Quantity]]</f>
        <v>840</v>
      </c>
      <c r="V127">
        <f>Table1[[#This Row],[Net_Sales]]-Table1[[#This Row],[Total_Cost]]</f>
        <v>74.990999999999985</v>
      </c>
      <c r="W127" t="str">
        <f>TEXT(Table1[[#This Row],[Order_Date]],"mmm")</f>
        <v>Oct</v>
      </c>
      <c r="X127">
        <f>ROUNDUP(MONTH(Table1[[#This Row],[Order_Date]])/3,0)</f>
        <v>4</v>
      </c>
      <c r="Y127">
        <f>YEAR(Table1[[#This Row],[Order_Date]])</f>
        <v>2024</v>
      </c>
    </row>
    <row r="128" spans="1:25" x14ac:dyDescent="0.25">
      <c r="A128" t="s">
        <v>582</v>
      </c>
      <c r="B128" t="s">
        <v>583</v>
      </c>
      <c r="C128" t="s">
        <v>584</v>
      </c>
      <c r="D128" t="s">
        <v>585</v>
      </c>
      <c r="E128" t="s">
        <v>200</v>
      </c>
      <c r="F128" t="s">
        <v>30</v>
      </c>
      <c r="G128" t="s">
        <v>31</v>
      </c>
      <c r="H128" t="s">
        <v>58</v>
      </c>
      <c r="I128" t="s">
        <v>51</v>
      </c>
      <c r="J128" t="s">
        <v>126</v>
      </c>
      <c r="K128">
        <v>3</v>
      </c>
      <c r="L128">
        <v>1499.97</v>
      </c>
      <c r="M128" s="3">
        <v>0</v>
      </c>
      <c r="N128" t="str">
        <f>VLOOKUP(Table1[[#This Row],[Country]],REF_Country!$A$1:$D$11,2,FALSE)</f>
        <v>East Asia</v>
      </c>
      <c r="O128" t="str">
        <f>VLOOKUP(Table1[[#This Row],[Country]],REF_Country!$A$1:$D$11,3,FALSE)</f>
        <v>KR</v>
      </c>
      <c r="P128">
        <f>VLOOKUP(Table1[[#This Row],[Country]],REF_Country!$A$1:$D$11,4,FALSE)</f>
        <v>0.1</v>
      </c>
      <c r="Q128">
        <f>VLOOKUP(Table1[[#This Row],[Category]],REF_Target!$A$1:$E$6,2,FALSE)</f>
        <v>40000</v>
      </c>
      <c r="R128">
        <f>Table1[[#This Row],[Quantity]]*Table1[[#This Row],[Unit_Price]]</f>
        <v>4499.91</v>
      </c>
      <c r="S128">
        <f>Table1[[#This Row],[Gross_Sales]]*Table1[[#This Row],[Discount_Rate]]</f>
        <v>0</v>
      </c>
      <c r="T128">
        <f>Table1[[#This Row],[Gross_Sales]]-Table1[[#This Row],[Discount_Amount]]</f>
        <v>4499.91</v>
      </c>
      <c r="U128">
        <f>VLOOKUP(Table1[[#This Row],[Category]],REF_Cost!$A$1:$B$6,2,FALSE)*Table1[[#This Row],[Quantity]]</f>
        <v>360</v>
      </c>
      <c r="V128">
        <f>Table1[[#This Row],[Net_Sales]]-Table1[[#This Row],[Total_Cost]]</f>
        <v>4139.91</v>
      </c>
      <c r="W128" t="str">
        <f>TEXT(Table1[[#This Row],[Order_Date]],"mmm")</f>
        <v>Apr</v>
      </c>
      <c r="X128">
        <f>ROUNDUP(MONTH(Table1[[#This Row],[Order_Date]])/3,0)</f>
        <v>2</v>
      </c>
      <c r="Y128">
        <f>YEAR(Table1[[#This Row],[Order_Date]])</f>
        <v>2024</v>
      </c>
    </row>
    <row r="129" spans="1:25" x14ac:dyDescent="0.25">
      <c r="A129" t="s">
        <v>586</v>
      </c>
      <c r="B129" t="s">
        <v>587</v>
      </c>
      <c r="C129" t="s">
        <v>588</v>
      </c>
      <c r="D129" t="s">
        <v>589</v>
      </c>
      <c r="E129" t="s">
        <v>83</v>
      </c>
      <c r="F129" t="s">
        <v>49</v>
      </c>
      <c r="G129" t="s">
        <v>286</v>
      </c>
      <c r="H129" t="s">
        <v>42</v>
      </c>
      <c r="I129" t="s">
        <v>51</v>
      </c>
      <c r="J129" t="s">
        <v>34</v>
      </c>
      <c r="K129">
        <v>10</v>
      </c>
      <c r="L129">
        <v>255.94</v>
      </c>
      <c r="M129" s="3">
        <v>0</v>
      </c>
      <c r="N129" t="str">
        <f>VLOOKUP(Table1[[#This Row],[Country]],REF_Country!$A$1:$D$11,2,FALSE)</f>
        <v>South Asia</v>
      </c>
      <c r="O129" t="str">
        <f>VLOOKUP(Table1[[#This Row],[Country]],REF_Country!$A$1:$D$11,3,FALSE)</f>
        <v>IN</v>
      </c>
      <c r="P129">
        <f>VLOOKUP(Table1[[#This Row],[Country]],REF_Country!$A$1:$D$11,4,FALSE)</f>
        <v>0.18</v>
      </c>
      <c r="Q129">
        <f>VLOOKUP(Table1[[#This Row],[Category]],REF_Target!$A$1:$E$6,2,FALSE)</f>
        <v>35000</v>
      </c>
      <c r="R129">
        <f>Table1[[#This Row],[Quantity]]*Table1[[#This Row],[Unit_Price]]</f>
        <v>2559.4</v>
      </c>
      <c r="S129">
        <f>Table1[[#This Row],[Gross_Sales]]*Table1[[#This Row],[Discount_Rate]]</f>
        <v>0</v>
      </c>
      <c r="T129">
        <f>Table1[[#This Row],[Gross_Sales]]-Table1[[#This Row],[Discount_Amount]]</f>
        <v>2559.4</v>
      </c>
      <c r="U129">
        <f>VLOOKUP(Table1[[#This Row],[Category]],REF_Cost!$A$1:$B$6,2,FALSE)*Table1[[#This Row],[Quantity]]</f>
        <v>1500</v>
      </c>
      <c r="V129">
        <f>Table1[[#This Row],[Net_Sales]]-Table1[[#This Row],[Total_Cost]]</f>
        <v>1059.4000000000001</v>
      </c>
      <c r="W129" t="str">
        <f>TEXT(Table1[[#This Row],[Order_Date]],"mmm")</f>
        <v>Jun</v>
      </c>
      <c r="X129">
        <f>ROUNDUP(MONTH(Table1[[#This Row],[Order_Date]])/3,0)</f>
        <v>2</v>
      </c>
      <c r="Y129">
        <f>YEAR(Table1[[#This Row],[Order_Date]])</f>
        <v>2024</v>
      </c>
    </row>
    <row r="130" spans="1:25" x14ac:dyDescent="0.25">
      <c r="A130" t="s">
        <v>590</v>
      </c>
      <c r="B130" t="s">
        <v>591</v>
      </c>
      <c r="C130" t="s">
        <v>592</v>
      </c>
      <c r="D130" t="s">
        <v>593</v>
      </c>
      <c r="E130" t="s">
        <v>200</v>
      </c>
      <c r="F130" t="s">
        <v>40</v>
      </c>
      <c r="G130" t="s">
        <v>315</v>
      </c>
      <c r="H130" t="s">
        <v>72</v>
      </c>
      <c r="I130" t="s">
        <v>66</v>
      </c>
      <c r="J130" t="s">
        <v>34</v>
      </c>
      <c r="K130">
        <v>8</v>
      </c>
      <c r="L130">
        <v>1132.3</v>
      </c>
      <c r="M130" s="3">
        <v>0</v>
      </c>
      <c r="N130" t="str">
        <f>VLOOKUP(Table1[[#This Row],[Country]],REF_Country!$A$1:$D$11,2,FALSE)</f>
        <v>East Asia</v>
      </c>
      <c r="O130" t="str">
        <f>VLOOKUP(Table1[[#This Row],[Country]],REF_Country!$A$1:$D$11,3,FALSE)</f>
        <v>KR</v>
      </c>
      <c r="P130">
        <f>VLOOKUP(Table1[[#This Row],[Country]],REF_Country!$A$1:$D$11,4,FALSE)</f>
        <v>0.1</v>
      </c>
      <c r="Q130">
        <f>VLOOKUP(Table1[[#This Row],[Category]],REF_Target!$A$1:$E$6,2,FALSE)</f>
        <v>45000</v>
      </c>
      <c r="R130">
        <f>Table1[[#This Row],[Quantity]]*Table1[[#This Row],[Unit_Price]]</f>
        <v>9058.4</v>
      </c>
      <c r="S130">
        <f>Table1[[#This Row],[Gross_Sales]]*Table1[[#This Row],[Discount_Rate]]</f>
        <v>0</v>
      </c>
      <c r="T130">
        <f>Table1[[#This Row],[Gross_Sales]]-Table1[[#This Row],[Discount_Amount]]</f>
        <v>9058.4</v>
      </c>
      <c r="U130">
        <f>VLOOKUP(Table1[[#This Row],[Category]],REF_Cost!$A$1:$B$6,2,FALSE)*Table1[[#This Row],[Quantity]]</f>
        <v>640</v>
      </c>
      <c r="V130">
        <f>Table1[[#This Row],[Net_Sales]]-Table1[[#This Row],[Total_Cost]]</f>
        <v>8418.4</v>
      </c>
      <c r="W130" t="str">
        <f>TEXT(Table1[[#This Row],[Order_Date]],"mmm")</f>
        <v>Dec</v>
      </c>
      <c r="X130">
        <f>ROUNDUP(MONTH(Table1[[#This Row],[Order_Date]])/3,0)</f>
        <v>4</v>
      </c>
      <c r="Y130">
        <f>YEAR(Table1[[#This Row],[Order_Date]])</f>
        <v>2024</v>
      </c>
    </row>
    <row r="131" spans="1:25" x14ac:dyDescent="0.25">
      <c r="A131" t="s">
        <v>594</v>
      </c>
      <c r="B131" t="s">
        <v>595</v>
      </c>
      <c r="C131" t="s">
        <v>596</v>
      </c>
      <c r="D131" t="s">
        <v>597</v>
      </c>
      <c r="E131" t="s">
        <v>200</v>
      </c>
      <c r="F131" t="s">
        <v>49</v>
      </c>
      <c r="G131" t="s">
        <v>50</v>
      </c>
      <c r="H131" t="s">
        <v>42</v>
      </c>
      <c r="I131" t="s">
        <v>43</v>
      </c>
      <c r="J131" t="s">
        <v>73</v>
      </c>
      <c r="K131">
        <v>9</v>
      </c>
      <c r="L131">
        <v>1170.51</v>
      </c>
      <c r="M131" s="3">
        <v>0.15</v>
      </c>
      <c r="N131" t="str">
        <f>VLOOKUP(Table1[[#This Row],[Country]],REF_Country!$A$1:$D$11,2,FALSE)</f>
        <v>East Asia</v>
      </c>
      <c r="O131" t="str">
        <f>VLOOKUP(Table1[[#This Row],[Country]],REF_Country!$A$1:$D$11,3,FALSE)</f>
        <v>KR</v>
      </c>
      <c r="P131">
        <f>VLOOKUP(Table1[[#This Row],[Country]],REF_Country!$A$1:$D$11,4,FALSE)</f>
        <v>0.1</v>
      </c>
      <c r="Q131">
        <f>VLOOKUP(Table1[[#This Row],[Category]],REF_Target!$A$1:$E$6,2,FALSE)</f>
        <v>35000</v>
      </c>
      <c r="R131">
        <f>Table1[[#This Row],[Quantity]]*Table1[[#This Row],[Unit_Price]]</f>
        <v>10534.59</v>
      </c>
      <c r="S131">
        <f>Table1[[#This Row],[Gross_Sales]]*Table1[[#This Row],[Discount_Rate]]</f>
        <v>1580.1885</v>
      </c>
      <c r="T131">
        <f>Table1[[#This Row],[Gross_Sales]]-Table1[[#This Row],[Discount_Amount]]</f>
        <v>8954.4014999999999</v>
      </c>
      <c r="U131">
        <f>VLOOKUP(Table1[[#This Row],[Category]],REF_Cost!$A$1:$B$6,2,FALSE)*Table1[[#This Row],[Quantity]]</f>
        <v>1350</v>
      </c>
      <c r="V131">
        <f>Table1[[#This Row],[Net_Sales]]-Table1[[#This Row],[Total_Cost]]</f>
        <v>7604.4014999999999</v>
      </c>
      <c r="W131" t="str">
        <f>TEXT(Table1[[#This Row],[Order_Date]],"mmm")</f>
        <v>Jul</v>
      </c>
      <c r="X131">
        <f>ROUNDUP(MONTH(Table1[[#This Row],[Order_Date]])/3,0)</f>
        <v>3</v>
      </c>
      <c r="Y131">
        <f>YEAR(Table1[[#This Row],[Order_Date]])</f>
        <v>2024</v>
      </c>
    </row>
    <row r="132" spans="1:25" x14ac:dyDescent="0.25">
      <c r="A132" t="s">
        <v>598</v>
      </c>
      <c r="B132" t="s">
        <v>599</v>
      </c>
      <c r="C132" t="s">
        <v>600</v>
      </c>
      <c r="D132" t="s">
        <v>601</v>
      </c>
      <c r="E132" t="s">
        <v>200</v>
      </c>
      <c r="F132" t="s">
        <v>84</v>
      </c>
      <c r="G132" t="s">
        <v>90</v>
      </c>
      <c r="H132" t="s">
        <v>58</v>
      </c>
      <c r="I132" t="s">
        <v>51</v>
      </c>
      <c r="J132" t="s">
        <v>73</v>
      </c>
      <c r="K132">
        <v>9</v>
      </c>
      <c r="L132">
        <v>1402.43</v>
      </c>
      <c r="M132" s="3">
        <v>0</v>
      </c>
      <c r="N132" t="str">
        <f>VLOOKUP(Table1[[#This Row],[Country]],REF_Country!$A$1:$D$11,2,FALSE)</f>
        <v>East Asia</v>
      </c>
      <c r="O132" t="str">
        <f>VLOOKUP(Table1[[#This Row],[Country]],REF_Country!$A$1:$D$11,3,FALSE)</f>
        <v>KR</v>
      </c>
      <c r="P132">
        <f>VLOOKUP(Table1[[#This Row],[Country]],REF_Country!$A$1:$D$11,4,FALSE)</f>
        <v>0.1</v>
      </c>
      <c r="Q132">
        <f>VLOOKUP(Table1[[#This Row],[Category]],REF_Target!$A$1:$E$6,2,FALSE)</f>
        <v>30000</v>
      </c>
      <c r="R132">
        <f>Table1[[#This Row],[Quantity]]*Table1[[#This Row],[Unit_Price]]</f>
        <v>12621.87</v>
      </c>
      <c r="S132">
        <f>Table1[[#This Row],[Gross_Sales]]*Table1[[#This Row],[Discount_Rate]]</f>
        <v>0</v>
      </c>
      <c r="T132">
        <f>Table1[[#This Row],[Gross_Sales]]-Table1[[#This Row],[Discount_Amount]]</f>
        <v>12621.87</v>
      </c>
      <c r="U132">
        <f>VLOOKUP(Table1[[#This Row],[Category]],REF_Cost!$A$1:$B$6,2,FALSE)*Table1[[#This Row],[Quantity]]</f>
        <v>1800</v>
      </c>
      <c r="V132">
        <f>Table1[[#This Row],[Net_Sales]]-Table1[[#This Row],[Total_Cost]]</f>
        <v>10821.87</v>
      </c>
      <c r="W132" t="str">
        <f>TEXT(Table1[[#This Row],[Order_Date]],"mmm")</f>
        <v>Mar</v>
      </c>
      <c r="X132">
        <f>ROUNDUP(MONTH(Table1[[#This Row],[Order_Date]])/3,0)</f>
        <v>1</v>
      </c>
      <c r="Y132">
        <f>YEAR(Table1[[#This Row],[Order_Date]])</f>
        <v>2024</v>
      </c>
    </row>
    <row r="133" spans="1:25" x14ac:dyDescent="0.25">
      <c r="A133" t="s">
        <v>602</v>
      </c>
      <c r="B133" t="s">
        <v>603</v>
      </c>
      <c r="C133" t="s">
        <v>604</v>
      </c>
      <c r="D133" t="s">
        <v>605</v>
      </c>
      <c r="E133" t="s">
        <v>149</v>
      </c>
      <c r="F133" t="s">
        <v>56</v>
      </c>
      <c r="G133" t="s">
        <v>95</v>
      </c>
      <c r="H133" t="s">
        <v>42</v>
      </c>
      <c r="I133" t="s">
        <v>51</v>
      </c>
      <c r="J133" t="s">
        <v>34</v>
      </c>
      <c r="K133">
        <v>6</v>
      </c>
      <c r="L133">
        <v>1227.8</v>
      </c>
      <c r="M133" s="3">
        <v>0</v>
      </c>
      <c r="N133" t="str">
        <f>VLOOKUP(Table1[[#This Row],[Country]],REF_Country!$A$1:$D$11,2,FALSE)</f>
        <v>East Asia</v>
      </c>
      <c r="O133" t="str">
        <f>VLOOKUP(Table1[[#This Row],[Country]],REF_Country!$A$1:$D$11,3,FALSE)</f>
        <v>JP</v>
      </c>
      <c r="P133">
        <f>VLOOKUP(Table1[[#This Row],[Country]],REF_Country!$A$1:$D$11,4,FALSE)</f>
        <v>0.1</v>
      </c>
      <c r="Q133">
        <f>VLOOKUP(Table1[[#This Row],[Category]],REF_Target!$A$1:$E$6,2,FALSE)</f>
        <v>50000</v>
      </c>
      <c r="R133">
        <f>Table1[[#This Row],[Quantity]]*Table1[[#This Row],[Unit_Price]]</f>
        <v>7366.7999999999993</v>
      </c>
      <c r="S133">
        <f>Table1[[#This Row],[Gross_Sales]]*Table1[[#This Row],[Discount_Rate]]</f>
        <v>0</v>
      </c>
      <c r="T133">
        <f>Table1[[#This Row],[Gross_Sales]]-Table1[[#This Row],[Discount_Amount]]</f>
        <v>7366.7999999999993</v>
      </c>
      <c r="U133">
        <f>VLOOKUP(Table1[[#This Row],[Category]],REF_Cost!$A$1:$B$6,2,FALSE)*Table1[[#This Row],[Quantity]]</f>
        <v>2700</v>
      </c>
      <c r="V133">
        <f>Table1[[#This Row],[Net_Sales]]-Table1[[#This Row],[Total_Cost]]</f>
        <v>4666.7999999999993</v>
      </c>
      <c r="W133" t="str">
        <f>TEXT(Table1[[#This Row],[Order_Date]],"mmm")</f>
        <v>Aug</v>
      </c>
      <c r="X133">
        <f>ROUNDUP(MONTH(Table1[[#This Row],[Order_Date]])/3,0)</f>
        <v>3</v>
      </c>
      <c r="Y133">
        <f>YEAR(Table1[[#This Row],[Order_Date]])</f>
        <v>2024</v>
      </c>
    </row>
    <row r="134" spans="1:25" x14ac:dyDescent="0.25">
      <c r="A134" t="s">
        <v>606</v>
      </c>
      <c r="B134" t="s">
        <v>607</v>
      </c>
      <c r="C134" t="s">
        <v>608</v>
      </c>
      <c r="D134" t="s">
        <v>609</v>
      </c>
      <c r="E134" t="s">
        <v>116</v>
      </c>
      <c r="F134" t="s">
        <v>84</v>
      </c>
      <c r="G134" t="s">
        <v>85</v>
      </c>
      <c r="H134" t="s">
        <v>58</v>
      </c>
      <c r="I134" t="s">
        <v>43</v>
      </c>
      <c r="J134" t="s">
        <v>73</v>
      </c>
      <c r="K134">
        <v>2</v>
      </c>
      <c r="L134">
        <v>56.86</v>
      </c>
      <c r="M134" s="3">
        <v>0.2</v>
      </c>
      <c r="N134" t="str">
        <f>VLOOKUP(Table1[[#This Row],[Country]],REF_Country!$A$1:$D$11,2,FALSE)</f>
        <v>Southeast Asia</v>
      </c>
      <c r="O134" t="str">
        <f>VLOOKUP(Table1[[#This Row],[Country]],REF_Country!$A$1:$D$11,3,FALSE)</f>
        <v>MY</v>
      </c>
      <c r="P134">
        <f>VLOOKUP(Table1[[#This Row],[Country]],REF_Country!$A$1:$D$11,4,FALSE)</f>
        <v>0.06</v>
      </c>
      <c r="Q134">
        <f>VLOOKUP(Table1[[#This Row],[Category]],REF_Target!$A$1:$E$6,2,FALSE)</f>
        <v>30000</v>
      </c>
      <c r="R134">
        <f>Table1[[#This Row],[Quantity]]*Table1[[#This Row],[Unit_Price]]</f>
        <v>113.72</v>
      </c>
      <c r="S134">
        <f>Table1[[#This Row],[Gross_Sales]]*Table1[[#This Row],[Discount_Rate]]</f>
        <v>22.744</v>
      </c>
      <c r="T134">
        <f>Table1[[#This Row],[Gross_Sales]]-Table1[[#This Row],[Discount_Amount]]</f>
        <v>90.975999999999999</v>
      </c>
      <c r="U134">
        <f>VLOOKUP(Table1[[#This Row],[Category]],REF_Cost!$A$1:$B$6,2,FALSE)*Table1[[#This Row],[Quantity]]</f>
        <v>400</v>
      </c>
      <c r="V134">
        <f>Table1[[#This Row],[Net_Sales]]-Table1[[#This Row],[Total_Cost]]</f>
        <v>-309.024</v>
      </c>
      <c r="W134" t="str">
        <f>TEXT(Table1[[#This Row],[Order_Date]],"mmm")</f>
        <v>Jul</v>
      </c>
      <c r="X134">
        <f>ROUNDUP(MONTH(Table1[[#This Row],[Order_Date]])/3,0)</f>
        <v>3</v>
      </c>
      <c r="Y134">
        <f>YEAR(Table1[[#This Row],[Order_Date]])</f>
        <v>2024</v>
      </c>
    </row>
    <row r="135" spans="1:25" x14ac:dyDescent="0.25">
      <c r="A135" t="s">
        <v>610</v>
      </c>
      <c r="B135" t="s">
        <v>611</v>
      </c>
      <c r="C135" t="s">
        <v>612</v>
      </c>
      <c r="D135" t="s">
        <v>613</v>
      </c>
      <c r="E135" t="s">
        <v>48</v>
      </c>
      <c r="F135" t="s">
        <v>49</v>
      </c>
      <c r="G135" t="s">
        <v>226</v>
      </c>
      <c r="H135" t="s">
        <v>58</v>
      </c>
      <c r="I135" t="s">
        <v>43</v>
      </c>
      <c r="J135" t="s">
        <v>73</v>
      </c>
      <c r="K135">
        <v>2</v>
      </c>
      <c r="L135">
        <v>928.79</v>
      </c>
      <c r="M135" s="3">
        <v>0</v>
      </c>
      <c r="N135" t="str">
        <f>VLOOKUP(Table1[[#This Row],[Country]],REF_Country!$A$1:$D$11,2,FALSE)</f>
        <v>Southeast Asia</v>
      </c>
      <c r="O135" t="str">
        <f>VLOOKUP(Table1[[#This Row],[Country]],REF_Country!$A$1:$D$11,3,FALSE)</f>
        <v>SG</v>
      </c>
      <c r="P135">
        <f>VLOOKUP(Table1[[#This Row],[Country]],REF_Country!$A$1:$D$11,4,FALSE)</f>
        <v>7.0000000000000007E-2</v>
      </c>
      <c r="Q135">
        <f>VLOOKUP(Table1[[#This Row],[Category]],REF_Target!$A$1:$E$6,2,FALSE)</f>
        <v>35000</v>
      </c>
      <c r="R135">
        <f>Table1[[#This Row],[Quantity]]*Table1[[#This Row],[Unit_Price]]</f>
        <v>1857.58</v>
      </c>
      <c r="S135">
        <f>Table1[[#This Row],[Gross_Sales]]*Table1[[#This Row],[Discount_Rate]]</f>
        <v>0</v>
      </c>
      <c r="T135">
        <f>Table1[[#This Row],[Gross_Sales]]-Table1[[#This Row],[Discount_Amount]]</f>
        <v>1857.58</v>
      </c>
      <c r="U135">
        <f>VLOOKUP(Table1[[#This Row],[Category]],REF_Cost!$A$1:$B$6,2,FALSE)*Table1[[#This Row],[Quantity]]</f>
        <v>300</v>
      </c>
      <c r="V135">
        <f>Table1[[#This Row],[Net_Sales]]-Table1[[#This Row],[Total_Cost]]</f>
        <v>1557.58</v>
      </c>
      <c r="W135" t="str">
        <f>TEXT(Table1[[#This Row],[Order_Date]],"mmm")</f>
        <v>May</v>
      </c>
      <c r="X135">
        <f>ROUNDUP(MONTH(Table1[[#This Row],[Order_Date]])/3,0)</f>
        <v>2</v>
      </c>
      <c r="Y135">
        <f>YEAR(Table1[[#This Row],[Order_Date]])</f>
        <v>2024</v>
      </c>
    </row>
    <row r="136" spans="1:25" x14ac:dyDescent="0.25">
      <c r="A136" t="s">
        <v>614</v>
      </c>
      <c r="B136" t="s">
        <v>615</v>
      </c>
      <c r="C136" t="s">
        <v>616</v>
      </c>
      <c r="D136" t="s">
        <v>617</v>
      </c>
      <c r="E136" t="s">
        <v>116</v>
      </c>
      <c r="F136" t="s">
        <v>84</v>
      </c>
      <c r="G136" t="s">
        <v>85</v>
      </c>
      <c r="H136" t="s">
        <v>42</v>
      </c>
      <c r="I136" t="s">
        <v>33</v>
      </c>
      <c r="J136" t="s">
        <v>34</v>
      </c>
      <c r="K136">
        <v>1</v>
      </c>
      <c r="L136">
        <v>462.21</v>
      </c>
      <c r="M136" s="3">
        <v>0</v>
      </c>
      <c r="N136" t="str">
        <f>VLOOKUP(Table1[[#This Row],[Country]],REF_Country!$A$1:$D$11,2,FALSE)</f>
        <v>Southeast Asia</v>
      </c>
      <c r="O136" t="str">
        <f>VLOOKUP(Table1[[#This Row],[Country]],REF_Country!$A$1:$D$11,3,FALSE)</f>
        <v>MY</v>
      </c>
      <c r="P136">
        <f>VLOOKUP(Table1[[#This Row],[Country]],REF_Country!$A$1:$D$11,4,FALSE)</f>
        <v>0.06</v>
      </c>
      <c r="Q136">
        <f>VLOOKUP(Table1[[#This Row],[Category]],REF_Target!$A$1:$E$6,2,FALSE)</f>
        <v>30000</v>
      </c>
      <c r="R136">
        <f>Table1[[#This Row],[Quantity]]*Table1[[#This Row],[Unit_Price]]</f>
        <v>462.21</v>
      </c>
      <c r="S136">
        <f>Table1[[#This Row],[Gross_Sales]]*Table1[[#This Row],[Discount_Rate]]</f>
        <v>0</v>
      </c>
      <c r="T136">
        <f>Table1[[#This Row],[Gross_Sales]]-Table1[[#This Row],[Discount_Amount]]</f>
        <v>462.21</v>
      </c>
      <c r="U136">
        <f>VLOOKUP(Table1[[#This Row],[Category]],REF_Cost!$A$1:$B$6,2,FALSE)*Table1[[#This Row],[Quantity]]</f>
        <v>200</v>
      </c>
      <c r="V136">
        <f>Table1[[#This Row],[Net_Sales]]-Table1[[#This Row],[Total_Cost]]</f>
        <v>262.20999999999998</v>
      </c>
      <c r="W136" t="str">
        <f>TEXT(Table1[[#This Row],[Order_Date]],"mmm")</f>
        <v>Nov</v>
      </c>
      <c r="X136">
        <f>ROUNDUP(MONTH(Table1[[#This Row],[Order_Date]])/3,0)</f>
        <v>4</v>
      </c>
      <c r="Y136">
        <f>YEAR(Table1[[#This Row],[Order_Date]])</f>
        <v>2024</v>
      </c>
    </row>
    <row r="137" spans="1:25" x14ac:dyDescent="0.25">
      <c r="A137" t="s">
        <v>618</v>
      </c>
      <c r="B137" t="s">
        <v>619</v>
      </c>
      <c r="C137" t="s">
        <v>620</v>
      </c>
      <c r="D137" t="s">
        <v>621</v>
      </c>
      <c r="E137" t="s">
        <v>78</v>
      </c>
      <c r="F137" t="s">
        <v>56</v>
      </c>
      <c r="G137" t="s">
        <v>111</v>
      </c>
      <c r="H137" t="s">
        <v>42</v>
      </c>
      <c r="I137" t="s">
        <v>51</v>
      </c>
      <c r="J137" t="s">
        <v>59</v>
      </c>
      <c r="K137">
        <v>3</v>
      </c>
      <c r="L137">
        <v>868.95</v>
      </c>
      <c r="M137" s="3">
        <v>0.05</v>
      </c>
      <c r="N137" t="str">
        <f>VLOOKUP(Table1[[#This Row],[Country]],REF_Country!$A$1:$D$11,2,FALSE)</f>
        <v>Oceania</v>
      </c>
      <c r="O137" t="str">
        <f>VLOOKUP(Table1[[#This Row],[Country]],REF_Country!$A$1:$D$11,3,FALSE)</f>
        <v>AU</v>
      </c>
      <c r="P137">
        <f>VLOOKUP(Table1[[#This Row],[Country]],REF_Country!$A$1:$D$11,4,FALSE)</f>
        <v>0.1</v>
      </c>
      <c r="Q137">
        <f>VLOOKUP(Table1[[#This Row],[Category]],REF_Target!$A$1:$E$6,2,FALSE)</f>
        <v>50000</v>
      </c>
      <c r="R137">
        <f>Table1[[#This Row],[Quantity]]*Table1[[#This Row],[Unit_Price]]</f>
        <v>2606.8500000000004</v>
      </c>
      <c r="S137">
        <f>Table1[[#This Row],[Gross_Sales]]*Table1[[#This Row],[Discount_Rate]]</f>
        <v>130.34250000000003</v>
      </c>
      <c r="T137">
        <f>Table1[[#This Row],[Gross_Sales]]-Table1[[#This Row],[Discount_Amount]]</f>
        <v>2476.5075000000002</v>
      </c>
      <c r="U137">
        <f>VLOOKUP(Table1[[#This Row],[Category]],REF_Cost!$A$1:$B$6,2,FALSE)*Table1[[#This Row],[Quantity]]</f>
        <v>1350</v>
      </c>
      <c r="V137">
        <f>Table1[[#This Row],[Net_Sales]]-Table1[[#This Row],[Total_Cost]]</f>
        <v>1126.5075000000002</v>
      </c>
      <c r="W137" t="str">
        <f>TEXT(Table1[[#This Row],[Order_Date]],"mmm")</f>
        <v>Feb</v>
      </c>
      <c r="X137">
        <f>ROUNDUP(MONTH(Table1[[#This Row],[Order_Date]])/3,0)</f>
        <v>1</v>
      </c>
      <c r="Y137">
        <f>YEAR(Table1[[#This Row],[Order_Date]])</f>
        <v>2024</v>
      </c>
    </row>
    <row r="138" spans="1:25" x14ac:dyDescent="0.25">
      <c r="A138" t="s">
        <v>622</v>
      </c>
      <c r="B138" t="s">
        <v>623</v>
      </c>
      <c r="C138" t="s">
        <v>624</v>
      </c>
      <c r="D138" t="s">
        <v>625</v>
      </c>
      <c r="E138" t="s">
        <v>116</v>
      </c>
      <c r="F138" t="s">
        <v>40</v>
      </c>
      <c r="G138" t="s">
        <v>315</v>
      </c>
      <c r="H138" t="s">
        <v>32</v>
      </c>
      <c r="I138" t="s">
        <v>96</v>
      </c>
      <c r="J138" t="s">
        <v>34</v>
      </c>
      <c r="K138">
        <v>9</v>
      </c>
      <c r="L138">
        <v>115.5</v>
      </c>
      <c r="M138" s="3">
        <v>0.15</v>
      </c>
      <c r="N138" t="str">
        <f>VLOOKUP(Table1[[#This Row],[Country]],REF_Country!$A$1:$D$11,2,FALSE)</f>
        <v>Southeast Asia</v>
      </c>
      <c r="O138" t="str">
        <f>VLOOKUP(Table1[[#This Row],[Country]],REF_Country!$A$1:$D$11,3,FALSE)</f>
        <v>MY</v>
      </c>
      <c r="P138">
        <f>VLOOKUP(Table1[[#This Row],[Country]],REF_Country!$A$1:$D$11,4,FALSE)</f>
        <v>0.06</v>
      </c>
      <c r="Q138">
        <f>VLOOKUP(Table1[[#This Row],[Category]],REF_Target!$A$1:$E$6,2,FALSE)</f>
        <v>45000</v>
      </c>
      <c r="R138">
        <f>Table1[[#This Row],[Quantity]]*Table1[[#This Row],[Unit_Price]]</f>
        <v>1039.5</v>
      </c>
      <c r="S138">
        <f>Table1[[#This Row],[Gross_Sales]]*Table1[[#This Row],[Discount_Rate]]</f>
        <v>155.92499999999998</v>
      </c>
      <c r="T138">
        <f>Table1[[#This Row],[Gross_Sales]]-Table1[[#This Row],[Discount_Amount]]</f>
        <v>883.57500000000005</v>
      </c>
      <c r="U138">
        <f>VLOOKUP(Table1[[#This Row],[Category]],REF_Cost!$A$1:$B$6,2,FALSE)*Table1[[#This Row],[Quantity]]</f>
        <v>720</v>
      </c>
      <c r="V138">
        <f>Table1[[#This Row],[Net_Sales]]-Table1[[#This Row],[Total_Cost]]</f>
        <v>163.57500000000005</v>
      </c>
      <c r="W138" t="str">
        <f>TEXT(Table1[[#This Row],[Order_Date]],"mmm")</f>
        <v>Oct</v>
      </c>
      <c r="X138">
        <f>ROUNDUP(MONTH(Table1[[#This Row],[Order_Date]])/3,0)</f>
        <v>4</v>
      </c>
      <c r="Y138">
        <f>YEAR(Table1[[#This Row],[Order_Date]])</f>
        <v>2024</v>
      </c>
    </row>
    <row r="139" spans="1:25" x14ac:dyDescent="0.25">
      <c r="A139" t="s">
        <v>626</v>
      </c>
      <c r="B139" t="s">
        <v>627</v>
      </c>
      <c r="C139" t="s">
        <v>628</v>
      </c>
      <c r="D139" t="s">
        <v>629</v>
      </c>
      <c r="E139" t="s">
        <v>29</v>
      </c>
      <c r="F139" t="s">
        <v>56</v>
      </c>
      <c r="G139" t="s">
        <v>190</v>
      </c>
      <c r="H139" t="s">
        <v>32</v>
      </c>
      <c r="I139" t="s">
        <v>33</v>
      </c>
      <c r="J139" t="s">
        <v>59</v>
      </c>
      <c r="K139">
        <v>6</v>
      </c>
      <c r="L139">
        <v>1185.95</v>
      </c>
      <c r="M139" s="3">
        <v>0</v>
      </c>
      <c r="N139" t="str">
        <f>VLOOKUP(Table1[[#This Row],[Country]],REF_Country!$A$1:$D$11,2,FALSE)</f>
        <v>Southeast Asia</v>
      </c>
      <c r="O139" t="str">
        <f>VLOOKUP(Table1[[#This Row],[Country]],REF_Country!$A$1:$D$11,3,FALSE)</f>
        <v>VN</v>
      </c>
      <c r="P139">
        <f>VLOOKUP(Table1[[#This Row],[Country]],REF_Country!$A$1:$D$11,4,FALSE)</f>
        <v>0.1</v>
      </c>
      <c r="Q139">
        <f>VLOOKUP(Table1[[#This Row],[Category]],REF_Target!$A$1:$E$6,2,FALSE)</f>
        <v>50000</v>
      </c>
      <c r="R139">
        <f>Table1[[#This Row],[Quantity]]*Table1[[#This Row],[Unit_Price]]</f>
        <v>7115.7000000000007</v>
      </c>
      <c r="S139">
        <f>Table1[[#This Row],[Gross_Sales]]*Table1[[#This Row],[Discount_Rate]]</f>
        <v>0</v>
      </c>
      <c r="T139">
        <f>Table1[[#This Row],[Gross_Sales]]-Table1[[#This Row],[Discount_Amount]]</f>
        <v>7115.7000000000007</v>
      </c>
      <c r="U139">
        <f>VLOOKUP(Table1[[#This Row],[Category]],REF_Cost!$A$1:$B$6,2,FALSE)*Table1[[#This Row],[Quantity]]</f>
        <v>2700</v>
      </c>
      <c r="V139">
        <f>Table1[[#This Row],[Net_Sales]]-Table1[[#This Row],[Total_Cost]]</f>
        <v>4415.7000000000007</v>
      </c>
      <c r="W139" t="str">
        <f>TEXT(Table1[[#This Row],[Order_Date]],"mmm")</f>
        <v>Nov</v>
      </c>
      <c r="X139">
        <f>ROUNDUP(MONTH(Table1[[#This Row],[Order_Date]])/3,0)</f>
        <v>4</v>
      </c>
      <c r="Y139">
        <f>YEAR(Table1[[#This Row],[Order_Date]])</f>
        <v>2024</v>
      </c>
    </row>
    <row r="140" spans="1:25" x14ac:dyDescent="0.25">
      <c r="A140" t="s">
        <v>630</v>
      </c>
      <c r="B140" t="s">
        <v>631</v>
      </c>
      <c r="C140" t="s">
        <v>632</v>
      </c>
      <c r="D140" t="s">
        <v>633</v>
      </c>
      <c r="E140" t="s">
        <v>71</v>
      </c>
      <c r="F140" t="s">
        <v>30</v>
      </c>
      <c r="G140" t="s">
        <v>195</v>
      </c>
      <c r="H140" t="s">
        <v>72</v>
      </c>
      <c r="I140" t="s">
        <v>43</v>
      </c>
      <c r="J140" t="s">
        <v>126</v>
      </c>
      <c r="K140">
        <v>8</v>
      </c>
      <c r="L140">
        <v>1471.52</v>
      </c>
      <c r="M140" s="3">
        <v>0.2</v>
      </c>
      <c r="N140" t="str">
        <f>VLOOKUP(Table1[[#This Row],[Country]],REF_Country!$A$1:$D$11,2,FALSE)</f>
        <v>Southeast Asia</v>
      </c>
      <c r="O140" t="str">
        <f>VLOOKUP(Table1[[#This Row],[Country]],REF_Country!$A$1:$D$11,3,FALSE)</f>
        <v>PH</v>
      </c>
      <c r="P140">
        <f>VLOOKUP(Table1[[#This Row],[Country]],REF_Country!$A$1:$D$11,4,FALSE)</f>
        <v>0.12</v>
      </c>
      <c r="Q140">
        <f>VLOOKUP(Table1[[#This Row],[Category]],REF_Target!$A$1:$E$6,2,FALSE)</f>
        <v>40000</v>
      </c>
      <c r="R140">
        <f>Table1[[#This Row],[Quantity]]*Table1[[#This Row],[Unit_Price]]</f>
        <v>11772.16</v>
      </c>
      <c r="S140">
        <f>Table1[[#This Row],[Gross_Sales]]*Table1[[#This Row],[Discount_Rate]]</f>
        <v>2354.4320000000002</v>
      </c>
      <c r="T140">
        <f>Table1[[#This Row],[Gross_Sales]]-Table1[[#This Row],[Discount_Amount]]</f>
        <v>9417.7279999999992</v>
      </c>
      <c r="U140">
        <f>VLOOKUP(Table1[[#This Row],[Category]],REF_Cost!$A$1:$B$6,2,FALSE)*Table1[[#This Row],[Quantity]]</f>
        <v>960</v>
      </c>
      <c r="V140">
        <f>Table1[[#This Row],[Net_Sales]]-Table1[[#This Row],[Total_Cost]]</f>
        <v>8457.7279999999992</v>
      </c>
      <c r="W140" t="str">
        <f>TEXT(Table1[[#This Row],[Order_Date]],"mmm")</f>
        <v>Jan</v>
      </c>
      <c r="X140">
        <f>ROUNDUP(MONTH(Table1[[#This Row],[Order_Date]])/3,0)</f>
        <v>1</v>
      </c>
      <c r="Y140">
        <f>YEAR(Table1[[#This Row],[Order_Date]])</f>
        <v>2024</v>
      </c>
    </row>
    <row r="141" spans="1:25" x14ac:dyDescent="0.25">
      <c r="A141" t="s">
        <v>634</v>
      </c>
      <c r="B141" t="s">
        <v>635</v>
      </c>
      <c r="C141" t="s">
        <v>636</v>
      </c>
      <c r="D141" t="s">
        <v>637</v>
      </c>
      <c r="E141" t="s">
        <v>64</v>
      </c>
      <c r="F141" t="s">
        <v>30</v>
      </c>
      <c r="G141" t="s">
        <v>269</v>
      </c>
      <c r="H141" t="s">
        <v>42</v>
      </c>
      <c r="I141" t="s">
        <v>33</v>
      </c>
      <c r="J141" t="s">
        <v>34</v>
      </c>
      <c r="K141">
        <v>5</v>
      </c>
      <c r="L141">
        <v>483.66</v>
      </c>
      <c r="M141" s="3">
        <v>0.15</v>
      </c>
      <c r="N141" t="str">
        <f>VLOOKUP(Table1[[#This Row],[Country]],REF_Country!$A$1:$D$11,2,FALSE)</f>
        <v>Southeast Asia</v>
      </c>
      <c r="O141" t="str">
        <f>VLOOKUP(Table1[[#This Row],[Country]],REF_Country!$A$1:$D$11,3,FALSE)</f>
        <v>ID</v>
      </c>
      <c r="P141">
        <f>VLOOKUP(Table1[[#This Row],[Country]],REF_Country!$A$1:$D$11,4,FALSE)</f>
        <v>0.11</v>
      </c>
      <c r="Q141">
        <f>VLOOKUP(Table1[[#This Row],[Category]],REF_Target!$A$1:$E$6,2,FALSE)</f>
        <v>40000</v>
      </c>
      <c r="R141">
        <f>Table1[[#This Row],[Quantity]]*Table1[[#This Row],[Unit_Price]]</f>
        <v>2418.3000000000002</v>
      </c>
      <c r="S141">
        <f>Table1[[#This Row],[Gross_Sales]]*Table1[[#This Row],[Discount_Rate]]</f>
        <v>362.745</v>
      </c>
      <c r="T141">
        <f>Table1[[#This Row],[Gross_Sales]]-Table1[[#This Row],[Discount_Amount]]</f>
        <v>2055.5550000000003</v>
      </c>
      <c r="U141">
        <f>VLOOKUP(Table1[[#This Row],[Category]],REF_Cost!$A$1:$B$6,2,FALSE)*Table1[[#This Row],[Quantity]]</f>
        <v>600</v>
      </c>
      <c r="V141">
        <f>Table1[[#This Row],[Net_Sales]]-Table1[[#This Row],[Total_Cost]]</f>
        <v>1455.5550000000003</v>
      </c>
      <c r="W141" t="str">
        <f>TEXT(Table1[[#This Row],[Order_Date]],"mmm")</f>
        <v>Jan</v>
      </c>
      <c r="X141">
        <f>ROUNDUP(MONTH(Table1[[#This Row],[Order_Date]])/3,0)</f>
        <v>1</v>
      </c>
      <c r="Y141">
        <f>YEAR(Table1[[#This Row],[Order_Date]])</f>
        <v>2024</v>
      </c>
    </row>
    <row r="142" spans="1:25" x14ac:dyDescent="0.25">
      <c r="A142" t="s">
        <v>638</v>
      </c>
      <c r="B142" t="s">
        <v>639</v>
      </c>
      <c r="C142" t="s">
        <v>640</v>
      </c>
      <c r="D142" t="s">
        <v>641</v>
      </c>
      <c r="E142" t="s">
        <v>29</v>
      </c>
      <c r="F142" t="s">
        <v>84</v>
      </c>
      <c r="G142" t="s">
        <v>205</v>
      </c>
      <c r="H142" t="s">
        <v>32</v>
      </c>
      <c r="I142" t="s">
        <v>66</v>
      </c>
      <c r="J142" t="s">
        <v>34</v>
      </c>
      <c r="K142">
        <v>6</v>
      </c>
      <c r="L142">
        <v>1300.71</v>
      </c>
      <c r="M142" s="3">
        <v>0.05</v>
      </c>
      <c r="N142" t="str">
        <f>VLOOKUP(Table1[[#This Row],[Country]],REF_Country!$A$1:$D$11,2,FALSE)</f>
        <v>Southeast Asia</v>
      </c>
      <c r="O142" t="str">
        <f>VLOOKUP(Table1[[#This Row],[Country]],REF_Country!$A$1:$D$11,3,FALSE)</f>
        <v>VN</v>
      </c>
      <c r="P142">
        <f>VLOOKUP(Table1[[#This Row],[Country]],REF_Country!$A$1:$D$11,4,FALSE)</f>
        <v>0.1</v>
      </c>
      <c r="Q142">
        <f>VLOOKUP(Table1[[#This Row],[Category]],REF_Target!$A$1:$E$6,2,FALSE)</f>
        <v>30000</v>
      </c>
      <c r="R142">
        <f>Table1[[#This Row],[Quantity]]*Table1[[#This Row],[Unit_Price]]</f>
        <v>7804.26</v>
      </c>
      <c r="S142">
        <f>Table1[[#This Row],[Gross_Sales]]*Table1[[#This Row],[Discount_Rate]]</f>
        <v>390.21300000000002</v>
      </c>
      <c r="T142">
        <f>Table1[[#This Row],[Gross_Sales]]-Table1[[#This Row],[Discount_Amount]]</f>
        <v>7414.0470000000005</v>
      </c>
      <c r="U142">
        <f>VLOOKUP(Table1[[#This Row],[Category]],REF_Cost!$A$1:$B$6,2,FALSE)*Table1[[#This Row],[Quantity]]</f>
        <v>1200</v>
      </c>
      <c r="V142">
        <f>Table1[[#This Row],[Net_Sales]]-Table1[[#This Row],[Total_Cost]]</f>
        <v>6214.0470000000005</v>
      </c>
      <c r="W142" t="str">
        <f>TEXT(Table1[[#This Row],[Order_Date]],"mmm")</f>
        <v>Jan</v>
      </c>
      <c r="X142">
        <f>ROUNDUP(MONTH(Table1[[#This Row],[Order_Date]])/3,0)</f>
        <v>1</v>
      </c>
      <c r="Y142">
        <f>YEAR(Table1[[#This Row],[Order_Date]])</f>
        <v>2024</v>
      </c>
    </row>
    <row r="143" spans="1:25" x14ac:dyDescent="0.25">
      <c r="A143" t="s">
        <v>642</v>
      </c>
      <c r="B143" t="s">
        <v>643</v>
      </c>
      <c r="C143" t="s">
        <v>644</v>
      </c>
      <c r="D143" t="s">
        <v>645</v>
      </c>
      <c r="E143" t="s">
        <v>48</v>
      </c>
      <c r="F143" t="s">
        <v>49</v>
      </c>
      <c r="G143" t="s">
        <v>226</v>
      </c>
      <c r="H143" t="s">
        <v>32</v>
      </c>
      <c r="I143" t="s">
        <v>96</v>
      </c>
      <c r="J143" t="s">
        <v>126</v>
      </c>
      <c r="K143">
        <v>9</v>
      </c>
      <c r="L143">
        <v>560.51</v>
      </c>
      <c r="M143" s="3">
        <v>0.05</v>
      </c>
      <c r="N143" t="str">
        <f>VLOOKUP(Table1[[#This Row],[Country]],REF_Country!$A$1:$D$11,2,FALSE)</f>
        <v>Southeast Asia</v>
      </c>
      <c r="O143" t="str">
        <f>VLOOKUP(Table1[[#This Row],[Country]],REF_Country!$A$1:$D$11,3,FALSE)</f>
        <v>SG</v>
      </c>
      <c r="P143">
        <f>VLOOKUP(Table1[[#This Row],[Country]],REF_Country!$A$1:$D$11,4,FALSE)</f>
        <v>7.0000000000000007E-2</v>
      </c>
      <c r="Q143">
        <f>VLOOKUP(Table1[[#This Row],[Category]],REF_Target!$A$1:$E$6,2,FALSE)</f>
        <v>35000</v>
      </c>
      <c r="R143">
        <f>Table1[[#This Row],[Quantity]]*Table1[[#This Row],[Unit_Price]]</f>
        <v>5044.59</v>
      </c>
      <c r="S143">
        <f>Table1[[#This Row],[Gross_Sales]]*Table1[[#This Row],[Discount_Rate]]</f>
        <v>252.22950000000003</v>
      </c>
      <c r="T143">
        <f>Table1[[#This Row],[Gross_Sales]]-Table1[[#This Row],[Discount_Amount]]</f>
        <v>4792.3604999999998</v>
      </c>
      <c r="U143">
        <f>VLOOKUP(Table1[[#This Row],[Category]],REF_Cost!$A$1:$B$6,2,FALSE)*Table1[[#This Row],[Quantity]]</f>
        <v>1350</v>
      </c>
      <c r="V143">
        <f>Table1[[#This Row],[Net_Sales]]-Table1[[#This Row],[Total_Cost]]</f>
        <v>3442.3604999999998</v>
      </c>
      <c r="W143" t="str">
        <f>TEXT(Table1[[#This Row],[Order_Date]],"mmm")</f>
        <v>Aug</v>
      </c>
      <c r="X143">
        <f>ROUNDUP(MONTH(Table1[[#This Row],[Order_Date]])/3,0)</f>
        <v>3</v>
      </c>
      <c r="Y143">
        <f>YEAR(Table1[[#This Row],[Order_Date]])</f>
        <v>2024</v>
      </c>
    </row>
    <row r="144" spans="1:25" x14ac:dyDescent="0.25">
      <c r="A144" t="s">
        <v>646</v>
      </c>
      <c r="B144" t="s">
        <v>647</v>
      </c>
      <c r="C144" t="s">
        <v>648</v>
      </c>
      <c r="D144" t="s">
        <v>649</v>
      </c>
      <c r="E144" t="s">
        <v>29</v>
      </c>
      <c r="F144" t="s">
        <v>84</v>
      </c>
      <c r="G144" t="s">
        <v>205</v>
      </c>
      <c r="H144" t="s">
        <v>42</v>
      </c>
      <c r="I144" t="s">
        <v>33</v>
      </c>
      <c r="J144" t="s">
        <v>34</v>
      </c>
      <c r="K144">
        <v>5</v>
      </c>
      <c r="L144">
        <v>133.9</v>
      </c>
      <c r="M144" s="3">
        <v>0.05</v>
      </c>
      <c r="N144" t="str">
        <f>VLOOKUP(Table1[[#This Row],[Country]],REF_Country!$A$1:$D$11,2,FALSE)</f>
        <v>Southeast Asia</v>
      </c>
      <c r="O144" t="str">
        <f>VLOOKUP(Table1[[#This Row],[Country]],REF_Country!$A$1:$D$11,3,FALSE)</f>
        <v>VN</v>
      </c>
      <c r="P144">
        <f>VLOOKUP(Table1[[#This Row],[Country]],REF_Country!$A$1:$D$11,4,FALSE)</f>
        <v>0.1</v>
      </c>
      <c r="Q144">
        <f>VLOOKUP(Table1[[#This Row],[Category]],REF_Target!$A$1:$E$6,2,FALSE)</f>
        <v>30000</v>
      </c>
      <c r="R144">
        <f>Table1[[#This Row],[Quantity]]*Table1[[#This Row],[Unit_Price]]</f>
        <v>669.5</v>
      </c>
      <c r="S144">
        <f>Table1[[#This Row],[Gross_Sales]]*Table1[[#This Row],[Discount_Rate]]</f>
        <v>33.475000000000001</v>
      </c>
      <c r="T144">
        <f>Table1[[#This Row],[Gross_Sales]]-Table1[[#This Row],[Discount_Amount]]</f>
        <v>636.02499999999998</v>
      </c>
      <c r="U144">
        <f>VLOOKUP(Table1[[#This Row],[Category]],REF_Cost!$A$1:$B$6,2,FALSE)*Table1[[#This Row],[Quantity]]</f>
        <v>1000</v>
      </c>
      <c r="V144">
        <f>Table1[[#This Row],[Net_Sales]]-Table1[[#This Row],[Total_Cost]]</f>
        <v>-363.97500000000002</v>
      </c>
      <c r="W144" t="str">
        <f>TEXT(Table1[[#This Row],[Order_Date]],"mmm")</f>
        <v>Nov</v>
      </c>
      <c r="X144">
        <f>ROUNDUP(MONTH(Table1[[#This Row],[Order_Date]])/3,0)</f>
        <v>4</v>
      </c>
      <c r="Y144">
        <f>YEAR(Table1[[#This Row],[Order_Date]])</f>
        <v>2024</v>
      </c>
    </row>
    <row r="145" spans="1:25" x14ac:dyDescent="0.25">
      <c r="A145" t="s">
        <v>650</v>
      </c>
      <c r="B145" t="s">
        <v>651</v>
      </c>
      <c r="C145" t="s">
        <v>652</v>
      </c>
      <c r="D145" t="s">
        <v>653</v>
      </c>
      <c r="E145" t="s">
        <v>200</v>
      </c>
      <c r="F145" t="s">
        <v>56</v>
      </c>
      <c r="G145" t="s">
        <v>190</v>
      </c>
      <c r="H145" t="s">
        <v>32</v>
      </c>
      <c r="I145" t="s">
        <v>51</v>
      </c>
      <c r="J145" t="s">
        <v>34</v>
      </c>
      <c r="K145">
        <v>7</v>
      </c>
      <c r="L145">
        <v>928.05</v>
      </c>
      <c r="M145" s="3">
        <v>0.05</v>
      </c>
      <c r="N145" t="str">
        <f>VLOOKUP(Table1[[#This Row],[Country]],REF_Country!$A$1:$D$11,2,FALSE)</f>
        <v>East Asia</v>
      </c>
      <c r="O145" t="str">
        <f>VLOOKUP(Table1[[#This Row],[Country]],REF_Country!$A$1:$D$11,3,FALSE)</f>
        <v>KR</v>
      </c>
      <c r="P145">
        <f>VLOOKUP(Table1[[#This Row],[Country]],REF_Country!$A$1:$D$11,4,FALSE)</f>
        <v>0.1</v>
      </c>
      <c r="Q145">
        <f>VLOOKUP(Table1[[#This Row],[Category]],REF_Target!$A$1:$E$6,2,FALSE)</f>
        <v>50000</v>
      </c>
      <c r="R145">
        <f>Table1[[#This Row],[Quantity]]*Table1[[#This Row],[Unit_Price]]</f>
        <v>6496.3499999999995</v>
      </c>
      <c r="S145">
        <f>Table1[[#This Row],[Gross_Sales]]*Table1[[#This Row],[Discount_Rate]]</f>
        <v>324.8175</v>
      </c>
      <c r="T145">
        <f>Table1[[#This Row],[Gross_Sales]]-Table1[[#This Row],[Discount_Amount]]</f>
        <v>6171.5324999999993</v>
      </c>
      <c r="U145">
        <f>VLOOKUP(Table1[[#This Row],[Category]],REF_Cost!$A$1:$B$6,2,FALSE)*Table1[[#This Row],[Quantity]]</f>
        <v>3150</v>
      </c>
      <c r="V145">
        <f>Table1[[#This Row],[Net_Sales]]-Table1[[#This Row],[Total_Cost]]</f>
        <v>3021.5324999999993</v>
      </c>
      <c r="W145" t="str">
        <f>TEXT(Table1[[#This Row],[Order_Date]],"mmm")</f>
        <v>Dec</v>
      </c>
      <c r="X145">
        <f>ROUNDUP(MONTH(Table1[[#This Row],[Order_Date]])/3,0)</f>
        <v>4</v>
      </c>
      <c r="Y145">
        <f>YEAR(Table1[[#This Row],[Order_Date]])</f>
        <v>2024</v>
      </c>
    </row>
    <row r="146" spans="1:25" x14ac:dyDescent="0.25">
      <c r="A146" t="s">
        <v>654</v>
      </c>
      <c r="B146" t="s">
        <v>655</v>
      </c>
      <c r="C146" t="s">
        <v>656</v>
      </c>
      <c r="D146" t="s">
        <v>657</v>
      </c>
      <c r="E146" t="s">
        <v>48</v>
      </c>
      <c r="F146" t="s">
        <v>56</v>
      </c>
      <c r="G146" t="s">
        <v>95</v>
      </c>
      <c r="H146" t="s">
        <v>72</v>
      </c>
      <c r="I146" t="s">
        <v>51</v>
      </c>
      <c r="J146" t="s">
        <v>73</v>
      </c>
      <c r="K146">
        <v>8</v>
      </c>
      <c r="L146">
        <v>1275.27</v>
      </c>
      <c r="M146" s="3">
        <v>0</v>
      </c>
      <c r="N146" t="str">
        <f>VLOOKUP(Table1[[#This Row],[Country]],REF_Country!$A$1:$D$11,2,FALSE)</f>
        <v>Southeast Asia</v>
      </c>
      <c r="O146" t="str">
        <f>VLOOKUP(Table1[[#This Row],[Country]],REF_Country!$A$1:$D$11,3,FALSE)</f>
        <v>SG</v>
      </c>
      <c r="P146">
        <f>VLOOKUP(Table1[[#This Row],[Country]],REF_Country!$A$1:$D$11,4,FALSE)</f>
        <v>7.0000000000000007E-2</v>
      </c>
      <c r="Q146">
        <f>VLOOKUP(Table1[[#This Row],[Category]],REF_Target!$A$1:$E$6,2,FALSE)</f>
        <v>50000</v>
      </c>
      <c r="R146">
        <f>Table1[[#This Row],[Quantity]]*Table1[[#This Row],[Unit_Price]]</f>
        <v>10202.16</v>
      </c>
      <c r="S146">
        <f>Table1[[#This Row],[Gross_Sales]]*Table1[[#This Row],[Discount_Rate]]</f>
        <v>0</v>
      </c>
      <c r="T146">
        <f>Table1[[#This Row],[Gross_Sales]]-Table1[[#This Row],[Discount_Amount]]</f>
        <v>10202.16</v>
      </c>
      <c r="U146">
        <f>VLOOKUP(Table1[[#This Row],[Category]],REF_Cost!$A$1:$B$6,2,FALSE)*Table1[[#This Row],[Quantity]]</f>
        <v>3600</v>
      </c>
      <c r="V146">
        <f>Table1[[#This Row],[Net_Sales]]-Table1[[#This Row],[Total_Cost]]</f>
        <v>6602.16</v>
      </c>
      <c r="W146" t="str">
        <f>TEXT(Table1[[#This Row],[Order_Date]],"mmm")</f>
        <v>Sep</v>
      </c>
      <c r="X146">
        <f>ROUNDUP(MONTH(Table1[[#This Row],[Order_Date]])/3,0)</f>
        <v>3</v>
      </c>
      <c r="Y146">
        <f>YEAR(Table1[[#This Row],[Order_Date]])</f>
        <v>2024</v>
      </c>
    </row>
    <row r="147" spans="1:25" x14ac:dyDescent="0.25">
      <c r="A147" t="s">
        <v>658</v>
      </c>
      <c r="B147" t="s">
        <v>659</v>
      </c>
      <c r="C147" t="s">
        <v>660</v>
      </c>
      <c r="D147" t="s">
        <v>661</v>
      </c>
      <c r="E147" t="s">
        <v>83</v>
      </c>
      <c r="F147" t="s">
        <v>56</v>
      </c>
      <c r="G147" t="s">
        <v>111</v>
      </c>
      <c r="H147" t="s">
        <v>58</v>
      </c>
      <c r="I147" t="s">
        <v>96</v>
      </c>
      <c r="J147" t="s">
        <v>126</v>
      </c>
      <c r="K147">
        <v>8</v>
      </c>
      <c r="L147">
        <v>242.86</v>
      </c>
      <c r="M147" s="3">
        <v>0.05</v>
      </c>
      <c r="N147" t="str">
        <f>VLOOKUP(Table1[[#This Row],[Country]],REF_Country!$A$1:$D$11,2,FALSE)</f>
        <v>South Asia</v>
      </c>
      <c r="O147" t="str">
        <f>VLOOKUP(Table1[[#This Row],[Country]],REF_Country!$A$1:$D$11,3,FALSE)</f>
        <v>IN</v>
      </c>
      <c r="P147">
        <f>VLOOKUP(Table1[[#This Row],[Country]],REF_Country!$A$1:$D$11,4,FALSE)</f>
        <v>0.18</v>
      </c>
      <c r="Q147">
        <f>VLOOKUP(Table1[[#This Row],[Category]],REF_Target!$A$1:$E$6,2,FALSE)</f>
        <v>50000</v>
      </c>
      <c r="R147">
        <f>Table1[[#This Row],[Quantity]]*Table1[[#This Row],[Unit_Price]]</f>
        <v>1942.88</v>
      </c>
      <c r="S147">
        <f>Table1[[#This Row],[Gross_Sales]]*Table1[[#This Row],[Discount_Rate]]</f>
        <v>97.144000000000005</v>
      </c>
      <c r="T147">
        <f>Table1[[#This Row],[Gross_Sales]]-Table1[[#This Row],[Discount_Amount]]</f>
        <v>1845.7360000000001</v>
      </c>
      <c r="U147">
        <f>VLOOKUP(Table1[[#This Row],[Category]],REF_Cost!$A$1:$B$6,2,FALSE)*Table1[[#This Row],[Quantity]]</f>
        <v>3600</v>
      </c>
      <c r="V147">
        <f>Table1[[#This Row],[Net_Sales]]-Table1[[#This Row],[Total_Cost]]</f>
        <v>-1754.2639999999999</v>
      </c>
      <c r="W147" t="str">
        <f>TEXT(Table1[[#This Row],[Order_Date]],"mmm")</f>
        <v>Jul</v>
      </c>
      <c r="X147">
        <f>ROUNDUP(MONTH(Table1[[#This Row],[Order_Date]])/3,0)</f>
        <v>3</v>
      </c>
      <c r="Y147">
        <f>YEAR(Table1[[#This Row],[Order_Date]])</f>
        <v>2024</v>
      </c>
    </row>
    <row r="148" spans="1:25" x14ac:dyDescent="0.25">
      <c r="A148" t="s">
        <v>662</v>
      </c>
      <c r="B148" t="s">
        <v>663</v>
      </c>
      <c r="C148" t="s">
        <v>664</v>
      </c>
      <c r="D148" t="s">
        <v>665</v>
      </c>
      <c r="E148" t="s">
        <v>149</v>
      </c>
      <c r="F148" t="s">
        <v>84</v>
      </c>
      <c r="G148" t="s">
        <v>412</v>
      </c>
      <c r="H148" t="s">
        <v>72</v>
      </c>
      <c r="I148" t="s">
        <v>96</v>
      </c>
      <c r="J148" t="s">
        <v>34</v>
      </c>
      <c r="K148">
        <v>2</v>
      </c>
      <c r="L148">
        <v>385.67</v>
      </c>
      <c r="M148" s="3">
        <v>0</v>
      </c>
      <c r="N148" t="str">
        <f>VLOOKUP(Table1[[#This Row],[Country]],REF_Country!$A$1:$D$11,2,FALSE)</f>
        <v>East Asia</v>
      </c>
      <c r="O148" t="str">
        <f>VLOOKUP(Table1[[#This Row],[Country]],REF_Country!$A$1:$D$11,3,FALSE)</f>
        <v>JP</v>
      </c>
      <c r="P148">
        <f>VLOOKUP(Table1[[#This Row],[Country]],REF_Country!$A$1:$D$11,4,FALSE)</f>
        <v>0.1</v>
      </c>
      <c r="Q148">
        <f>VLOOKUP(Table1[[#This Row],[Category]],REF_Target!$A$1:$E$6,2,FALSE)</f>
        <v>30000</v>
      </c>
      <c r="R148">
        <f>Table1[[#This Row],[Quantity]]*Table1[[#This Row],[Unit_Price]]</f>
        <v>771.34</v>
      </c>
      <c r="S148">
        <f>Table1[[#This Row],[Gross_Sales]]*Table1[[#This Row],[Discount_Rate]]</f>
        <v>0</v>
      </c>
      <c r="T148">
        <f>Table1[[#This Row],[Gross_Sales]]-Table1[[#This Row],[Discount_Amount]]</f>
        <v>771.34</v>
      </c>
      <c r="U148">
        <f>VLOOKUP(Table1[[#This Row],[Category]],REF_Cost!$A$1:$B$6,2,FALSE)*Table1[[#This Row],[Quantity]]</f>
        <v>400</v>
      </c>
      <c r="V148">
        <f>Table1[[#This Row],[Net_Sales]]-Table1[[#This Row],[Total_Cost]]</f>
        <v>371.34000000000003</v>
      </c>
      <c r="W148" t="str">
        <f>TEXT(Table1[[#This Row],[Order_Date]],"mmm")</f>
        <v>Mar</v>
      </c>
      <c r="X148">
        <f>ROUNDUP(MONTH(Table1[[#This Row],[Order_Date]])/3,0)</f>
        <v>1</v>
      </c>
      <c r="Y148">
        <f>YEAR(Table1[[#This Row],[Order_Date]])</f>
        <v>2024</v>
      </c>
    </row>
    <row r="149" spans="1:25" x14ac:dyDescent="0.25">
      <c r="A149" t="s">
        <v>666</v>
      </c>
      <c r="B149" t="s">
        <v>667</v>
      </c>
      <c r="C149" t="s">
        <v>668</v>
      </c>
      <c r="D149" t="s">
        <v>669</v>
      </c>
      <c r="E149" t="s">
        <v>29</v>
      </c>
      <c r="F149" t="s">
        <v>49</v>
      </c>
      <c r="G149" t="s">
        <v>286</v>
      </c>
      <c r="H149" t="s">
        <v>42</v>
      </c>
      <c r="I149" t="s">
        <v>43</v>
      </c>
      <c r="J149" t="s">
        <v>126</v>
      </c>
      <c r="K149">
        <v>5</v>
      </c>
      <c r="L149">
        <v>1494.6</v>
      </c>
      <c r="M149" s="3">
        <v>0.2</v>
      </c>
      <c r="N149" t="str">
        <f>VLOOKUP(Table1[[#This Row],[Country]],REF_Country!$A$1:$D$11,2,FALSE)</f>
        <v>Southeast Asia</v>
      </c>
      <c r="O149" t="str">
        <f>VLOOKUP(Table1[[#This Row],[Country]],REF_Country!$A$1:$D$11,3,FALSE)</f>
        <v>VN</v>
      </c>
      <c r="P149">
        <f>VLOOKUP(Table1[[#This Row],[Country]],REF_Country!$A$1:$D$11,4,FALSE)</f>
        <v>0.1</v>
      </c>
      <c r="Q149">
        <f>VLOOKUP(Table1[[#This Row],[Category]],REF_Target!$A$1:$E$6,2,FALSE)</f>
        <v>35000</v>
      </c>
      <c r="R149">
        <f>Table1[[#This Row],[Quantity]]*Table1[[#This Row],[Unit_Price]]</f>
        <v>7473</v>
      </c>
      <c r="S149">
        <f>Table1[[#This Row],[Gross_Sales]]*Table1[[#This Row],[Discount_Rate]]</f>
        <v>1494.6000000000001</v>
      </c>
      <c r="T149">
        <f>Table1[[#This Row],[Gross_Sales]]-Table1[[#This Row],[Discount_Amount]]</f>
        <v>5978.4</v>
      </c>
      <c r="U149">
        <f>VLOOKUP(Table1[[#This Row],[Category]],REF_Cost!$A$1:$B$6,2,FALSE)*Table1[[#This Row],[Quantity]]</f>
        <v>750</v>
      </c>
      <c r="V149">
        <f>Table1[[#This Row],[Net_Sales]]-Table1[[#This Row],[Total_Cost]]</f>
        <v>5228.3999999999996</v>
      </c>
      <c r="W149" t="str">
        <f>TEXT(Table1[[#This Row],[Order_Date]],"mmm")</f>
        <v>Mar</v>
      </c>
      <c r="X149">
        <f>ROUNDUP(MONTH(Table1[[#This Row],[Order_Date]])/3,0)</f>
        <v>1</v>
      </c>
      <c r="Y149">
        <f>YEAR(Table1[[#This Row],[Order_Date]])</f>
        <v>2024</v>
      </c>
    </row>
    <row r="150" spans="1:25" x14ac:dyDescent="0.25">
      <c r="A150" t="s">
        <v>670</v>
      </c>
      <c r="B150" t="s">
        <v>671</v>
      </c>
      <c r="C150" t="s">
        <v>672</v>
      </c>
      <c r="D150" t="s">
        <v>673</v>
      </c>
      <c r="E150" t="s">
        <v>200</v>
      </c>
      <c r="F150" t="s">
        <v>56</v>
      </c>
      <c r="G150" t="s">
        <v>190</v>
      </c>
      <c r="H150" t="s">
        <v>58</v>
      </c>
      <c r="I150" t="s">
        <v>66</v>
      </c>
      <c r="J150" t="s">
        <v>73</v>
      </c>
      <c r="K150">
        <v>2</v>
      </c>
      <c r="L150">
        <v>1006.74</v>
      </c>
      <c r="M150" s="3">
        <v>0.15</v>
      </c>
      <c r="N150" t="str">
        <f>VLOOKUP(Table1[[#This Row],[Country]],REF_Country!$A$1:$D$11,2,FALSE)</f>
        <v>East Asia</v>
      </c>
      <c r="O150" t="str">
        <f>VLOOKUP(Table1[[#This Row],[Country]],REF_Country!$A$1:$D$11,3,FALSE)</f>
        <v>KR</v>
      </c>
      <c r="P150">
        <f>VLOOKUP(Table1[[#This Row],[Country]],REF_Country!$A$1:$D$11,4,FALSE)</f>
        <v>0.1</v>
      </c>
      <c r="Q150">
        <f>VLOOKUP(Table1[[#This Row],[Category]],REF_Target!$A$1:$E$6,2,FALSE)</f>
        <v>50000</v>
      </c>
      <c r="R150">
        <f>Table1[[#This Row],[Quantity]]*Table1[[#This Row],[Unit_Price]]</f>
        <v>2013.48</v>
      </c>
      <c r="S150">
        <f>Table1[[#This Row],[Gross_Sales]]*Table1[[#This Row],[Discount_Rate]]</f>
        <v>302.02199999999999</v>
      </c>
      <c r="T150">
        <f>Table1[[#This Row],[Gross_Sales]]-Table1[[#This Row],[Discount_Amount]]</f>
        <v>1711.4580000000001</v>
      </c>
      <c r="U150">
        <f>VLOOKUP(Table1[[#This Row],[Category]],REF_Cost!$A$1:$B$6,2,FALSE)*Table1[[#This Row],[Quantity]]</f>
        <v>900</v>
      </c>
      <c r="V150">
        <f>Table1[[#This Row],[Net_Sales]]-Table1[[#This Row],[Total_Cost]]</f>
        <v>811.45800000000008</v>
      </c>
      <c r="W150" t="str">
        <f>TEXT(Table1[[#This Row],[Order_Date]],"mmm")</f>
        <v>Feb</v>
      </c>
      <c r="X150">
        <f>ROUNDUP(MONTH(Table1[[#This Row],[Order_Date]])/3,0)</f>
        <v>1</v>
      </c>
      <c r="Y150">
        <f>YEAR(Table1[[#This Row],[Order_Date]])</f>
        <v>2024</v>
      </c>
    </row>
    <row r="151" spans="1:25" x14ac:dyDescent="0.25">
      <c r="A151" t="s">
        <v>674</v>
      </c>
      <c r="B151" t="s">
        <v>675</v>
      </c>
      <c r="C151" t="s">
        <v>676</v>
      </c>
      <c r="D151" t="s">
        <v>677</v>
      </c>
      <c r="E151" t="s">
        <v>39</v>
      </c>
      <c r="F151" t="s">
        <v>56</v>
      </c>
      <c r="G151" t="s">
        <v>95</v>
      </c>
      <c r="H151" t="s">
        <v>32</v>
      </c>
      <c r="I151" t="s">
        <v>66</v>
      </c>
      <c r="J151" t="s">
        <v>59</v>
      </c>
      <c r="K151">
        <v>4</v>
      </c>
      <c r="L151">
        <v>1191.22</v>
      </c>
      <c r="M151" s="3">
        <v>0.1</v>
      </c>
      <c r="N151" t="str">
        <f>VLOOKUP(Table1[[#This Row],[Country]],REF_Country!$A$1:$D$11,2,FALSE)</f>
        <v>Southeast Asia</v>
      </c>
      <c r="O151" t="str">
        <f>VLOOKUP(Table1[[#This Row],[Country]],REF_Country!$A$1:$D$11,3,FALSE)</f>
        <v>TH</v>
      </c>
      <c r="P151">
        <f>VLOOKUP(Table1[[#This Row],[Country]],REF_Country!$A$1:$D$11,4,FALSE)</f>
        <v>7.0000000000000007E-2</v>
      </c>
      <c r="Q151">
        <f>VLOOKUP(Table1[[#This Row],[Category]],REF_Target!$A$1:$E$6,2,FALSE)</f>
        <v>50000</v>
      </c>
      <c r="R151">
        <f>Table1[[#This Row],[Quantity]]*Table1[[#This Row],[Unit_Price]]</f>
        <v>4764.88</v>
      </c>
      <c r="S151">
        <f>Table1[[#This Row],[Gross_Sales]]*Table1[[#This Row],[Discount_Rate]]</f>
        <v>476.48800000000006</v>
      </c>
      <c r="T151">
        <f>Table1[[#This Row],[Gross_Sales]]-Table1[[#This Row],[Discount_Amount]]</f>
        <v>4288.3919999999998</v>
      </c>
      <c r="U151">
        <f>VLOOKUP(Table1[[#This Row],[Category]],REF_Cost!$A$1:$B$6,2,FALSE)*Table1[[#This Row],[Quantity]]</f>
        <v>1800</v>
      </c>
      <c r="V151">
        <f>Table1[[#This Row],[Net_Sales]]-Table1[[#This Row],[Total_Cost]]</f>
        <v>2488.3919999999998</v>
      </c>
      <c r="W151" t="str">
        <f>TEXT(Table1[[#This Row],[Order_Date]],"mmm")</f>
        <v>Mar</v>
      </c>
      <c r="X151">
        <f>ROUNDUP(MONTH(Table1[[#This Row],[Order_Date]])/3,0)</f>
        <v>1</v>
      </c>
      <c r="Y151">
        <f>YEAR(Table1[[#This Row],[Order_Date]])</f>
        <v>2024</v>
      </c>
    </row>
    <row r="152" spans="1:25" x14ac:dyDescent="0.25">
      <c r="A152" t="s">
        <v>678</v>
      </c>
      <c r="B152" t="s">
        <v>679</v>
      </c>
      <c r="C152" t="s">
        <v>680</v>
      </c>
      <c r="D152" t="s">
        <v>681</v>
      </c>
      <c r="E152" t="s">
        <v>116</v>
      </c>
      <c r="F152" t="s">
        <v>56</v>
      </c>
      <c r="G152" t="s">
        <v>190</v>
      </c>
      <c r="H152" t="s">
        <v>42</v>
      </c>
      <c r="I152" t="s">
        <v>96</v>
      </c>
      <c r="J152" t="s">
        <v>126</v>
      </c>
      <c r="K152">
        <v>8</v>
      </c>
      <c r="L152">
        <v>606.27</v>
      </c>
      <c r="M152" s="3">
        <v>0.15</v>
      </c>
      <c r="N152" t="str">
        <f>VLOOKUP(Table1[[#This Row],[Country]],REF_Country!$A$1:$D$11,2,FALSE)</f>
        <v>Southeast Asia</v>
      </c>
      <c r="O152" t="str">
        <f>VLOOKUP(Table1[[#This Row],[Country]],REF_Country!$A$1:$D$11,3,FALSE)</f>
        <v>MY</v>
      </c>
      <c r="P152">
        <f>VLOOKUP(Table1[[#This Row],[Country]],REF_Country!$A$1:$D$11,4,FALSE)</f>
        <v>0.06</v>
      </c>
      <c r="Q152">
        <f>VLOOKUP(Table1[[#This Row],[Category]],REF_Target!$A$1:$E$6,2,FALSE)</f>
        <v>50000</v>
      </c>
      <c r="R152">
        <f>Table1[[#This Row],[Quantity]]*Table1[[#This Row],[Unit_Price]]</f>
        <v>4850.16</v>
      </c>
      <c r="S152">
        <f>Table1[[#This Row],[Gross_Sales]]*Table1[[#This Row],[Discount_Rate]]</f>
        <v>727.524</v>
      </c>
      <c r="T152">
        <f>Table1[[#This Row],[Gross_Sales]]-Table1[[#This Row],[Discount_Amount]]</f>
        <v>4122.6359999999995</v>
      </c>
      <c r="U152">
        <f>VLOOKUP(Table1[[#This Row],[Category]],REF_Cost!$A$1:$B$6,2,FALSE)*Table1[[#This Row],[Quantity]]</f>
        <v>3600</v>
      </c>
      <c r="V152">
        <f>Table1[[#This Row],[Net_Sales]]-Table1[[#This Row],[Total_Cost]]</f>
        <v>522.63599999999951</v>
      </c>
      <c r="W152" t="str">
        <f>TEXT(Table1[[#This Row],[Order_Date]],"mmm")</f>
        <v>Oct</v>
      </c>
      <c r="X152">
        <f>ROUNDUP(MONTH(Table1[[#This Row],[Order_Date]])/3,0)</f>
        <v>4</v>
      </c>
      <c r="Y152">
        <f>YEAR(Table1[[#This Row],[Order_Date]])</f>
        <v>2024</v>
      </c>
    </row>
    <row r="153" spans="1:25" x14ac:dyDescent="0.25">
      <c r="A153" t="s">
        <v>682</v>
      </c>
      <c r="B153" t="s">
        <v>683</v>
      </c>
      <c r="C153" t="s">
        <v>684</v>
      </c>
      <c r="D153" t="s">
        <v>685</v>
      </c>
      <c r="E153" t="s">
        <v>200</v>
      </c>
      <c r="F153" t="s">
        <v>49</v>
      </c>
      <c r="G153" t="s">
        <v>259</v>
      </c>
      <c r="H153" t="s">
        <v>72</v>
      </c>
      <c r="I153" t="s">
        <v>43</v>
      </c>
      <c r="J153" t="s">
        <v>34</v>
      </c>
      <c r="K153">
        <v>9</v>
      </c>
      <c r="L153">
        <v>526.6</v>
      </c>
      <c r="M153" s="3">
        <v>0.2</v>
      </c>
      <c r="N153" t="str">
        <f>VLOOKUP(Table1[[#This Row],[Country]],REF_Country!$A$1:$D$11,2,FALSE)</f>
        <v>East Asia</v>
      </c>
      <c r="O153" t="str">
        <f>VLOOKUP(Table1[[#This Row],[Country]],REF_Country!$A$1:$D$11,3,FALSE)</f>
        <v>KR</v>
      </c>
      <c r="P153">
        <f>VLOOKUP(Table1[[#This Row],[Country]],REF_Country!$A$1:$D$11,4,FALSE)</f>
        <v>0.1</v>
      </c>
      <c r="Q153">
        <f>VLOOKUP(Table1[[#This Row],[Category]],REF_Target!$A$1:$E$6,2,FALSE)</f>
        <v>35000</v>
      </c>
      <c r="R153">
        <f>Table1[[#This Row],[Quantity]]*Table1[[#This Row],[Unit_Price]]</f>
        <v>4739.4000000000005</v>
      </c>
      <c r="S153">
        <f>Table1[[#This Row],[Gross_Sales]]*Table1[[#This Row],[Discount_Rate]]</f>
        <v>947.88000000000011</v>
      </c>
      <c r="T153">
        <f>Table1[[#This Row],[Gross_Sales]]-Table1[[#This Row],[Discount_Amount]]</f>
        <v>3791.5200000000004</v>
      </c>
      <c r="U153">
        <f>VLOOKUP(Table1[[#This Row],[Category]],REF_Cost!$A$1:$B$6,2,FALSE)*Table1[[#This Row],[Quantity]]</f>
        <v>1350</v>
      </c>
      <c r="V153">
        <f>Table1[[#This Row],[Net_Sales]]-Table1[[#This Row],[Total_Cost]]</f>
        <v>2441.5200000000004</v>
      </c>
      <c r="W153" t="str">
        <f>TEXT(Table1[[#This Row],[Order_Date]],"mmm")</f>
        <v>Jun</v>
      </c>
      <c r="X153">
        <f>ROUNDUP(MONTH(Table1[[#This Row],[Order_Date]])/3,0)</f>
        <v>2</v>
      </c>
      <c r="Y153">
        <f>YEAR(Table1[[#This Row],[Order_Date]])</f>
        <v>2024</v>
      </c>
    </row>
    <row r="154" spans="1:25" x14ac:dyDescent="0.25">
      <c r="A154" t="s">
        <v>686</v>
      </c>
      <c r="B154" t="s">
        <v>687</v>
      </c>
      <c r="C154" t="s">
        <v>688</v>
      </c>
      <c r="D154" t="s">
        <v>689</v>
      </c>
      <c r="E154" t="s">
        <v>48</v>
      </c>
      <c r="F154" t="s">
        <v>84</v>
      </c>
      <c r="G154" t="s">
        <v>85</v>
      </c>
      <c r="H154" t="s">
        <v>58</v>
      </c>
      <c r="I154" t="s">
        <v>51</v>
      </c>
      <c r="J154" t="s">
        <v>59</v>
      </c>
      <c r="K154">
        <v>4</v>
      </c>
      <c r="L154">
        <v>255.52</v>
      </c>
      <c r="M154" s="3">
        <v>0.05</v>
      </c>
      <c r="N154" t="str">
        <f>VLOOKUP(Table1[[#This Row],[Country]],REF_Country!$A$1:$D$11,2,FALSE)</f>
        <v>Southeast Asia</v>
      </c>
      <c r="O154" t="str">
        <f>VLOOKUP(Table1[[#This Row],[Country]],REF_Country!$A$1:$D$11,3,FALSE)</f>
        <v>SG</v>
      </c>
      <c r="P154">
        <f>VLOOKUP(Table1[[#This Row],[Country]],REF_Country!$A$1:$D$11,4,FALSE)</f>
        <v>7.0000000000000007E-2</v>
      </c>
      <c r="Q154">
        <f>VLOOKUP(Table1[[#This Row],[Category]],REF_Target!$A$1:$E$6,2,FALSE)</f>
        <v>30000</v>
      </c>
      <c r="R154">
        <f>Table1[[#This Row],[Quantity]]*Table1[[#This Row],[Unit_Price]]</f>
        <v>1022.08</v>
      </c>
      <c r="S154">
        <f>Table1[[#This Row],[Gross_Sales]]*Table1[[#This Row],[Discount_Rate]]</f>
        <v>51.104000000000006</v>
      </c>
      <c r="T154">
        <f>Table1[[#This Row],[Gross_Sales]]-Table1[[#This Row],[Discount_Amount]]</f>
        <v>970.976</v>
      </c>
      <c r="U154">
        <f>VLOOKUP(Table1[[#This Row],[Category]],REF_Cost!$A$1:$B$6,2,FALSE)*Table1[[#This Row],[Quantity]]</f>
        <v>800</v>
      </c>
      <c r="V154">
        <f>Table1[[#This Row],[Net_Sales]]-Table1[[#This Row],[Total_Cost]]</f>
        <v>170.976</v>
      </c>
      <c r="W154" t="str">
        <f>TEXT(Table1[[#This Row],[Order_Date]],"mmm")</f>
        <v>Jan</v>
      </c>
      <c r="X154">
        <f>ROUNDUP(MONTH(Table1[[#This Row],[Order_Date]])/3,0)</f>
        <v>1</v>
      </c>
      <c r="Y154">
        <f>YEAR(Table1[[#This Row],[Order_Date]])</f>
        <v>2024</v>
      </c>
    </row>
    <row r="155" spans="1:25" x14ac:dyDescent="0.25">
      <c r="A155" t="s">
        <v>690</v>
      </c>
      <c r="B155" t="s">
        <v>691</v>
      </c>
      <c r="C155" t="s">
        <v>692</v>
      </c>
      <c r="D155" t="s">
        <v>693</v>
      </c>
      <c r="E155" t="s">
        <v>48</v>
      </c>
      <c r="F155" t="s">
        <v>84</v>
      </c>
      <c r="G155" t="s">
        <v>90</v>
      </c>
      <c r="H155" t="s">
        <v>72</v>
      </c>
      <c r="I155" t="s">
        <v>33</v>
      </c>
      <c r="J155" t="s">
        <v>73</v>
      </c>
      <c r="K155">
        <v>9</v>
      </c>
      <c r="L155">
        <v>807.21</v>
      </c>
      <c r="M155" s="3">
        <v>0.2</v>
      </c>
      <c r="N155" t="str">
        <f>VLOOKUP(Table1[[#This Row],[Country]],REF_Country!$A$1:$D$11,2,FALSE)</f>
        <v>Southeast Asia</v>
      </c>
      <c r="O155" t="str">
        <f>VLOOKUP(Table1[[#This Row],[Country]],REF_Country!$A$1:$D$11,3,FALSE)</f>
        <v>SG</v>
      </c>
      <c r="P155">
        <f>VLOOKUP(Table1[[#This Row],[Country]],REF_Country!$A$1:$D$11,4,FALSE)</f>
        <v>7.0000000000000007E-2</v>
      </c>
      <c r="Q155">
        <f>VLOOKUP(Table1[[#This Row],[Category]],REF_Target!$A$1:$E$6,2,FALSE)</f>
        <v>30000</v>
      </c>
      <c r="R155">
        <f>Table1[[#This Row],[Quantity]]*Table1[[#This Row],[Unit_Price]]</f>
        <v>7264.89</v>
      </c>
      <c r="S155">
        <f>Table1[[#This Row],[Gross_Sales]]*Table1[[#This Row],[Discount_Rate]]</f>
        <v>1452.9780000000001</v>
      </c>
      <c r="T155">
        <f>Table1[[#This Row],[Gross_Sales]]-Table1[[#This Row],[Discount_Amount]]</f>
        <v>5811.9120000000003</v>
      </c>
      <c r="U155">
        <f>VLOOKUP(Table1[[#This Row],[Category]],REF_Cost!$A$1:$B$6,2,FALSE)*Table1[[#This Row],[Quantity]]</f>
        <v>1800</v>
      </c>
      <c r="V155">
        <f>Table1[[#This Row],[Net_Sales]]-Table1[[#This Row],[Total_Cost]]</f>
        <v>4011.9120000000003</v>
      </c>
      <c r="W155" t="str">
        <f>TEXT(Table1[[#This Row],[Order_Date]],"mmm")</f>
        <v>Nov</v>
      </c>
      <c r="X155">
        <f>ROUNDUP(MONTH(Table1[[#This Row],[Order_Date]])/3,0)</f>
        <v>4</v>
      </c>
      <c r="Y155">
        <f>YEAR(Table1[[#This Row],[Order_Date]])</f>
        <v>2024</v>
      </c>
    </row>
    <row r="156" spans="1:25" x14ac:dyDescent="0.25">
      <c r="A156" t="s">
        <v>694</v>
      </c>
      <c r="B156" t="s">
        <v>695</v>
      </c>
      <c r="C156" t="s">
        <v>696</v>
      </c>
      <c r="D156" t="s">
        <v>697</v>
      </c>
      <c r="E156" t="s">
        <v>83</v>
      </c>
      <c r="F156" t="s">
        <v>84</v>
      </c>
      <c r="G156" t="s">
        <v>90</v>
      </c>
      <c r="H156" t="s">
        <v>32</v>
      </c>
      <c r="I156" t="s">
        <v>33</v>
      </c>
      <c r="J156" t="s">
        <v>59</v>
      </c>
      <c r="K156">
        <v>1</v>
      </c>
      <c r="L156">
        <v>76.17</v>
      </c>
      <c r="M156" s="3">
        <v>0</v>
      </c>
      <c r="N156" t="str">
        <f>VLOOKUP(Table1[[#This Row],[Country]],REF_Country!$A$1:$D$11,2,FALSE)</f>
        <v>South Asia</v>
      </c>
      <c r="O156" t="str">
        <f>VLOOKUP(Table1[[#This Row],[Country]],REF_Country!$A$1:$D$11,3,FALSE)</f>
        <v>IN</v>
      </c>
      <c r="P156">
        <f>VLOOKUP(Table1[[#This Row],[Country]],REF_Country!$A$1:$D$11,4,FALSE)</f>
        <v>0.18</v>
      </c>
      <c r="Q156">
        <f>VLOOKUP(Table1[[#This Row],[Category]],REF_Target!$A$1:$E$6,2,FALSE)</f>
        <v>30000</v>
      </c>
      <c r="R156">
        <f>Table1[[#This Row],[Quantity]]*Table1[[#This Row],[Unit_Price]]</f>
        <v>76.17</v>
      </c>
      <c r="S156">
        <f>Table1[[#This Row],[Gross_Sales]]*Table1[[#This Row],[Discount_Rate]]</f>
        <v>0</v>
      </c>
      <c r="T156">
        <f>Table1[[#This Row],[Gross_Sales]]-Table1[[#This Row],[Discount_Amount]]</f>
        <v>76.17</v>
      </c>
      <c r="U156">
        <f>VLOOKUP(Table1[[#This Row],[Category]],REF_Cost!$A$1:$B$6,2,FALSE)*Table1[[#This Row],[Quantity]]</f>
        <v>200</v>
      </c>
      <c r="V156">
        <f>Table1[[#This Row],[Net_Sales]]-Table1[[#This Row],[Total_Cost]]</f>
        <v>-123.83</v>
      </c>
      <c r="W156" t="str">
        <f>TEXT(Table1[[#This Row],[Order_Date]],"mmm")</f>
        <v>Dec</v>
      </c>
      <c r="X156">
        <f>ROUNDUP(MONTH(Table1[[#This Row],[Order_Date]])/3,0)</f>
        <v>4</v>
      </c>
      <c r="Y156">
        <f>YEAR(Table1[[#This Row],[Order_Date]])</f>
        <v>2024</v>
      </c>
    </row>
    <row r="157" spans="1:25" x14ac:dyDescent="0.25">
      <c r="A157" t="s">
        <v>698</v>
      </c>
      <c r="B157" t="s">
        <v>699</v>
      </c>
      <c r="C157" t="s">
        <v>700</v>
      </c>
      <c r="D157" t="s">
        <v>701</v>
      </c>
      <c r="E157" t="s">
        <v>83</v>
      </c>
      <c r="F157" t="s">
        <v>56</v>
      </c>
      <c r="G157" t="s">
        <v>57</v>
      </c>
      <c r="H157" t="s">
        <v>58</v>
      </c>
      <c r="I157" t="s">
        <v>96</v>
      </c>
      <c r="J157" t="s">
        <v>73</v>
      </c>
      <c r="K157">
        <v>9</v>
      </c>
      <c r="L157">
        <v>1335.16</v>
      </c>
      <c r="M157" s="3">
        <v>0.05</v>
      </c>
      <c r="N157" t="str">
        <f>VLOOKUP(Table1[[#This Row],[Country]],REF_Country!$A$1:$D$11,2,FALSE)</f>
        <v>South Asia</v>
      </c>
      <c r="O157" t="str">
        <f>VLOOKUP(Table1[[#This Row],[Country]],REF_Country!$A$1:$D$11,3,FALSE)</f>
        <v>IN</v>
      </c>
      <c r="P157">
        <f>VLOOKUP(Table1[[#This Row],[Country]],REF_Country!$A$1:$D$11,4,FALSE)</f>
        <v>0.18</v>
      </c>
      <c r="Q157">
        <f>VLOOKUP(Table1[[#This Row],[Category]],REF_Target!$A$1:$E$6,2,FALSE)</f>
        <v>50000</v>
      </c>
      <c r="R157">
        <f>Table1[[#This Row],[Quantity]]*Table1[[#This Row],[Unit_Price]]</f>
        <v>12016.44</v>
      </c>
      <c r="S157">
        <f>Table1[[#This Row],[Gross_Sales]]*Table1[[#This Row],[Discount_Rate]]</f>
        <v>600.822</v>
      </c>
      <c r="T157">
        <f>Table1[[#This Row],[Gross_Sales]]-Table1[[#This Row],[Discount_Amount]]</f>
        <v>11415.618</v>
      </c>
      <c r="U157">
        <f>VLOOKUP(Table1[[#This Row],[Category]],REF_Cost!$A$1:$B$6,2,FALSE)*Table1[[#This Row],[Quantity]]</f>
        <v>4050</v>
      </c>
      <c r="V157">
        <f>Table1[[#This Row],[Net_Sales]]-Table1[[#This Row],[Total_Cost]]</f>
        <v>7365.6180000000004</v>
      </c>
      <c r="W157" t="str">
        <f>TEXT(Table1[[#This Row],[Order_Date]],"mmm")</f>
        <v>Apr</v>
      </c>
      <c r="X157">
        <f>ROUNDUP(MONTH(Table1[[#This Row],[Order_Date]])/3,0)</f>
        <v>2</v>
      </c>
      <c r="Y157">
        <f>YEAR(Table1[[#This Row],[Order_Date]])</f>
        <v>2024</v>
      </c>
    </row>
    <row r="158" spans="1:25" x14ac:dyDescent="0.25">
      <c r="A158" t="s">
        <v>702</v>
      </c>
      <c r="B158" t="s">
        <v>703</v>
      </c>
      <c r="C158" t="s">
        <v>704</v>
      </c>
      <c r="D158" t="s">
        <v>705</v>
      </c>
      <c r="E158" t="s">
        <v>116</v>
      </c>
      <c r="F158" t="s">
        <v>56</v>
      </c>
      <c r="G158" t="s">
        <v>95</v>
      </c>
      <c r="H158" t="s">
        <v>72</v>
      </c>
      <c r="I158" t="s">
        <v>66</v>
      </c>
      <c r="J158" t="s">
        <v>73</v>
      </c>
      <c r="K158">
        <v>8</v>
      </c>
      <c r="L158">
        <v>667.81</v>
      </c>
      <c r="M158" s="3">
        <v>0.1</v>
      </c>
      <c r="N158" t="str">
        <f>VLOOKUP(Table1[[#This Row],[Country]],REF_Country!$A$1:$D$11,2,FALSE)</f>
        <v>Southeast Asia</v>
      </c>
      <c r="O158" t="str">
        <f>VLOOKUP(Table1[[#This Row],[Country]],REF_Country!$A$1:$D$11,3,FALSE)</f>
        <v>MY</v>
      </c>
      <c r="P158">
        <f>VLOOKUP(Table1[[#This Row],[Country]],REF_Country!$A$1:$D$11,4,FALSE)</f>
        <v>0.06</v>
      </c>
      <c r="Q158">
        <f>VLOOKUP(Table1[[#This Row],[Category]],REF_Target!$A$1:$E$6,2,FALSE)</f>
        <v>50000</v>
      </c>
      <c r="R158">
        <f>Table1[[#This Row],[Quantity]]*Table1[[#This Row],[Unit_Price]]</f>
        <v>5342.48</v>
      </c>
      <c r="S158">
        <f>Table1[[#This Row],[Gross_Sales]]*Table1[[#This Row],[Discount_Rate]]</f>
        <v>534.24799999999993</v>
      </c>
      <c r="T158">
        <f>Table1[[#This Row],[Gross_Sales]]-Table1[[#This Row],[Discount_Amount]]</f>
        <v>4808.232</v>
      </c>
      <c r="U158">
        <f>VLOOKUP(Table1[[#This Row],[Category]],REF_Cost!$A$1:$B$6,2,FALSE)*Table1[[#This Row],[Quantity]]</f>
        <v>3600</v>
      </c>
      <c r="V158">
        <f>Table1[[#This Row],[Net_Sales]]-Table1[[#This Row],[Total_Cost]]</f>
        <v>1208.232</v>
      </c>
      <c r="W158" t="str">
        <f>TEXT(Table1[[#This Row],[Order_Date]],"mmm")</f>
        <v>Jul</v>
      </c>
      <c r="X158">
        <f>ROUNDUP(MONTH(Table1[[#This Row],[Order_Date]])/3,0)</f>
        <v>3</v>
      </c>
      <c r="Y158">
        <f>YEAR(Table1[[#This Row],[Order_Date]])</f>
        <v>2024</v>
      </c>
    </row>
    <row r="159" spans="1:25" x14ac:dyDescent="0.25">
      <c r="A159" t="s">
        <v>706</v>
      </c>
      <c r="B159" t="s">
        <v>707</v>
      </c>
      <c r="C159" t="s">
        <v>708</v>
      </c>
      <c r="D159" t="s">
        <v>709</v>
      </c>
      <c r="E159" t="s">
        <v>71</v>
      </c>
      <c r="F159" t="s">
        <v>49</v>
      </c>
      <c r="G159" t="s">
        <v>286</v>
      </c>
      <c r="H159" t="s">
        <v>32</v>
      </c>
      <c r="I159" t="s">
        <v>66</v>
      </c>
      <c r="J159" t="s">
        <v>73</v>
      </c>
      <c r="K159">
        <v>9</v>
      </c>
      <c r="L159">
        <v>1144.5899999999999</v>
      </c>
      <c r="M159" s="3">
        <v>0.15</v>
      </c>
      <c r="N159" t="str">
        <f>VLOOKUP(Table1[[#This Row],[Country]],REF_Country!$A$1:$D$11,2,FALSE)</f>
        <v>Southeast Asia</v>
      </c>
      <c r="O159" t="str">
        <f>VLOOKUP(Table1[[#This Row],[Country]],REF_Country!$A$1:$D$11,3,FALSE)</f>
        <v>PH</v>
      </c>
      <c r="P159">
        <f>VLOOKUP(Table1[[#This Row],[Country]],REF_Country!$A$1:$D$11,4,FALSE)</f>
        <v>0.12</v>
      </c>
      <c r="Q159">
        <f>VLOOKUP(Table1[[#This Row],[Category]],REF_Target!$A$1:$E$6,2,FALSE)</f>
        <v>35000</v>
      </c>
      <c r="R159">
        <f>Table1[[#This Row],[Quantity]]*Table1[[#This Row],[Unit_Price]]</f>
        <v>10301.31</v>
      </c>
      <c r="S159">
        <f>Table1[[#This Row],[Gross_Sales]]*Table1[[#This Row],[Discount_Rate]]</f>
        <v>1545.1964999999998</v>
      </c>
      <c r="T159">
        <f>Table1[[#This Row],[Gross_Sales]]-Table1[[#This Row],[Discount_Amount]]</f>
        <v>8756.1134999999995</v>
      </c>
      <c r="U159">
        <f>VLOOKUP(Table1[[#This Row],[Category]],REF_Cost!$A$1:$B$6,2,FALSE)*Table1[[#This Row],[Quantity]]</f>
        <v>1350</v>
      </c>
      <c r="V159">
        <f>Table1[[#This Row],[Net_Sales]]-Table1[[#This Row],[Total_Cost]]</f>
        <v>7406.1134999999995</v>
      </c>
      <c r="W159" t="str">
        <f>TEXT(Table1[[#This Row],[Order_Date]],"mmm")</f>
        <v>Jun</v>
      </c>
      <c r="X159">
        <f>ROUNDUP(MONTH(Table1[[#This Row],[Order_Date]])/3,0)</f>
        <v>2</v>
      </c>
      <c r="Y159">
        <f>YEAR(Table1[[#This Row],[Order_Date]])</f>
        <v>2024</v>
      </c>
    </row>
    <row r="160" spans="1:25" x14ac:dyDescent="0.25">
      <c r="A160" t="s">
        <v>710</v>
      </c>
      <c r="B160" t="s">
        <v>711</v>
      </c>
      <c r="C160" t="s">
        <v>712</v>
      </c>
      <c r="D160" t="s">
        <v>713</v>
      </c>
      <c r="E160" t="s">
        <v>39</v>
      </c>
      <c r="F160" t="s">
        <v>30</v>
      </c>
      <c r="G160" t="s">
        <v>269</v>
      </c>
      <c r="H160" t="s">
        <v>42</v>
      </c>
      <c r="I160" t="s">
        <v>43</v>
      </c>
      <c r="J160" t="s">
        <v>73</v>
      </c>
      <c r="K160">
        <v>7</v>
      </c>
      <c r="L160">
        <v>90.15</v>
      </c>
      <c r="M160" s="3">
        <v>0.15</v>
      </c>
      <c r="N160" t="str">
        <f>VLOOKUP(Table1[[#This Row],[Country]],REF_Country!$A$1:$D$11,2,FALSE)</f>
        <v>Southeast Asia</v>
      </c>
      <c r="O160" t="str">
        <f>VLOOKUP(Table1[[#This Row],[Country]],REF_Country!$A$1:$D$11,3,FALSE)</f>
        <v>TH</v>
      </c>
      <c r="P160">
        <f>VLOOKUP(Table1[[#This Row],[Country]],REF_Country!$A$1:$D$11,4,FALSE)</f>
        <v>7.0000000000000007E-2</v>
      </c>
      <c r="Q160">
        <f>VLOOKUP(Table1[[#This Row],[Category]],REF_Target!$A$1:$E$6,2,FALSE)</f>
        <v>40000</v>
      </c>
      <c r="R160">
        <f>Table1[[#This Row],[Quantity]]*Table1[[#This Row],[Unit_Price]]</f>
        <v>631.05000000000007</v>
      </c>
      <c r="S160">
        <f>Table1[[#This Row],[Gross_Sales]]*Table1[[#This Row],[Discount_Rate]]</f>
        <v>94.657500000000013</v>
      </c>
      <c r="T160">
        <f>Table1[[#This Row],[Gross_Sales]]-Table1[[#This Row],[Discount_Amount]]</f>
        <v>536.39250000000004</v>
      </c>
      <c r="U160">
        <f>VLOOKUP(Table1[[#This Row],[Category]],REF_Cost!$A$1:$B$6,2,FALSE)*Table1[[#This Row],[Quantity]]</f>
        <v>840</v>
      </c>
      <c r="V160">
        <f>Table1[[#This Row],[Net_Sales]]-Table1[[#This Row],[Total_Cost]]</f>
        <v>-303.60749999999996</v>
      </c>
      <c r="W160" t="str">
        <f>TEXT(Table1[[#This Row],[Order_Date]],"mmm")</f>
        <v>Mar</v>
      </c>
      <c r="X160">
        <f>ROUNDUP(MONTH(Table1[[#This Row],[Order_Date]])/3,0)</f>
        <v>1</v>
      </c>
      <c r="Y160">
        <f>YEAR(Table1[[#This Row],[Order_Date]])</f>
        <v>2024</v>
      </c>
    </row>
    <row r="161" spans="1:25" x14ac:dyDescent="0.25">
      <c r="A161" t="s">
        <v>714</v>
      </c>
      <c r="B161" t="s">
        <v>715</v>
      </c>
      <c r="C161" t="s">
        <v>716</v>
      </c>
      <c r="D161" t="s">
        <v>717</v>
      </c>
      <c r="E161" t="s">
        <v>39</v>
      </c>
      <c r="F161" t="s">
        <v>30</v>
      </c>
      <c r="G161" t="s">
        <v>195</v>
      </c>
      <c r="H161" t="s">
        <v>58</v>
      </c>
      <c r="I161" t="s">
        <v>96</v>
      </c>
      <c r="J161" t="s">
        <v>126</v>
      </c>
      <c r="K161">
        <v>8</v>
      </c>
      <c r="L161">
        <v>1494.01</v>
      </c>
      <c r="M161" s="3">
        <v>0.1</v>
      </c>
      <c r="N161" t="str">
        <f>VLOOKUP(Table1[[#This Row],[Country]],REF_Country!$A$1:$D$11,2,FALSE)</f>
        <v>Southeast Asia</v>
      </c>
      <c r="O161" t="str">
        <f>VLOOKUP(Table1[[#This Row],[Country]],REF_Country!$A$1:$D$11,3,FALSE)</f>
        <v>TH</v>
      </c>
      <c r="P161">
        <f>VLOOKUP(Table1[[#This Row],[Country]],REF_Country!$A$1:$D$11,4,FALSE)</f>
        <v>7.0000000000000007E-2</v>
      </c>
      <c r="Q161">
        <f>VLOOKUP(Table1[[#This Row],[Category]],REF_Target!$A$1:$E$6,2,FALSE)</f>
        <v>40000</v>
      </c>
      <c r="R161">
        <f>Table1[[#This Row],[Quantity]]*Table1[[#This Row],[Unit_Price]]</f>
        <v>11952.08</v>
      </c>
      <c r="S161">
        <f>Table1[[#This Row],[Gross_Sales]]*Table1[[#This Row],[Discount_Rate]]</f>
        <v>1195.2080000000001</v>
      </c>
      <c r="T161">
        <f>Table1[[#This Row],[Gross_Sales]]-Table1[[#This Row],[Discount_Amount]]</f>
        <v>10756.871999999999</v>
      </c>
      <c r="U161">
        <f>VLOOKUP(Table1[[#This Row],[Category]],REF_Cost!$A$1:$B$6,2,FALSE)*Table1[[#This Row],[Quantity]]</f>
        <v>960</v>
      </c>
      <c r="V161">
        <f>Table1[[#This Row],[Net_Sales]]-Table1[[#This Row],[Total_Cost]]</f>
        <v>9796.8719999999994</v>
      </c>
      <c r="W161" t="str">
        <f>TEXT(Table1[[#This Row],[Order_Date]],"mmm")</f>
        <v>Oct</v>
      </c>
      <c r="X161">
        <f>ROUNDUP(MONTH(Table1[[#This Row],[Order_Date]])/3,0)</f>
        <v>4</v>
      </c>
      <c r="Y161">
        <f>YEAR(Table1[[#This Row],[Order_Date]])</f>
        <v>2024</v>
      </c>
    </row>
    <row r="162" spans="1:25" x14ac:dyDescent="0.25">
      <c r="A162" t="s">
        <v>718</v>
      </c>
      <c r="B162" t="s">
        <v>719</v>
      </c>
      <c r="C162" t="s">
        <v>720</v>
      </c>
      <c r="D162" t="s">
        <v>721</v>
      </c>
      <c r="E162" t="s">
        <v>39</v>
      </c>
      <c r="F162" t="s">
        <v>30</v>
      </c>
      <c r="G162" t="s">
        <v>139</v>
      </c>
      <c r="H162" t="s">
        <v>42</v>
      </c>
      <c r="I162" t="s">
        <v>33</v>
      </c>
      <c r="J162" t="s">
        <v>34</v>
      </c>
      <c r="K162">
        <v>1</v>
      </c>
      <c r="L162">
        <v>539.04999999999995</v>
      </c>
      <c r="M162" s="3">
        <v>0.05</v>
      </c>
      <c r="N162" t="str">
        <f>VLOOKUP(Table1[[#This Row],[Country]],REF_Country!$A$1:$D$11,2,FALSE)</f>
        <v>Southeast Asia</v>
      </c>
      <c r="O162" t="str">
        <f>VLOOKUP(Table1[[#This Row],[Country]],REF_Country!$A$1:$D$11,3,FALSE)</f>
        <v>TH</v>
      </c>
      <c r="P162">
        <f>VLOOKUP(Table1[[#This Row],[Country]],REF_Country!$A$1:$D$11,4,FALSE)</f>
        <v>7.0000000000000007E-2</v>
      </c>
      <c r="Q162">
        <f>VLOOKUP(Table1[[#This Row],[Category]],REF_Target!$A$1:$E$6,2,FALSE)</f>
        <v>40000</v>
      </c>
      <c r="R162">
        <f>Table1[[#This Row],[Quantity]]*Table1[[#This Row],[Unit_Price]]</f>
        <v>539.04999999999995</v>
      </c>
      <c r="S162">
        <f>Table1[[#This Row],[Gross_Sales]]*Table1[[#This Row],[Discount_Rate]]</f>
        <v>26.952500000000001</v>
      </c>
      <c r="T162">
        <f>Table1[[#This Row],[Gross_Sales]]-Table1[[#This Row],[Discount_Amount]]</f>
        <v>512.09749999999997</v>
      </c>
      <c r="U162">
        <f>VLOOKUP(Table1[[#This Row],[Category]],REF_Cost!$A$1:$B$6,2,FALSE)*Table1[[#This Row],[Quantity]]</f>
        <v>120</v>
      </c>
      <c r="V162">
        <f>Table1[[#This Row],[Net_Sales]]-Table1[[#This Row],[Total_Cost]]</f>
        <v>392.09749999999997</v>
      </c>
      <c r="W162" t="str">
        <f>TEXT(Table1[[#This Row],[Order_Date]],"mmm")</f>
        <v>Jul</v>
      </c>
      <c r="X162">
        <f>ROUNDUP(MONTH(Table1[[#This Row],[Order_Date]])/3,0)</f>
        <v>3</v>
      </c>
      <c r="Y162">
        <f>YEAR(Table1[[#This Row],[Order_Date]])</f>
        <v>2024</v>
      </c>
    </row>
    <row r="163" spans="1:25" x14ac:dyDescent="0.25">
      <c r="A163" t="s">
        <v>722</v>
      </c>
      <c r="B163" t="s">
        <v>723</v>
      </c>
      <c r="C163" t="s">
        <v>724</v>
      </c>
      <c r="D163" t="s">
        <v>725</v>
      </c>
      <c r="E163" t="s">
        <v>116</v>
      </c>
      <c r="F163" t="s">
        <v>49</v>
      </c>
      <c r="G163" t="s">
        <v>286</v>
      </c>
      <c r="H163" t="s">
        <v>58</v>
      </c>
      <c r="I163" t="s">
        <v>51</v>
      </c>
      <c r="J163" t="s">
        <v>34</v>
      </c>
      <c r="K163">
        <v>6</v>
      </c>
      <c r="L163">
        <v>1325.45</v>
      </c>
      <c r="M163" s="3">
        <v>0.1</v>
      </c>
      <c r="N163" t="str">
        <f>VLOOKUP(Table1[[#This Row],[Country]],REF_Country!$A$1:$D$11,2,FALSE)</f>
        <v>Southeast Asia</v>
      </c>
      <c r="O163" t="str">
        <f>VLOOKUP(Table1[[#This Row],[Country]],REF_Country!$A$1:$D$11,3,FALSE)</f>
        <v>MY</v>
      </c>
      <c r="P163">
        <f>VLOOKUP(Table1[[#This Row],[Country]],REF_Country!$A$1:$D$11,4,FALSE)</f>
        <v>0.06</v>
      </c>
      <c r="Q163">
        <f>VLOOKUP(Table1[[#This Row],[Category]],REF_Target!$A$1:$E$6,2,FALSE)</f>
        <v>35000</v>
      </c>
      <c r="R163">
        <f>Table1[[#This Row],[Quantity]]*Table1[[#This Row],[Unit_Price]]</f>
        <v>7952.7000000000007</v>
      </c>
      <c r="S163">
        <f>Table1[[#This Row],[Gross_Sales]]*Table1[[#This Row],[Discount_Rate]]</f>
        <v>795.2700000000001</v>
      </c>
      <c r="T163">
        <f>Table1[[#This Row],[Gross_Sales]]-Table1[[#This Row],[Discount_Amount]]</f>
        <v>7157.43</v>
      </c>
      <c r="U163">
        <f>VLOOKUP(Table1[[#This Row],[Category]],REF_Cost!$A$1:$B$6,2,FALSE)*Table1[[#This Row],[Quantity]]</f>
        <v>900</v>
      </c>
      <c r="V163">
        <f>Table1[[#This Row],[Net_Sales]]-Table1[[#This Row],[Total_Cost]]</f>
        <v>6257.43</v>
      </c>
      <c r="W163" t="str">
        <f>TEXT(Table1[[#This Row],[Order_Date]],"mmm")</f>
        <v>Oct</v>
      </c>
      <c r="X163">
        <f>ROUNDUP(MONTH(Table1[[#This Row],[Order_Date]])/3,0)</f>
        <v>4</v>
      </c>
      <c r="Y163">
        <f>YEAR(Table1[[#This Row],[Order_Date]])</f>
        <v>2024</v>
      </c>
    </row>
    <row r="164" spans="1:25" x14ac:dyDescent="0.25">
      <c r="A164" t="s">
        <v>726</v>
      </c>
      <c r="B164" t="s">
        <v>727</v>
      </c>
      <c r="C164" t="s">
        <v>728</v>
      </c>
      <c r="D164" t="s">
        <v>729</v>
      </c>
      <c r="E164" t="s">
        <v>71</v>
      </c>
      <c r="F164" t="s">
        <v>40</v>
      </c>
      <c r="G164" t="s">
        <v>315</v>
      </c>
      <c r="H164" t="s">
        <v>58</v>
      </c>
      <c r="I164" t="s">
        <v>33</v>
      </c>
      <c r="J164" t="s">
        <v>126</v>
      </c>
      <c r="K164">
        <v>9</v>
      </c>
      <c r="L164">
        <v>124.19</v>
      </c>
      <c r="M164" s="3">
        <v>0.1</v>
      </c>
      <c r="N164" t="str">
        <f>VLOOKUP(Table1[[#This Row],[Country]],REF_Country!$A$1:$D$11,2,FALSE)</f>
        <v>Southeast Asia</v>
      </c>
      <c r="O164" t="str">
        <f>VLOOKUP(Table1[[#This Row],[Country]],REF_Country!$A$1:$D$11,3,FALSE)</f>
        <v>PH</v>
      </c>
      <c r="P164">
        <f>VLOOKUP(Table1[[#This Row],[Country]],REF_Country!$A$1:$D$11,4,FALSE)</f>
        <v>0.12</v>
      </c>
      <c r="Q164">
        <f>VLOOKUP(Table1[[#This Row],[Category]],REF_Target!$A$1:$E$6,2,FALSE)</f>
        <v>45000</v>
      </c>
      <c r="R164">
        <f>Table1[[#This Row],[Quantity]]*Table1[[#This Row],[Unit_Price]]</f>
        <v>1117.71</v>
      </c>
      <c r="S164">
        <f>Table1[[#This Row],[Gross_Sales]]*Table1[[#This Row],[Discount_Rate]]</f>
        <v>111.77100000000002</v>
      </c>
      <c r="T164">
        <f>Table1[[#This Row],[Gross_Sales]]-Table1[[#This Row],[Discount_Amount]]</f>
        <v>1005.9390000000001</v>
      </c>
      <c r="U164">
        <f>VLOOKUP(Table1[[#This Row],[Category]],REF_Cost!$A$1:$B$6,2,FALSE)*Table1[[#This Row],[Quantity]]</f>
        <v>720</v>
      </c>
      <c r="V164">
        <f>Table1[[#This Row],[Net_Sales]]-Table1[[#This Row],[Total_Cost]]</f>
        <v>285.93900000000008</v>
      </c>
      <c r="W164" t="str">
        <f>TEXT(Table1[[#This Row],[Order_Date]],"mmm")</f>
        <v>Oct</v>
      </c>
      <c r="X164">
        <f>ROUNDUP(MONTH(Table1[[#This Row],[Order_Date]])/3,0)</f>
        <v>4</v>
      </c>
      <c r="Y164">
        <f>YEAR(Table1[[#This Row],[Order_Date]])</f>
        <v>2024</v>
      </c>
    </row>
    <row r="165" spans="1:25" x14ac:dyDescent="0.25">
      <c r="A165" t="s">
        <v>730</v>
      </c>
      <c r="B165" t="s">
        <v>731</v>
      </c>
      <c r="C165" t="s">
        <v>732</v>
      </c>
      <c r="D165" t="s">
        <v>733</v>
      </c>
      <c r="E165" t="s">
        <v>71</v>
      </c>
      <c r="F165" t="s">
        <v>40</v>
      </c>
      <c r="G165" t="s">
        <v>315</v>
      </c>
      <c r="H165" t="s">
        <v>42</v>
      </c>
      <c r="I165" t="s">
        <v>33</v>
      </c>
      <c r="J165" t="s">
        <v>126</v>
      </c>
      <c r="K165">
        <v>4</v>
      </c>
      <c r="L165">
        <v>1136.1199999999999</v>
      </c>
      <c r="M165" s="3">
        <v>0.15</v>
      </c>
      <c r="N165" t="str">
        <f>VLOOKUP(Table1[[#This Row],[Country]],REF_Country!$A$1:$D$11,2,FALSE)</f>
        <v>Southeast Asia</v>
      </c>
      <c r="O165" t="str">
        <f>VLOOKUP(Table1[[#This Row],[Country]],REF_Country!$A$1:$D$11,3,FALSE)</f>
        <v>PH</v>
      </c>
      <c r="P165">
        <f>VLOOKUP(Table1[[#This Row],[Country]],REF_Country!$A$1:$D$11,4,FALSE)</f>
        <v>0.12</v>
      </c>
      <c r="Q165">
        <f>VLOOKUP(Table1[[#This Row],[Category]],REF_Target!$A$1:$E$6,2,FALSE)</f>
        <v>45000</v>
      </c>
      <c r="R165">
        <f>Table1[[#This Row],[Quantity]]*Table1[[#This Row],[Unit_Price]]</f>
        <v>4544.4799999999996</v>
      </c>
      <c r="S165">
        <f>Table1[[#This Row],[Gross_Sales]]*Table1[[#This Row],[Discount_Rate]]</f>
        <v>681.67199999999991</v>
      </c>
      <c r="T165">
        <f>Table1[[#This Row],[Gross_Sales]]-Table1[[#This Row],[Discount_Amount]]</f>
        <v>3862.8079999999995</v>
      </c>
      <c r="U165">
        <f>VLOOKUP(Table1[[#This Row],[Category]],REF_Cost!$A$1:$B$6,2,FALSE)*Table1[[#This Row],[Quantity]]</f>
        <v>320</v>
      </c>
      <c r="V165">
        <f>Table1[[#This Row],[Net_Sales]]-Table1[[#This Row],[Total_Cost]]</f>
        <v>3542.8079999999995</v>
      </c>
      <c r="W165" t="str">
        <f>TEXT(Table1[[#This Row],[Order_Date]],"mmm")</f>
        <v>Feb</v>
      </c>
      <c r="X165">
        <f>ROUNDUP(MONTH(Table1[[#This Row],[Order_Date]])/3,0)</f>
        <v>1</v>
      </c>
      <c r="Y165">
        <f>YEAR(Table1[[#This Row],[Order_Date]])</f>
        <v>2024</v>
      </c>
    </row>
    <row r="166" spans="1:25" x14ac:dyDescent="0.25">
      <c r="A166" t="s">
        <v>734</v>
      </c>
      <c r="B166" t="s">
        <v>735</v>
      </c>
      <c r="C166" t="s">
        <v>736</v>
      </c>
      <c r="D166" t="s">
        <v>737</v>
      </c>
      <c r="E166" t="s">
        <v>71</v>
      </c>
      <c r="F166" t="s">
        <v>49</v>
      </c>
      <c r="G166" t="s">
        <v>259</v>
      </c>
      <c r="H166" t="s">
        <v>72</v>
      </c>
      <c r="I166" t="s">
        <v>66</v>
      </c>
      <c r="J166" t="s">
        <v>59</v>
      </c>
      <c r="K166">
        <v>10</v>
      </c>
      <c r="L166">
        <v>693.63</v>
      </c>
      <c r="M166" s="3">
        <v>0.15</v>
      </c>
      <c r="N166" t="str">
        <f>VLOOKUP(Table1[[#This Row],[Country]],REF_Country!$A$1:$D$11,2,FALSE)</f>
        <v>Southeast Asia</v>
      </c>
      <c r="O166" t="str">
        <f>VLOOKUP(Table1[[#This Row],[Country]],REF_Country!$A$1:$D$11,3,FALSE)</f>
        <v>PH</v>
      </c>
      <c r="P166">
        <f>VLOOKUP(Table1[[#This Row],[Country]],REF_Country!$A$1:$D$11,4,FALSE)</f>
        <v>0.12</v>
      </c>
      <c r="Q166">
        <f>VLOOKUP(Table1[[#This Row],[Category]],REF_Target!$A$1:$E$6,2,FALSE)</f>
        <v>35000</v>
      </c>
      <c r="R166">
        <f>Table1[[#This Row],[Quantity]]*Table1[[#This Row],[Unit_Price]]</f>
        <v>6936.3</v>
      </c>
      <c r="S166">
        <f>Table1[[#This Row],[Gross_Sales]]*Table1[[#This Row],[Discount_Rate]]</f>
        <v>1040.4449999999999</v>
      </c>
      <c r="T166">
        <f>Table1[[#This Row],[Gross_Sales]]-Table1[[#This Row],[Discount_Amount]]</f>
        <v>5895.8550000000005</v>
      </c>
      <c r="U166">
        <f>VLOOKUP(Table1[[#This Row],[Category]],REF_Cost!$A$1:$B$6,2,FALSE)*Table1[[#This Row],[Quantity]]</f>
        <v>1500</v>
      </c>
      <c r="V166">
        <f>Table1[[#This Row],[Net_Sales]]-Table1[[#This Row],[Total_Cost]]</f>
        <v>4395.8550000000005</v>
      </c>
      <c r="W166" t="str">
        <f>TEXT(Table1[[#This Row],[Order_Date]],"mmm")</f>
        <v>Jan</v>
      </c>
      <c r="X166">
        <f>ROUNDUP(MONTH(Table1[[#This Row],[Order_Date]])/3,0)</f>
        <v>1</v>
      </c>
      <c r="Y166">
        <f>YEAR(Table1[[#This Row],[Order_Date]])</f>
        <v>2024</v>
      </c>
    </row>
    <row r="167" spans="1:25" x14ac:dyDescent="0.25">
      <c r="A167" t="s">
        <v>738</v>
      </c>
      <c r="B167" t="s">
        <v>739</v>
      </c>
      <c r="C167" t="s">
        <v>740</v>
      </c>
      <c r="D167" t="s">
        <v>741</v>
      </c>
      <c r="E167" t="s">
        <v>29</v>
      </c>
      <c r="F167" t="s">
        <v>40</v>
      </c>
      <c r="G167" t="s">
        <v>315</v>
      </c>
      <c r="H167" t="s">
        <v>42</v>
      </c>
      <c r="I167" t="s">
        <v>33</v>
      </c>
      <c r="J167" t="s">
        <v>59</v>
      </c>
      <c r="K167">
        <v>9</v>
      </c>
      <c r="L167">
        <v>768.36</v>
      </c>
      <c r="M167" s="3">
        <v>0.15</v>
      </c>
      <c r="N167" t="str">
        <f>VLOOKUP(Table1[[#This Row],[Country]],REF_Country!$A$1:$D$11,2,FALSE)</f>
        <v>Southeast Asia</v>
      </c>
      <c r="O167" t="str">
        <f>VLOOKUP(Table1[[#This Row],[Country]],REF_Country!$A$1:$D$11,3,FALSE)</f>
        <v>VN</v>
      </c>
      <c r="P167">
        <f>VLOOKUP(Table1[[#This Row],[Country]],REF_Country!$A$1:$D$11,4,FALSE)</f>
        <v>0.1</v>
      </c>
      <c r="Q167">
        <f>VLOOKUP(Table1[[#This Row],[Category]],REF_Target!$A$1:$E$6,2,FALSE)</f>
        <v>45000</v>
      </c>
      <c r="R167">
        <f>Table1[[#This Row],[Quantity]]*Table1[[#This Row],[Unit_Price]]</f>
        <v>6915.24</v>
      </c>
      <c r="S167">
        <f>Table1[[#This Row],[Gross_Sales]]*Table1[[#This Row],[Discount_Rate]]</f>
        <v>1037.2859999999998</v>
      </c>
      <c r="T167">
        <f>Table1[[#This Row],[Gross_Sales]]-Table1[[#This Row],[Discount_Amount]]</f>
        <v>5877.9539999999997</v>
      </c>
      <c r="U167">
        <f>VLOOKUP(Table1[[#This Row],[Category]],REF_Cost!$A$1:$B$6,2,FALSE)*Table1[[#This Row],[Quantity]]</f>
        <v>720</v>
      </c>
      <c r="V167">
        <f>Table1[[#This Row],[Net_Sales]]-Table1[[#This Row],[Total_Cost]]</f>
        <v>5157.9539999999997</v>
      </c>
      <c r="W167" t="str">
        <f>TEXT(Table1[[#This Row],[Order_Date]],"mmm")</f>
        <v>Jul</v>
      </c>
      <c r="X167">
        <f>ROUNDUP(MONTH(Table1[[#This Row],[Order_Date]])/3,0)</f>
        <v>3</v>
      </c>
      <c r="Y167">
        <f>YEAR(Table1[[#This Row],[Order_Date]])</f>
        <v>2024</v>
      </c>
    </row>
    <row r="168" spans="1:25" x14ac:dyDescent="0.25">
      <c r="A168" t="s">
        <v>742</v>
      </c>
      <c r="B168" t="s">
        <v>743</v>
      </c>
      <c r="C168" t="s">
        <v>744</v>
      </c>
      <c r="D168" t="s">
        <v>745</v>
      </c>
      <c r="E168" t="s">
        <v>116</v>
      </c>
      <c r="F168" t="s">
        <v>49</v>
      </c>
      <c r="G168" t="s">
        <v>259</v>
      </c>
      <c r="H168" t="s">
        <v>42</v>
      </c>
      <c r="I168" t="s">
        <v>66</v>
      </c>
      <c r="J168" t="s">
        <v>73</v>
      </c>
      <c r="K168">
        <v>1</v>
      </c>
      <c r="L168">
        <v>471.9</v>
      </c>
      <c r="M168" s="3">
        <v>0.15</v>
      </c>
      <c r="N168" t="str">
        <f>VLOOKUP(Table1[[#This Row],[Country]],REF_Country!$A$1:$D$11,2,FALSE)</f>
        <v>Southeast Asia</v>
      </c>
      <c r="O168" t="str">
        <f>VLOOKUP(Table1[[#This Row],[Country]],REF_Country!$A$1:$D$11,3,FALSE)</f>
        <v>MY</v>
      </c>
      <c r="P168">
        <f>VLOOKUP(Table1[[#This Row],[Country]],REF_Country!$A$1:$D$11,4,FALSE)</f>
        <v>0.06</v>
      </c>
      <c r="Q168">
        <f>VLOOKUP(Table1[[#This Row],[Category]],REF_Target!$A$1:$E$6,2,FALSE)</f>
        <v>35000</v>
      </c>
      <c r="R168">
        <f>Table1[[#This Row],[Quantity]]*Table1[[#This Row],[Unit_Price]]</f>
        <v>471.9</v>
      </c>
      <c r="S168">
        <f>Table1[[#This Row],[Gross_Sales]]*Table1[[#This Row],[Discount_Rate]]</f>
        <v>70.784999999999997</v>
      </c>
      <c r="T168">
        <f>Table1[[#This Row],[Gross_Sales]]-Table1[[#This Row],[Discount_Amount]]</f>
        <v>401.11500000000001</v>
      </c>
      <c r="U168">
        <f>VLOOKUP(Table1[[#This Row],[Category]],REF_Cost!$A$1:$B$6,2,FALSE)*Table1[[#This Row],[Quantity]]</f>
        <v>150</v>
      </c>
      <c r="V168">
        <f>Table1[[#This Row],[Net_Sales]]-Table1[[#This Row],[Total_Cost]]</f>
        <v>251.11500000000001</v>
      </c>
      <c r="W168" t="str">
        <f>TEXT(Table1[[#This Row],[Order_Date]],"mmm")</f>
        <v>Jan</v>
      </c>
      <c r="X168">
        <f>ROUNDUP(MONTH(Table1[[#This Row],[Order_Date]])/3,0)</f>
        <v>1</v>
      </c>
      <c r="Y168">
        <f>YEAR(Table1[[#This Row],[Order_Date]])</f>
        <v>2024</v>
      </c>
    </row>
    <row r="169" spans="1:25" x14ac:dyDescent="0.25">
      <c r="A169" t="s">
        <v>746</v>
      </c>
      <c r="B169" t="s">
        <v>747</v>
      </c>
      <c r="C169" t="s">
        <v>748</v>
      </c>
      <c r="D169" t="s">
        <v>749</v>
      </c>
      <c r="E169" t="s">
        <v>78</v>
      </c>
      <c r="F169" t="s">
        <v>40</v>
      </c>
      <c r="G169" t="s">
        <v>565</v>
      </c>
      <c r="H169" t="s">
        <v>32</v>
      </c>
      <c r="I169" t="s">
        <v>43</v>
      </c>
      <c r="J169" t="s">
        <v>126</v>
      </c>
      <c r="K169">
        <v>4</v>
      </c>
      <c r="L169">
        <v>234.45</v>
      </c>
      <c r="M169" s="3">
        <v>0</v>
      </c>
      <c r="N169" t="str">
        <f>VLOOKUP(Table1[[#This Row],[Country]],REF_Country!$A$1:$D$11,2,FALSE)</f>
        <v>Oceania</v>
      </c>
      <c r="O169" t="str">
        <f>VLOOKUP(Table1[[#This Row],[Country]],REF_Country!$A$1:$D$11,3,FALSE)</f>
        <v>AU</v>
      </c>
      <c r="P169">
        <f>VLOOKUP(Table1[[#This Row],[Country]],REF_Country!$A$1:$D$11,4,FALSE)</f>
        <v>0.1</v>
      </c>
      <c r="Q169">
        <f>VLOOKUP(Table1[[#This Row],[Category]],REF_Target!$A$1:$E$6,2,FALSE)</f>
        <v>45000</v>
      </c>
      <c r="R169">
        <f>Table1[[#This Row],[Quantity]]*Table1[[#This Row],[Unit_Price]]</f>
        <v>937.8</v>
      </c>
      <c r="S169">
        <f>Table1[[#This Row],[Gross_Sales]]*Table1[[#This Row],[Discount_Rate]]</f>
        <v>0</v>
      </c>
      <c r="T169">
        <f>Table1[[#This Row],[Gross_Sales]]-Table1[[#This Row],[Discount_Amount]]</f>
        <v>937.8</v>
      </c>
      <c r="U169">
        <f>VLOOKUP(Table1[[#This Row],[Category]],REF_Cost!$A$1:$B$6,2,FALSE)*Table1[[#This Row],[Quantity]]</f>
        <v>320</v>
      </c>
      <c r="V169">
        <f>Table1[[#This Row],[Net_Sales]]-Table1[[#This Row],[Total_Cost]]</f>
        <v>617.79999999999995</v>
      </c>
      <c r="W169" t="str">
        <f>TEXT(Table1[[#This Row],[Order_Date]],"mmm")</f>
        <v>Oct</v>
      </c>
      <c r="X169">
        <f>ROUNDUP(MONTH(Table1[[#This Row],[Order_Date]])/3,0)</f>
        <v>4</v>
      </c>
      <c r="Y169">
        <f>YEAR(Table1[[#This Row],[Order_Date]])</f>
        <v>2024</v>
      </c>
    </row>
    <row r="170" spans="1:25" x14ac:dyDescent="0.25">
      <c r="A170" t="s">
        <v>750</v>
      </c>
      <c r="B170" t="s">
        <v>751</v>
      </c>
      <c r="C170" t="s">
        <v>752</v>
      </c>
      <c r="D170" t="s">
        <v>753</v>
      </c>
      <c r="E170" t="s">
        <v>149</v>
      </c>
      <c r="F170" t="s">
        <v>30</v>
      </c>
      <c r="G170" t="s">
        <v>195</v>
      </c>
      <c r="H170" t="s">
        <v>32</v>
      </c>
      <c r="I170" t="s">
        <v>43</v>
      </c>
      <c r="J170" t="s">
        <v>73</v>
      </c>
      <c r="K170">
        <v>10</v>
      </c>
      <c r="L170">
        <v>760.2</v>
      </c>
      <c r="M170" s="3">
        <v>0.1</v>
      </c>
      <c r="N170" t="str">
        <f>VLOOKUP(Table1[[#This Row],[Country]],REF_Country!$A$1:$D$11,2,FALSE)</f>
        <v>East Asia</v>
      </c>
      <c r="O170" t="str">
        <f>VLOOKUP(Table1[[#This Row],[Country]],REF_Country!$A$1:$D$11,3,FALSE)</f>
        <v>JP</v>
      </c>
      <c r="P170">
        <f>VLOOKUP(Table1[[#This Row],[Country]],REF_Country!$A$1:$D$11,4,FALSE)</f>
        <v>0.1</v>
      </c>
      <c r="Q170">
        <f>VLOOKUP(Table1[[#This Row],[Category]],REF_Target!$A$1:$E$6,2,FALSE)</f>
        <v>40000</v>
      </c>
      <c r="R170">
        <f>Table1[[#This Row],[Quantity]]*Table1[[#This Row],[Unit_Price]]</f>
        <v>7602</v>
      </c>
      <c r="S170">
        <f>Table1[[#This Row],[Gross_Sales]]*Table1[[#This Row],[Discount_Rate]]</f>
        <v>760.2</v>
      </c>
      <c r="T170">
        <f>Table1[[#This Row],[Gross_Sales]]-Table1[[#This Row],[Discount_Amount]]</f>
        <v>6841.8</v>
      </c>
      <c r="U170">
        <f>VLOOKUP(Table1[[#This Row],[Category]],REF_Cost!$A$1:$B$6,2,FALSE)*Table1[[#This Row],[Quantity]]</f>
        <v>1200</v>
      </c>
      <c r="V170">
        <f>Table1[[#This Row],[Net_Sales]]-Table1[[#This Row],[Total_Cost]]</f>
        <v>5641.8</v>
      </c>
      <c r="W170" t="str">
        <f>TEXT(Table1[[#This Row],[Order_Date]],"mmm")</f>
        <v>Jun</v>
      </c>
      <c r="X170">
        <f>ROUNDUP(MONTH(Table1[[#This Row],[Order_Date]])/3,0)</f>
        <v>2</v>
      </c>
      <c r="Y170">
        <f>YEAR(Table1[[#This Row],[Order_Date]])</f>
        <v>2024</v>
      </c>
    </row>
    <row r="171" spans="1:25" x14ac:dyDescent="0.25">
      <c r="A171" t="s">
        <v>754</v>
      </c>
      <c r="B171" t="s">
        <v>755</v>
      </c>
      <c r="C171" t="s">
        <v>756</v>
      </c>
      <c r="D171" t="s">
        <v>757</v>
      </c>
      <c r="E171" t="s">
        <v>78</v>
      </c>
      <c r="F171" t="s">
        <v>49</v>
      </c>
      <c r="G171" t="s">
        <v>50</v>
      </c>
      <c r="H171" t="s">
        <v>58</v>
      </c>
      <c r="I171" t="s">
        <v>33</v>
      </c>
      <c r="J171" t="s">
        <v>59</v>
      </c>
      <c r="K171">
        <v>8</v>
      </c>
      <c r="L171">
        <v>1435.68</v>
      </c>
      <c r="M171" s="3">
        <v>0.15</v>
      </c>
      <c r="N171" t="str">
        <f>VLOOKUP(Table1[[#This Row],[Country]],REF_Country!$A$1:$D$11,2,FALSE)</f>
        <v>Oceania</v>
      </c>
      <c r="O171" t="str">
        <f>VLOOKUP(Table1[[#This Row],[Country]],REF_Country!$A$1:$D$11,3,FALSE)</f>
        <v>AU</v>
      </c>
      <c r="P171">
        <f>VLOOKUP(Table1[[#This Row],[Country]],REF_Country!$A$1:$D$11,4,FALSE)</f>
        <v>0.1</v>
      </c>
      <c r="Q171">
        <f>VLOOKUP(Table1[[#This Row],[Category]],REF_Target!$A$1:$E$6,2,FALSE)</f>
        <v>35000</v>
      </c>
      <c r="R171">
        <f>Table1[[#This Row],[Quantity]]*Table1[[#This Row],[Unit_Price]]</f>
        <v>11485.44</v>
      </c>
      <c r="S171">
        <f>Table1[[#This Row],[Gross_Sales]]*Table1[[#This Row],[Discount_Rate]]</f>
        <v>1722.816</v>
      </c>
      <c r="T171">
        <f>Table1[[#This Row],[Gross_Sales]]-Table1[[#This Row],[Discount_Amount]]</f>
        <v>9762.6239999999998</v>
      </c>
      <c r="U171">
        <f>VLOOKUP(Table1[[#This Row],[Category]],REF_Cost!$A$1:$B$6,2,FALSE)*Table1[[#This Row],[Quantity]]</f>
        <v>1200</v>
      </c>
      <c r="V171">
        <f>Table1[[#This Row],[Net_Sales]]-Table1[[#This Row],[Total_Cost]]</f>
        <v>8562.6239999999998</v>
      </c>
      <c r="W171" t="str">
        <f>TEXT(Table1[[#This Row],[Order_Date]],"mmm")</f>
        <v>Jun</v>
      </c>
      <c r="X171">
        <f>ROUNDUP(MONTH(Table1[[#This Row],[Order_Date]])/3,0)</f>
        <v>2</v>
      </c>
      <c r="Y171">
        <f>YEAR(Table1[[#This Row],[Order_Date]])</f>
        <v>2024</v>
      </c>
    </row>
    <row r="172" spans="1:25" x14ac:dyDescent="0.25">
      <c r="A172" t="s">
        <v>758</v>
      </c>
      <c r="B172" t="s">
        <v>759</v>
      </c>
      <c r="C172" t="s">
        <v>760</v>
      </c>
      <c r="D172" t="s">
        <v>761</v>
      </c>
      <c r="E172" t="s">
        <v>29</v>
      </c>
      <c r="F172" t="s">
        <v>40</v>
      </c>
      <c r="G172" t="s">
        <v>565</v>
      </c>
      <c r="H172" t="s">
        <v>58</v>
      </c>
      <c r="I172" t="s">
        <v>43</v>
      </c>
      <c r="J172" t="s">
        <v>59</v>
      </c>
      <c r="K172">
        <v>4</v>
      </c>
      <c r="L172">
        <v>300.51</v>
      </c>
      <c r="M172" s="3">
        <v>0.05</v>
      </c>
      <c r="N172" t="str">
        <f>VLOOKUP(Table1[[#This Row],[Country]],REF_Country!$A$1:$D$11,2,FALSE)</f>
        <v>Southeast Asia</v>
      </c>
      <c r="O172" t="str">
        <f>VLOOKUP(Table1[[#This Row],[Country]],REF_Country!$A$1:$D$11,3,FALSE)</f>
        <v>VN</v>
      </c>
      <c r="P172">
        <f>VLOOKUP(Table1[[#This Row],[Country]],REF_Country!$A$1:$D$11,4,FALSE)</f>
        <v>0.1</v>
      </c>
      <c r="Q172">
        <f>VLOOKUP(Table1[[#This Row],[Category]],REF_Target!$A$1:$E$6,2,FALSE)</f>
        <v>45000</v>
      </c>
      <c r="R172">
        <f>Table1[[#This Row],[Quantity]]*Table1[[#This Row],[Unit_Price]]</f>
        <v>1202.04</v>
      </c>
      <c r="S172">
        <f>Table1[[#This Row],[Gross_Sales]]*Table1[[#This Row],[Discount_Rate]]</f>
        <v>60.102000000000004</v>
      </c>
      <c r="T172">
        <f>Table1[[#This Row],[Gross_Sales]]-Table1[[#This Row],[Discount_Amount]]</f>
        <v>1141.9379999999999</v>
      </c>
      <c r="U172">
        <f>VLOOKUP(Table1[[#This Row],[Category]],REF_Cost!$A$1:$B$6,2,FALSE)*Table1[[#This Row],[Quantity]]</f>
        <v>320</v>
      </c>
      <c r="V172">
        <f>Table1[[#This Row],[Net_Sales]]-Table1[[#This Row],[Total_Cost]]</f>
        <v>821.93799999999987</v>
      </c>
      <c r="W172" t="str">
        <f>TEXT(Table1[[#This Row],[Order_Date]],"mmm")</f>
        <v>Dec</v>
      </c>
      <c r="X172">
        <f>ROUNDUP(MONTH(Table1[[#This Row],[Order_Date]])/3,0)</f>
        <v>4</v>
      </c>
      <c r="Y172">
        <f>YEAR(Table1[[#This Row],[Order_Date]])</f>
        <v>2024</v>
      </c>
    </row>
    <row r="173" spans="1:25" x14ac:dyDescent="0.25">
      <c r="A173" t="s">
        <v>762</v>
      </c>
      <c r="B173" t="s">
        <v>763</v>
      </c>
      <c r="C173" t="s">
        <v>764</v>
      </c>
      <c r="D173" t="s">
        <v>765</v>
      </c>
      <c r="E173" t="s">
        <v>200</v>
      </c>
      <c r="F173" t="s">
        <v>84</v>
      </c>
      <c r="G173" t="s">
        <v>264</v>
      </c>
      <c r="H173" t="s">
        <v>32</v>
      </c>
      <c r="I173" t="s">
        <v>33</v>
      </c>
      <c r="J173" t="s">
        <v>34</v>
      </c>
      <c r="K173">
        <v>5</v>
      </c>
      <c r="L173">
        <v>532.97</v>
      </c>
      <c r="M173" s="3">
        <v>0.05</v>
      </c>
      <c r="N173" t="str">
        <f>VLOOKUP(Table1[[#This Row],[Country]],REF_Country!$A$1:$D$11,2,FALSE)</f>
        <v>East Asia</v>
      </c>
      <c r="O173" t="str">
        <f>VLOOKUP(Table1[[#This Row],[Country]],REF_Country!$A$1:$D$11,3,FALSE)</f>
        <v>KR</v>
      </c>
      <c r="P173">
        <f>VLOOKUP(Table1[[#This Row],[Country]],REF_Country!$A$1:$D$11,4,FALSE)</f>
        <v>0.1</v>
      </c>
      <c r="Q173">
        <f>VLOOKUP(Table1[[#This Row],[Category]],REF_Target!$A$1:$E$6,2,FALSE)</f>
        <v>30000</v>
      </c>
      <c r="R173">
        <f>Table1[[#This Row],[Quantity]]*Table1[[#This Row],[Unit_Price]]</f>
        <v>2664.8500000000004</v>
      </c>
      <c r="S173">
        <f>Table1[[#This Row],[Gross_Sales]]*Table1[[#This Row],[Discount_Rate]]</f>
        <v>133.24250000000004</v>
      </c>
      <c r="T173">
        <f>Table1[[#This Row],[Gross_Sales]]-Table1[[#This Row],[Discount_Amount]]</f>
        <v>2531.6075000000005</v>
      </c>
      <c r="U173">
        <f>VLOOKUP(Table1[[#This Row],[Category]],REF_Cost!$A$1:$B$6,2,FALSE)*Table1[[#This Row],[Quantity]]</f>
        <v>1000</v>
      </c>
      <c r="V173">
        <f>Table1[[#This Row],[Net_Sales]]-Table1[[#This Row],[Total_Cost]]</f>
        <v>1531.6075000000005</v>
      </c>
      <c r="W173" t="str">
        <f>TEXT(Table1[[#This Row],[Order_Date]],"mmm")</f>
        <v>Dec</v>
      </c>
      <c r="X173">
        <f>ROUNDUP(MONTH(Table1[[#This Row],[Order_Date]])/3,0)</f>
        <v>4</v>
      </c>
      <c r="Y173">
        <f>YEAR(Table1[[#This Row],[Order_Date]])</f>
        <v>2024</v>
      </c>
    </row>
    <row r="174" spans="1:25" x14ac:dyDescent="0.25">
      <c r="A174" t="s">
        <v>766</v>
      </c>
      <c r="B174" t="s">
        <v>767</v>
      </c>
      <c r="C174" t="s">
        <v>768</v>
      </c>
      <c r="D174" t="s">
        <v>769</v>
      </c>
      <c r="E174" t="s">
        <v>64</v>
      </c>
      <c r="F174" t="s">
        <v>84</v>
      </c>
      <c r="G174" t="s">
        <v>205</v>
      </c>
      <c r="H174" t="s">
        <v>58</v>
      </c>
      <c r="I174" t="s">
        <v>96</v>
      </c>
      <c r="J174" t="s">
        <v>73</v>
      </c>
      <c r="K174">
        <v>8</v>
      </c>
      <c r="L174">
        <v>529.35</v>
      </c>
      <c r="M174" s="3">
        <v>0.2</v>
      </c>
      <c r="N174" t="str">
        <f>VLOOKUP(Table1[[#This Row],[Country]],REF_Country!$A$1:$D$11,2,FALSE)</f>
        <v>Southeast Asia</v>
      </c>
      <c r="O174" t="str">
        <f>VLOOKUP(Table1[[#This Row],[Country]],REF_Country!$A$1:$D$11,3,FALSE)</f>
        <v>ID</v>
      </c>
      <c r="P174">
        <f>VLOOKUP(Table1[[#This Row],[Country]],REF_Country!$A$1:$D$11,4,FALSE)</f>
        <v>0.11</v>
      </c>
      <c r="Q174">
        <f>VLOOKUP(Table1[[#This Row],[Category]],REF_Target!$A$1:$E$6,2,FALSE)</f>
        <v>30000</v>
      </c>
      <c r="R174">
        <f>Table1[[#This Row],[Quantity]]*Table1[[#This Row],[Unit_Price]]</f>
        <v>4234.8</v>
      </c>
      <c r="S174">
        <f>Table1[[#This Row],[Gross_Sales]]*Table1[[#This Row],[Discount_Rate]]</f>
        <v>846.96</v>
      </c>
      <c r="T174">
        <f>Table1[[#This Row],[Gross_Sales]]-Table1[[#This Row],[Discount_Amount]]</f>
        <v>3387.84</v>
      </c>
      <c r="U174">
        <f>VLOOKUP(Table1[[#This Row],[Category]],REF_Cost!$A$1:$B$6,2,FALSE)*Table1[[#This Row],[Quantity]]</f>
        <v>1600</v>
      </c>
      <c r="V174">
        <f>Table1[[#This Row],[Net_Sales]]-Table1[[#This Row],[Total_Cost]]</f>
        <v>1787.8400000000001</v>
      </c>
      <c r="W174" t="str">
        <f>TEXT(Table1[[#This Row],[Order_Date]],"mmm")</f>
        <v>Jun</v>
      </c>
      <c r="X174">
        <f>ROUNDUP(MONTH(Table1[[#This Row],[Order_Date]])/3,0)</f>
        <v>2</v>
      </c>
      <c r="Y174">
        <f>YEAR(Table1[[#This Row],[Order_Date]])</f>
        <v>2024</v>
      </c>
    </row>
    <row r="175" spans="1:25" x14ac:dyDescent="0.25">
      <c r="A175" t="s">
        <v>770</v>
      </c>
      <c r="B175" t="s">
        <v>771</v>
      </c>
      <c r="C175" t="s">
        <v>772</v>
      </c>
      <c r="D175" t="s">
        <v>773</v>
      </c>
      <c r="E175" t="s">
        <v>78</v>
      </c>
      <c r="F175" t="s">
        <v>84</v>
      </c>
      <c r="G175" t="s">
        <v>85</v>
      </c>
      <c r="H175" t="s">
        <v>72</v>
      </c>
      <c r="I175" t="s">
        <v>51</v>
      </c>
      <c r="J175" t="s">
        <v>73</v>
      </c>
      <c r="K175">
        <v>10</v>
      </c>
      <c r="L175">
        <v>177.2</v>
      </c>
      <c r="M175" s="3">
        <v>0</v>
      </c>
      <c r="N175" t="str">
        <f>VLOOKUP(Table1[[#This Row],[Country]],REF_Country!$A$1:$D$11,2,FALSE)</f>
        <v>Oceania</v>
      </c>
      <c r="O175" t="str">
        <f>VLOOKUP(Table1[[#This Row],[Country]],REF_Country!$A$1:$D$11,3,FALSE)</f>
        <v>AU</v>
      </c>
      <c r="P175">
        <f>VLOOKUP(Table1[[#This Row],[Country]],REF_Country!$A$1:$D$11,4,FALSE)</f>
        <v>0.1</v>
      </c>
      <c r="Q175">
        <f>VLOOKUP(Table1[[#This Row],[Category]],REF_Target!$A$1:$E$6,2,FALSE)</f>
        <v>30000</v>
      </c>
      <c r="R175">
        <f>Table1[[#This Row],[Quantity]]*Table1[[#This Row],[Unit_Price]]</f>
        <v>1772</v>
      </c>
      <c r="S175">
        <f>Table1[[#This Row],[Gross_Sales]]*Table1[[#This Row],[Discount_Rate]]</f>
        <v>0</v>
      </c>
      <c r="T175">
        <f>Table1[[#This Row],[Gross_Sales]]-Table1[[#This Row],[Discount_Amount]]</f>
        <v>1772</v>
      </c>
      <c r="U175">
        <f>VLOOKUP(Table1[[#This Row],[Category]],REF_Cost!$A$1:$B$6,2,FALSE)*Table1[[#This Row],[Quantity]]</f>
        <v>2000</v>
      </c>
      <c r="V175">
        <f>Table1[[#This Row],[Net_Sales]]-Table1[[#This Row],[Total_Cost]]</f>
        <v>-228</v>
      </c>
      <c r="W175" t="str">
        <f>TEXT(Table1[[#This Row],[Order_Date]],"mmm")</f>
        <v>Oct</v>
      </c>
      <c r="X175">
        <f>ROUNDUP(MONTH(Table1[[#This Row],[Order_Date]])/3,0)</f>
        <v>4</v>
      </c>
      <c r="Y175">
        <f>YEAR(Table1[[#This Row],[Order_Date]])</f>
        <v>2024</v>
      </c>
    </row>
    <row r="176" spans="1:25" x14ac:dyDescent="0.25">
      <c r="A176" t="s">
        <v>774</v>
      </c>
      <c r="B176" t="s">
        <v>775</v>
      </c>
      <c r="C176" t="s">
        <v>776</v>
      </c>
      <c r="D176" t="s">
        <v>777</v>
      </c>
      <c r="E176" t="s">
        <v>149</v>
      </c>
      <c r="F176" t="s">
        <v>84</v>
      </c>
      <c r="G176" t="s">
        <v>264</v>
      </c>
      <c r="H176" t="s">
        <v>72</v>
      </c>
      <c r="I176" t="s">
        <v>96</v>
      </c>
      <c r="J176" t="s">
        <v>34</v>
      </c>
      <c r="K176">
        <v>3</v>
      </c>
      <c r="L176">
        <v>164.31</v>
      </c>
      <c r="M176" s="3">
        <v>0</v>
      </c>
      <c r="N176" t="str">
        <f>VLOOKUP(Table1[[#This Row],[Country]],REF_Country!$A$1:$D$11,2,FALSE)</f>
        <v>East Asia</v>
      </c>
      <c r="O176" t="str">
        <f>VLOOKUP(Table1[[#This Row],[Country]],REF_Country!$A$1:$D$11,3,FALSE)</f>
        <v>JP</v>
      </c>
      <c r="P176">
        <f>VLOOKUP(Table1[[#This Row],[Country]],REF_Country!$A$1:$D$11,4,FALSE)</f>
        <v>0.1</v>
      </c>
      <c r="Q176">
        <f>VLOOKUP(Table1[[#This Row],[Category]],REF_Target!$A$1:$E$6,2,FALSE)</f>
        <v>30000</v>
      </c>
      <c r="R176">
        <f>Table1[[#This Row],[Quantity]]*Table1[[#This Row],[Unit_Price]]</f>
        <v>492.93</v>
      </c>
      <c r="S176">
        <f>Table1[[#This Row],[Gross_Sales]]*Table1[[#This Row],[Discount_Rate]]</f>
        <v>0</v>
      </c>
      <c r="T176">
        <f>Table1[[#This Row],[Gross_Sales]]-Table1[[#This Row],[Discount_Amount]]</f>
        <v>492.93</v>
      </c>
      <c r="U176">
        <f>VLOOKUP(Table1[[#This Row],[Category]],REF_Cost!$A$1:$B$6,2,FALSE)*Table1[[#This Row],[Quantity]]</f>
        <v>600</v>
      </c>
      <c r="V176">
        <f>Table1[[#This Row],[Net_Sales]]-Table1[[#This Row],[Total_Cost]]</f>
        <v>-107.07</v>
      </c>
      <c r="W176" t="str">
        <f>TEXT(Table1[[#This Row],[Order_Date]],"mmm")</f>
        <v>Apr</v>
      </c>
      <c r="X176">
        <f>ROUNDUP(MONTH(Table1[[#This Row],[Order_Date]])/3,0)</f>
        <v>2</v>
      </c>
      <c r="Y176">
        <f>YEAR(Table1[[#This Row],[Order_Date]])</f>
        <v>2024</v>
      </c>
    </row>
    <row r="177" spans="1:25" x14ac:dyDescent="0.25">
      <c r="A177" t="s">
        <v>778</v>
      </c>
      <c r="B177" t="s">
        <v>779</v>
      </c>
      <c r="C177" t="s">
        <v>780</v>
      </c>
      <c r="D177" t="s">
        <v>781</v>
      </c>
      <c r="E177" t="s">
        <v>29</v>
      </c>
      <c r="F177" t="s">
        <v>84</v>
      </c>
      <c r="G177" t="s">
        <v>412</v>
      </c>
      <c r="H177" t="s">
        <v>72</v>
      </c>
      <c r="I177" t="s">
        <v>33</v>
      </c>
      <c r="J177" t="s">
        <v>126</v>
      </c>
      <c r="K177">
        <v>2</v>
      </c>
      <c r="L177">
        <v>974.16</v>
      </c>
      <c r="M177" s="3">
        <v>0.2</v>
      </c>
      <c r="N177" t="str">
        <f>VLOOKUP(Table1[[#This Row],[Country]],REF_Country!$A$1:$D$11,2,FALSE)</f>
        <v>Southeast Asia</v>
      </c>
      <c r="O177" t="str">
        <f>VLOOKUP(Table1[[#This Row],[Country]],REF_Country!$A$1:$D$11,3,FALSE)</f>
        <v>VN</v>
      </c>
      <c r="P177">
        <f>VLOOKUP(Table1[[#This Row],[Country]],REF_Country!$A$1:$D$11,4,FALSE)</f>
        <v>0.1</v>
      </c>
      <c r="Q177">
        <f>VLOOKUP(Table1[[#This Row],[Category]],REF_Target!$A$1:$E$6,2,FALSE)</f>
        <v>30000</v>
      </c>
      <c r="R177">
        <f>Table1[[#This Row],[Quantity]]*Table1[[#This Row],[Unit_Price]]</f>
        <v>1948.32</v>
      </c>
      <c r="S177">
        <f>Table1[[#This Row],[Gross_Sales]]*Table1[[#This Row],[Discount_Rate]]</f>
        <v>389.66399999999999</v>
      </c>
      <c r="T177">
        <f>Table1[[#This Row],[Gross_Sales]]-Table1[[#This Row],[Discount_Amount]]</f>
        <v>1558.6559999999999</v>
      </c>
      <c r="U177">
        <f>VLOOKUP(Table1[[#This Row],[Category]],REF_Cost!$A$1:$B$6,2,FALSE)*Table1[[#This Row],[Quantity]]</f>
        <v>400</v>
      </c>
      <c r="V177">
        <f>Table1[[#This Row],[Net_Sales]]-Table1[[#This Row],[Total_Cost]]</f>
        <v>1158.6559999999999</v>
      </c>
      <c r="W177" t="str">
        <f>TEXT(Table1[[#This Row],[Order_Date]],"mmm")</f>
        <v>Nov</v>
      </c>
      <c r="X177">
        <f>ROUNDUP(MONTH(Table1[[#This Row],[Order_Date]])/3,0)</f>
        <v>4</v>
      </c>
      <c r="Y177">
        <f>YEAR(Table1[[#This Row],[Order_Date]])</f>
        <v>2024</v>
      </c>
    </row>
    <row r="178" spans="1:25" x14ac:dyDescent="0.25">
      <c r="A178" t="s">
        <v>782</v>
      </c>
      <c r="B178" t="s">
        <v>783</v>
      </c>
      <c r="C178" t="s">
        <v>784</v>
      </c>
      <c r="D178" t="s">
        <v>785</v>
      </c>
      <c r="E178" t="s">
        <v>64</v>
      </c>
      <c r="F178" t="s">
        <v>49</v>
      </c>
      <c r="G178" t="s">
        <v>226</v>
      </c>
      <c r="H178" t="s">
        <v>32</v>
      </c>
      <c r="I178" t="s">
        <v>66</v>
      </c>
      <c r="J178" t="s">
        <v>126</v>
      </c>
      <c r="K178">
        <v>5</v>
      </c>
      <c r="L178">
        <v>291.67</v>
      </c>
      <c r="M178" s="3">
        <v>0</v>
      </c>
      <c r="N178" t="str">
        <f>VLOOKUP(Table1[[#This Row],[Country]],REF_Country!$A$1:$D$11,2,FALSE)</f>
        <v>Southeast Asia</v>
      </c>
      <c r="O178" t="str">
        <f>VLOOKUP(Table1[[#This Row],[Country]],REF_Country!$A$1:$D$11,3,FALSE)</f>
        <v>ID</v>
      </c>
      <c r="P178">
        <f>VLOOKUP(Table1[[#This Row],[Country]],REF_Country!$A$1:$D$11,4,FALSE)</f>
        <v>0.11</v>
      </c>
      <c r="Q178">
        <f>VLOOKUP(Table1[[#This Row],[Category]],REF_Target!$A$1:$E$6,2,FALSE)</f>
        <v>35000</v>
      </c>
      <c r="R178">
        <f>Table1[[#This Row],[Quantity]]*Table1[[#This Row],[Unit_Price]]</f>
        <v>1458.3500000000001</v>
      </c>
      <c r="S178">
        <f>Table1[[#This Row],[Gross_Sales]]*Table1[[#This Row],[Discount_Rate]]</f>
        <v>0</v>
      </c>
      <c r="T178">
        <f>Table1[[#This Row],[Gross_Sales]]-Table1[[#This Row],[Discount_Amount]]</f>
        <v>1458.3500000000001</v>
      </c>
      <c r="U178">
        <f>VLOOKUP(Table1[[#This Row],[Category]],REF_Cost!$A$1:$B$6,2,FALSE)*Table1[[#This Row],[Quantity]]</f>
        <v>750</v>
      </c>
      <c r="V178">
        <f>Table1[[#This Row],[Net_Sales]]-Table1[[#This Row],[Total_Cost]]</f>
        <v>708.35000000000014</v>
      </c>
      <c r="W178" t="str">
        <f>TEXT(Table1[[#This Row],[Order_Date]],"mmm")</f>
        <v>Aug</v>
      </c>
      <c r="X178">
        <f>ROUNDUP(MONTH(Table1[[#This Row],[Order_Date]])/3,0)</f>
        <v>3</v>
      </c>
      <c r="Y178">
        <f>YEAR(Table1[[#This Row],[Order_Date]])</f>
        <v>2024</v>
      </c>
    </row>
    <row r="179" spans="1:25" x14ac:dyDescent="0.25">
      <c r="A179" t="s">
        <v>786</v>
      </c>
      <c r="B179" t="s">
        <v>787</v>
      </c>
      <c r="C179" t="s">
        <v>788</v>
      </c>
      <c r="D179" t="s">
        <v>789</v>
      </c>
      <c r="E179" t="s">
        <v>78</v>
      </c>
      <c r="F179" t="s">
        <v>40</v>
      </c>
      <c r="G179" t="s">
        <v>565</v>
      </c>
      <c r="H179" t="s">
        <v>42</v>
      </c>
      <c r="I179" t="s">
        <v>66</v>
      </c>
      <c r="J179" t="s">
        <v>73</v>
      </c>
      <c r="K179">
        <v>3</v>
      </c>
      <c r="L179">
        <v>1335.55</v>
      </c>
      <c r="M179" s="3">
        <v>0.15</v>
      </c>
      <c r="N179" t="str">
        <f>VLOOKUP(Table1[[#This Row],[Country]],REF_Country!$A$1:$D$11,2,FALSE)</f>
        <v>Oceania</v>
      </c>
      <c r="O179" t="str">
        <f>VLOOKUP(Table1[[#This Row],[Country]],REF_Country!$A$1:$D$11,3,FALSE)</f>
        <v>AU</v>
      </c>
      <c r="P179">
        <f>VLOOKUP(Table1[[#This Row],[Country]],REF_Country!$A$1:$D$11,4,FALSE)</f>
        <v>0.1</v>
      </c>
      <c r="Q179">
        <f>VLOOKUP(Table1[[#This Row],[Category]],REF_Target!$A$1:$E$6,2,FALSE)</f>
        <v>45000</v>
      </c>
      <c r="R179">
        <f>Table1[[#This Row],[Quantity]]*Table1[[#This Row],[Unit_Price]]</f>
        <v>4006.6499999999996</v>
      </c>
      <c r="S179">
        <f>Table1[[#This Row],[Gross_Sales]]*Table1[[#This Row],[Discount_Rate]]</f>
        <v>600.99749999999995</v>
      </c>
      <c r="T179">
        <f>Table1[[#This Row],[Gross_Sales]]-Table1[[#This Row],[Discount_Amount]]</f>
        <v>3405.6524999999997</v>
      </c>
      <c r="U179">
        <f>VLOOKUP(Table1[[#This Row],[Category]],REF_Cost!$A$1:$B$6,2,FALSE)*Table1[[#This Row],[Quantity]]</f>
        <v>240</v>
      </c>
      <c r="V179">
        <f>Table1[[#This Row],[Net_Sales]]-Table1[[#This Row],[Total_Cost]]</f>
        <v>3165.6524999999997</v>
      </c>
      <c r="W179" t="str">
        <f>TEXT(Table1[[#This Row],[Order_Date]],"mmm")</f>
        <v>May</v>
      </c>
      <c r="X179">
        <f>ROUNDUP(MONTH(Table1[[#This Row],[Order_Date]])/3,0)</f>
        <v>2</v>
      </c>
      <c r="Y179">
        <f>YEAR(Table1[[#This Row],[Order_Date]])</f>
        <v>2024</v>
      </c>
    </row>
    <row r="180" spans="1:25" x14ac:dyDescent="0.25">
      <c r="A180" t="s">
        <v>790</v>
      </c>
      <c r="B180" t="s">
        <v>791</v>
      </c>
      <c r="C180" t="s">
        <v>792</v>
      </c>
      <c r="D180" t="s">
        <v>793</v>
      </c>
      <c r="E180" t="s">
        <v>200</v>
      </c>
      <c r="F180" t="s">
        <v>84</v>
      </c>
      <c r="G180" t="s">
        <v>85</v>
      </c>
      <c r="H180" t="s">
        <v>72</v>
      </c>
      <c r="I180" t="s">
        <v>43</v>
      </c>
      <c r="J180" t="s">
        <v>34</v>
      </c>
      <c r="K180">
        <v>6</v>
      </c>
      <c r="L180">
        <v>35.92</v>
      </c>
      <c r="M180" s="3">
        <v>0.05</v>
      </c>
      <c r="N180" t="str">
        <f>VLOOKUP(Table1[[#This Row],[Country]],REF_Country!$A$1:$D$11,2,FALSE)</f>
        <v>East Asia</v>
      </c>
      <c r="O180" t="str">
        <f>VLOOKUP(Table1[[#This Row],[Country]],REF_Country!$A$1:$D$11,3,FALSE)</f>
        <v>KR</v>
      </c>
      <c r="P180">
        <f>VLOOKUP(Table1[[#This Row],[Country]],REF_Country!$A$1:$D$11,4,FALSE)</f>
        <v>0.1</v>
      </c>
      <c r="Q180">
        <f>VLOOKUP(Table1[[#This Row],[Category]],REF_Target!$A$1:$E$6,2,FALSE)</f>
        <v>30000</v>
      </c>
      <c r="R180">
        <f>Table1[[#This Row],[Quantity]]*Table1[[#This Row],[Unit_Price]]</f>
        <v>215.52</v>
      </c>
      <c r="S180">
        <f>Table1[[#This Row],[Gross_Sales]]*Table1[[#This Row],[Discount_Rate]]</f>
        <v>10.776000000000002</v>
      </c>
      <c r="T180">
        <f>Table1[[#This Row],[Gross_Sales]]-Table1[[#This Row],[Discount_Amount]]</f>
        <v>204.744</v>
      </c>
      <c r="U180">
        <f>VLOOKUP(Table1[[#This Row],[Category]],REF_Cost!$A$1:$B$6,2,FALSE)*Table1[[#This Row],[Quantity]]</f>
        <v>1200</v>
      </c>
      <c r="V180">
        <f>Table1[[#This Row],[Net_Sales]]-Table1[[#This Row],[Total_Cost]]</f>
        <v>-995.25599999999997</v>
      </c>
      <c r="W180" t="str">
        <f>TEXT(Table1[[#This Row],[Order_Date]],"mmm")</f>
        <v>Jun</v>
      </c>
      <c r="X180">
        <f>ROUNDUP(MONTH(Table1[[#This Row],[Order_Date]])/3,0)</f>
        <v>2</v>
      </c>
      <c r="Y180">
        <f>YEAR(Table1[[#This Row],[Order_Date]])</f>
        <v>2024</v>
      </c>
    </row>
    <row r="181" spans="1:25" x14ac:dyDescent="0.25">
      <c r="A181" t="s">
        <v>794</v>
      </c>
      <c r="B181" t="s">
        <v>795</v>
      </c>
      <c r="C181" t="s">
        <v>796</v>
      </c>
      <c r="D181" t="s">
        <v>797</v>
      </c>
      <c r="E181" t="s">
        <v>149</v>
      </c>
      <c r="F181" t="s">
        <v>56</v>
      </c>
      <c r="G181" t="s">
        <v>95</v>
      </c>
      <c r="H181" t="s">
        <v>72</v>
      </c>
      <c r="I181" t="s">
        <v>51</v>
      </c>
      <c r="J181" t="s">
        <v>59</v>
      </c>
      <c r="K181">
        <v>8</v>
      </c>
      <c r="L181">
        <v>1472.8</v>
      </c>
      <c r="M181" s="3">
        <v>0.05</v>
      </c>
      <c r="N181" t="str">
        <f>VLOOKUP(Table1[[#This Row],[Country]],REF_Country!$A$1:$D$11,2,FALSE)</f>
        <v>East Asia</v>
      </c>
      <c r="O181" t="str">
        <f>VLOOKUP(Table1[[#This Row],[Country]],REF_Country!$A$1:$D$11,3,FALSE)</f>
        <v>JP</v>
      </c>
      <c r="P181">
        <f>VLOOKUP(Table1[[#This Row],[Country]],REF_Country!$A$1:$D$11,4,FALSE)</f>
        <v>0.1</v>
      </c>
      <c r="Q181">
        <f>VLOOKUP(Table1[[#This Row],[Category]],REF_Target!$A$1:$E$6,2,FALSE)</f>
        <v>50000</v>
      </c>
      <c r="R181">
        <f>Table1[[#This Row],[Quantity]]*Table1[[#This Row],[Unit_Price]]</f>
        <v>11782.4</v>
      </c>
      <c r="S181">
        <f>Table1[[#This Row],[Gross_Sales]]*Table1[[#This Row],[Discount_Rate]]</f>
        <v>589.12</v>
      </c>
      <c r="T181">
        <f>Table1[[#This Row],[Gross_Sales]]-Table1[[#This Row],[Discount_Amount]]</f>
        <v>11193.279999999999</v>
      </c>
      <c r="U181">
        <f>VLOOKUP(Table1[[#This Row],[Category]],REF_Cost!$A$1:$B$6,2,FALSE)*Table1[[#This Row],[Quantity]]</f>
        <v>3600</v>
      </c>
      <c r="V181">
        <f>Table1[[#This Row],[Net_Sales]]-Table1[[#This Row],[Total_Cost]]</f>
        <v>7593.2799999999988</v>
      </c>
      <c r="W181" t="str">
        <f>TEXT(Table1[[#This Row],[Order_Date]],"mmm")</f>
        <v>Sep</v>
      </c>
      <c r="X181">
        <f>ROUNDUP(MONTH(Table1[[#This Row],[Order_Date]])/3,0)</f>
        <v>3</v>
      </c>
      <c r="Y181">
        <f>YEAR(Table1[[#This Row],[Order_Date]])</f>
        <v>2024</v>
      </c>
    </row>
    <row r="182" spans="1:25" x14ac:dyDescent="0.25">
      <c r="A182" t="s">
        <v>798</v>
      </c>
      <c r="B182" t="s">
        <v>799</v>
      </c>
      <c r="C182" t="s">
        <v>800</v>
      </c>
      <c r="D182" t="s">
        <v>801</v>
      </c>
      <c r="E182" t="s">
        <v>29</v>
      </c>
      <c r="F182" t="s">
        <v>84</v>
      </c>
      <c r="G182" t="s">
        <v>412</v>
      </c>
      <c r="H182" t="s">
        <v>58</v>
      </c>
      <c r="I182" t="s">
        <v>66</v>
      </c>
      <c r="J182" t="s">
        <v>73</v>
      </c>
      <c r="K182">
        <v>10</v>
      </c>
      <c r="L182">
        <v>879.95</v>
      </c>
      <c r="M182" s="3">
        <v>0</v>
      </c>
      <c r="N182" t="str">
        <f>VLOOKUP(Table1[[#This Row],[Country]],REF_Country!$A$1:$D$11,2,FALSE)</f>
        <v>Southeast Asia</v>
      </c>
      <c r="O182" t="str">
        <f>VLOOKUP(Table1[[#This Row],[Country]],REF_Country!$A$1:$D$11,3,FALSE)</f>
        <v>VN</v>
      </c>
      <c r="P182">
        <f>VLOOKUP(Table1[[#This Row],[Country]],REF_Country!$A$1:$D$11,4,FALSE)</f>
        <v>0.1</v>
      </c>
      <c r="Q182">
        <f>VLOOKUP(Table1[[#This Row],[Category]],REF_Target!$A$1:$E$6,2,FALSE)</f>
        <v>30000</v>
      </c>
      <c r="R182">
        <f>Table1[[#This Row],[Quantity]]*Table1[[#This Row],[Unit_Price]]</f>
        <v>8799.5</v>
      </c>
      <c r="S182">
        <f>Table1[[#This Row],[Gross_Sales]]*Table1[[#This Row],[Discount_Rate]]</f>
        <v>0</v>
      </c>
      <c r="T182">
        <f>Table1[[#This Row],[Gross_Sales]]-Table1[[#This Row],[Discount_Amount]]</f>
        <v>8799.5</v>
      </c>
      <c r="U182">
        <f>VLOOKUP(Table1[[#This Row],[Category]],REF_Cost!$A$1:$B$6,2,FALSE)*Table1[[#This Row],[Quantity]]</f>
        <v>2000</v>
      </c>
      <c r="V182">
        <f>Table1[[#This Row],[Net_Sales]]-Table1[[#This Row],[Total_Cost]]</f>
        <v>6799.5</v>
      </c>
      <c r="W182" t="str">
        <f>TEXT(Table1[[#This Row],[Order_Date]],"mmm")</f>
        <v>Apr</v>
      </c>
      <c r="X182">
        <f>ROUNDUP(MONTH(Table1[[#This Row],[Order_Date]])/3,0)</f>
        <v>2</v>
      </c>
      <c r="Y182">
        <f>YEAR(Table1[[#This Row],[Order_Date]])</f>
        <v>2024</v>
      </c>
    </row>
    <row r="183" spans="1:25" x14ac:dyDescent="0.25">
      <c r="A183" t="s">
        <v>802</v>
      </c>
      <c r="B183" t="s">
        <v>803</v>
      </c>
      <c r="C183" t="s">
        <v>804</v>
      </c>
      <c r="D183" t="s">
        <v>805</v>
      </c>
      <c r="E183" t="s">
        <v>29</v>
      </c>
      <c r="F183" t="s">
        <v>30</v>
      </c>
      <c r="G183" t="s">
        <v>195</v>
      </c>
      <c r="H183" t="s">
        <v>32</v>
      </c>
      <c r="I183" t="s">
        <v>66</v>
      </c>
      <c r="J183" t="s">
        <v>59</v>
      </c>
      <c r="K183">
        <v>5</v>
      </c>
      <c r="L183">
        <v>1033.82</v>
      </c>
      <c r="M183" s="3">
        <v>0.2</v>
      </c>
      <c r="N183" t="str">
        <f>VLOOKUP(Table1[[#This Row],[Country]],REF_Country!$A$1:$D$11,2,FALSE)</f>
        <v>Southeast Asia</v>
      </c>
      <c r="O183" t="str">
        <f>VLOOKUP(Table1[[#This Row],[Country]],REF_Country!$A$1:$D$11,3,FALSE)</f>
        <v>VN</v>
      </c>
      <c r="P183">
        <f>VLOOKUP(Table1[[#This Row],[Country]],REF_Country!$A$1:$D$11,4,FALSE)</f>
        <v>0.1</v>
      </c>
      <c r="Q183">
        <f>VLOOKUP(Table1[[#This Row],[Category]],REF_Target!$A$1:$E$6,2,FALSE)</f>
        <v>40000</v>
      </c>
      <c r="R183">
        <f>Table1[[#This Row],[Quantity]]*Table1[[#This Row],[Unit_Price]]</f>
        <v>5169.0999999999995</v>
      </c>
      <c r="S183">
        <f>Table1[[#This Row],[Gross_Sales]]*Table1[[#This Row],[Discount_Rate]]</f>
        <v>1033.82</v>
      </c>
      <c r="T183">
        <f>Table1[[#This Row],[Gross_Sales]]-Table1[[#This Row],[Discount_Amount]]</f>
        <v>4135.28</v>
      </c>
      <c r="U183">
        <f>VLOOKUP(Table1[[#This Row],[Category]],REF_Cost!$A$1:$B$6,2,FALSE)*Table1[[#This Row],[Quantity]]</f>
        <v>600</v>
      </c>
      <c r="V183">
        <f>Table1[[#This Row],[Net_Sales]]-Table1[[#This Row],[Total_Cost]]</f>
        <v>3535.2799999999997</v>
      </c>
      <c r="W183" t="str">
        <f>TEXT(Table1[[#This Row],[Order_Date]],"mmm")</f>
        <v>Dec</v>
      </c>
      <c r="X183">
        <f>ROUNDUP(MONTH(Table1[[#This Row],[Order_Date]])/3,0)</f>
        <v>4</v>
      </c>
      <c r="Y183">
        <f>YEAR(Table1[[#This Row],[Order_Date]])</f>
        <v>2024</v>
      </c>
    </row>
    <row r="184" spans="1:25" x14ac:dyDescent="0.25">
      <c r="A184" t="s">
        <v>806</v>
      </c>
      <c r="B184" t="s">
        <v>807</v>
      </c>
      <c r="C184" t="s">
        <v>808</v>
      </c>
      <c r="D184" t="s">
        <v>809</v>
      </c>
      <c r="E184" t="s">
        <v>200</v>
      </c>
      <c r="F184" t="s">
        <v>30</v>
      </c>
      <c r="G184" t="s">
        <v>195</v>
      </c>
      <c r="H184" t="s">
        <v>42</v>
      </c>
      <c r="I184" t="s">
        <v>33</v>
      </c>
      <c r="J184" t="s">
        <v>34</v>
      </c>
      <c r="K184">
        <v>10</v>
      </c>
      <c r="L184">
        <v>1125.3900000000001</v>
      </c>
      <c r="M184" s="3">
        <v>0.05</v>
      </c>
      <c r="N184" t="str">
        <f>VLOOKUP(Table1[[#This Row],[Country]],REF_Country!$A$1:$D$11,2,FALSE)</f>
        <v>East Asia</v>
      </c>
      <c r="O184" t="str">
        <f>VLOOKUP(Table1[[#This Row],[Country]],REF_Country!$A$1:$D$11,3,FALSE)</f>
        <v>KR</v>
      </c>
      <c r="P184">
        <f>VLOOKUP(Table1[[#This Row],[Country]],REF_Country!$A$1:$D$11,4,FALSE)</f>
        <v>0.1</v>
      </c>
      <c r="Q184">
        <f>VLOOKUP(Table1[[#This Row],[Category]],REF_Target!$A$1:$E$6,2,FALSE)</f>
        <v>40000</v>
      </c>
      <c r="R184">
        <f>Table1[[#This Row],[Quantity]]*Table1[[#This Row],[Unit_Price]]</f>
        <v>11253.900000000001</v>
      </c>
      <c r="S184">
        <f>Table1[[#This Row],[Gross_Sales]]*Table1[[#This Row],[Discount_Rate]]</f>
        <v>562.69500000000005</v>
      </c>
      <c r="T184">
        <f>Table1[[#This Row],[Gross_Sales]]-Table1[[#This Row],[Discount_Amount]]</f>
        <v>10691.205000000002</v>
      </c>
      <c r="U184">
        <f>VLOOKUP(Table1[[#This Row],[Category]],REF_Cost!$A$1:$B$6,2,FALSE)*Table1[[#This Row],[Quantity]]</f>
        <v>1200</v>
      </c>
      <c r="V184">
        <f>Table1[[#This Row],[Net_Sales]]-Table1[[#This Row],[Total_Cost]]</f>
        <v>9491.2050000000017</v>
      </c>
      <c r="W184" t="str">
        <f>TEXT(Table1[[#This Row],[Order_Date]],"mmm")</f>
        <v>Apr</v>
      </c>
      <c r="X184">
        <f>ROUNDUP(MONTH(Table1[[#This Row],[Order_Date]])/3,0)</f>
        <v>2</v>
      </c>
      <c r="Y184">
        <f>YEAR(Table1[[#This Row],[Order_Date]])</f>
        <v>2024</v>
      </c>
    </row>
    <row r="185" spans="1:25" x14ac:dyDescent="0.25">
      <c r="A185" t="s">
        <v>810</v>
      </c>
      <c r="B185" t="s">
        <v>811</v>
      </c>
      <c r="C185" t="s">
        <v>812</v>
      </c>
      <c r="D185" t="s">
        <v>813</v>
      </c>
      <c r="E185" t="s">
        <v>39</v>
      </c>
      <c r="F185" t="s">
        <v>40</v>
      </c>
      <c r="G185" t="s">
        <v>144</v>
      </c>
      <c r="H185" t="s">
        <v>58</v>
      </c>
      <c r="I185" t="s">
        <v>51</v>
      </c>
      <c r="J185" t="s">
        <v>126</v>
      </c>
      <c r="K185">
        <v>9</v>
      </c>
      <c r="L185">
        <v>795.38</v>
      </c>
      <c r="M185" s="3">
        <v>0.2</v>
      </c>
      <c r="N185" t="str">
        <f>VLOOKUP(Table1[[#This Row],[Country]],REF_Country!$A$1:$D$11,2,FALSE)</f>
        <v>Southeast Asia</v>
      </c>
      <c r="O185" t="str">
        <f>VLOOKUP(Table1[[#This Row],[Country]],REF_Country!$A$1:$D$11,3,FALSE)</f>
        <v>TH</v>
      </c>
      <c r="P185">
        <f>VLOOKUP(Table1[[#This Row],[Country]],REF_Country!$A$1:$D$11,4,FALSE)</f>
        <v>7.0000000000000007E-2</v>
      </c>
      <c r="Q185">
        <f>VLOOKUP(Table1[[#This Row],[Category]],REF_Target!$A$1:$E$6,2,FALSE)</f>
        <v>45000</v>
      </c>
      <c r="R185">
        <f>Table1[[#This Row],[Quantity]]*Table1[[#This Row],[Unit_Price]]</f>
        <v>7158.42</v>
      </c>
      <c r="S185">
        <f>Table1[[#This Row],[Gross_Sales]]*Table1[[#This Row],[Discount_Rate]]</f>
        <v>1431.6840000000002</v>
      </c>
      <c r="T185">
        <f>Table1[[#This Row],[Gross_Sales]]-Table1[[#This Row],[Discount_Amount]]</f>
        <v>5726.7359999999999</v>
      </c>
      <c r="U185">
        <f>VLOOKUP(Table1[[#This Row],[Category]],REF_Cost!$A$1:$B$6,2,FALSE)*Table1[[#This Row],[Quantity]]</f>
        <v>720</v>
      </c>
      <c r="V185">
        <f>Table1[[#This Row],[Net_Sales]]-Table1[[#This Row],[Total_Cost]]</f>
        <v>5006.7359999999999</v>
      </c>
      <c r="W185" t="str">
        <f>TEXT(Table1[[#This Row],[Order_Date]],"mmm")</f>
        <v>Dec</v>
      </c>
      <c r="X185">
        <f>ROUNDUP(MONTH(Table1[[#This Row],[Order_Date]])/3,0)</f>
        <v>4</v>
      </c>
      <c r="Y185">
        <f>YEAR(Table1[[#This Row],[Order_Date]])</f>
        <v>2024</v>
      </c>
    </row>
    <row r="186" spans="1:25" x14ac:dyDescent="0.25">
      <c r="A186" t="s">
        <v>814</v>
      </c>
      <c r="B186" t="s">
        <v>815</v>
      </c>
      <c r="C186" t="s">
        <v>816</v>
      </c>
      <c r="D186" t="s">
        <v>817</v>
      </c>
      <c r="E186" t="s">
        <v>83</v>
      </c>
      <c r="F186" t="s">
        <v>40</v>
      </c>
      <c r="G186" t="s">
        <v>106</v>
      </c>
      <c r="H186" t="s">
        <v>32</v>
      </c>
      <c r="I186" t="s">
        <v>43</v>
      </c>
      <c r="J186" t="s">
        <v>34</v>
      </c>
      <c r="K186">
        <v>9</v>
      </c>
      <c r="L186">
        <v>259.33999999999997</v>
      </c>
      <c r="M186" s="3">
        <v>0.1</v>
      </c>
      <c r="N186" t="str">
        <f>VLOOKUP(Table1[[#This Row],[Country]],REF_Country!$A$1:$D$11,2,FALSE)</f>
        <v>South Asia</v>
      </c>
      <c r="O186" t="str">
        <f>VLOOKUP(Table1[[#This Row],[Country]],REF_Country!$A$1:$D$11,3,FALSE)</f>
        <v>IN</v>
      </c>
      <c r="P186">
        <f>VLOOKUP(Table1[[#This Row],[Country]],REF_Country!$A$1:$D$11,4,FALSE)</f>
        <v>0.18</v>
      </c>
      <c r="Q186">
        <f>VLOOKUP(Table1[[#This Row],[Category]],REF_Target!$A$1:$E$6,2,FALSE)</f>
        <v>45000</v>
      </c>
      <c r="R186">
        <f>Table1[[#This Row],[Quantity]]*Table1[[#This Row],[Unit_Price]]</f>
        <v>2334.06</v>
      </c>
      <c r="S186">
        <f>Table1[[#This Row],[Gross_Sales]]*Table1[[#This Row],[Discount_Rate]]</f>
        <v>233.40600000000001</v>
      </c>
      <c r="T186">
        <f>Table1[[#This Row],[Gross_Sales]]-Table1[[#This Row],[Discount_Amount]]</f>
        <v>2100.654</v>
      </c>
      <c r="U186">
        <f>VLOOKUP(Table1[[#This Row],[Category]],REF_Cost!$A$1:$B$6,2,FALSE)*Table1[[#This Row],[Quantity]]</f>
        <v>720</v>
      </c>
      <c r="V186">
        <f>Table1[[#This Row],[Net_Sales]]-Table1[[#This Row],[Total_Cost]]</f>
        <v>1380.654</v>
      </c>
      <c r="W186" t="str">
        <f>TEXT(Table1[[#This Row],[Order_Date]],"mmm")</f>
        <v>Oct</v>
      </c>
      <c r="X186">
        <f>ROUNDUP(MONTH(Table1[[#This Row],[Order_Date]])/3,0)</f>
        <v>4</v>
      </c>
      <c r="Y186">
        <f>YEAR(Table1[[#This Row],[Order_Date]])</f>
        <v>2024</v>
      </c>
    </row>
    <row r="187" spans="1:25" x14ac:dyDescent="0.25">
      <c r="A187" t="s">
        <v>818</v>
      </c>
      <c r="B187" t="s">
        <v>819</v>
      </c>
      <c r="C187" t="s">
        <v>820</v>
      </c>
      <c r="D187" t="s">
        <v>821</v>
      </c>
      <c r="E187" t="s">
        <v>64</v>
      </c>
      <c r="F187" t="s">
        <v>49</v>
      </c>
      <c r="G187" t="s">
        <v>286</v>
      </c>
      <c r="H187" t="s">
        <v>32</v>
      </c>
      <c r="I187" t="s">
        <v>33</v>
      </c>
      <c r="J187" t="s">
        <v>34</v>
      </c>
      <c r="K187">
        <v>8</v>
      </c>
      <c r="L187">
        <v>777.17</v>
      </c>
      <c r="M187" s="3">
        <v>0.15</v>
      </c>
      <c r="N187" t="str">
        <f>VLOOKUP(Table1[[#This Row],[Country]],REF_Country!$A$1:$D$11,2,FALSE)</f>
        <v>Southeast Asia</v>
      </c>
      <c r="O187" t="str">
        <f>VLOOKUP(Table1[[#This Row],[Country]],REF_Country!$A$1:$D$11,3,FALSE)</f>
        <v>ID</v>
      </c>
      <c r="P187">
        <f>VLOOKUP(Table1[[#This Row],[Country]],REF_Country!$A$1:$D$11,4,FALSE)</f>
        <v>0.11</v>
      </c>
      <c r="Q187">
        <f>VLOOKUP(Table1[[#This Row],[Category]],REF_Target!$A$1:$E$6,2,FALSE)</f>
        <v>35000</v>
      </c>
      <c r="R187">
        <f>Table1[[#This Row],[Quantity]]*Table1[[#This Row],[Unit_Price]]</f>
        <v>6217.36</v>
      </c>
      <c r="S187">
        <f>Table1[[#This Row],[Gross_Sales]]*Table1[[#This Row],[Discount_Rate]]</f>
        <v>932.60399999999993</v>
      </c>
      <c r="T187">
        <f>Table1[[#This Row],[Gross_Sales]]-Table1[[#This Row],[Discount_Amount]]</f>
        <v>5284.7559999999994</v>
      </c>
      <c r="U187">
        <f>VLOOKUP(Table1[[#This Row],[Category]],REF_Cost!$A$1:$B$6,2,FALSE)*Table1[[#This Row],[Quantity]]</f>
        <v>1200</v>
      </c>
      <c r="V187">
        <f>Table1[[#This Row],[Net_Sales]]-Table1[[#This Row],[Total_Cost]]</f>
        <v>4084.7559999999994</v>
      </c>
      <c r="W187" t="str">
        <f>TEXT(Table1[[#This Row],[Order_Date]],"mmm")</f>
        <v>Sep</v>
      </c>
      <c r="X187">
        <f>ROUNDUP(MONTH(Table1[[#This Row],[Order_Date]])/3,0)</f>
        <v>3</v>
      </c>
      <c r="Y187">
        <f>YEAR(Table1[[#This Row],[Order_Date]])</f>
        <v>2024</v>
      </c>
    </row>
    <row r="188" spans="1:25" x14ac:dyDescent="0.25">
      <c r="A188" t="s">
        <v>822</v>
      </c>
      <c r="B188" t="s">
        <v>823</v>
      </c>
      <c r="C188" t="s">
        <v>824</v>
      </c>
      <c r="D188" t="s">
        <v>825</v>
      </c>
      <c r="E188" t="s">
        <v>149</v>
      </c>
      <c r="F188" t="s">
        <v>84</v>
      </c>
      <c r="G188" t="s">
        <v>205</v>
      </c>
      <c r="H188" t="s">
        <v>32</v>
      </c>
      <c r="I188" t="s">
        <v>96</v>
      </c>
      <c r="J188" t="s">
        <v>59</v>
      </c>
      <c r="K188">
        <v>10</v>
      </c>
      <c r="L188">
        <v>1122.52</v>
      </c>
      <c r="M188" s="3">
        <v>0</v>
      </c>
      <c r="N188" t="str">
        <f>VLOOKUP(Table1[[#This Row],[Country]],REF_Country!$A$1:$D$11,2,FALSE)</f>
        <v>East Asia</v>
      </c>
      <c r="O188" t="str">
        <f>VLOOKUP(Table1[[#This Row],[Country]],REF_Country!$A$1:$D$11,3,FALSE)</f>
        <v>JP</v>
      </c>
      <c r="P188">
        <f>VLOOKUP(Table1[[#This Row],[Country]],REF_Country!$A$1:$D$11,4,FALSE)</f>
        <v>0.1</v>
      </c>
      <c r="Q188">
        <f>VLOOKUP(Table1[[#This Row],[Category]],REF_Target!$A$1:$E$6,2,FALSE)</f>
        <v>30000</v>
      </c>
      <c r="R188">
        <f>Table1[[#This Row],[Quantity]]*Table1[[#This Row],[Unit_Price]]</f>
        <v>11225.2</v>
      </c>
      <c r="S188">
        <f>Table1[[#This Row],[Gross_Sales]]*Table1[[#This Row],[Discount_Rate]]</f>
        <v>0</v>
      </c>
      <c r="T188">
        <f>Table1[[#This Row],[Gross_Sales]]-Table1[[#This Row],[Discount_Amount]]</f>
        <v>11225.2</v>
      </c>
      <c r="U188">
        <f>VLOOKUP(Table1[[#This Row],[Category]],REF_Cost!$A$1:$B$6,2,FALSE)*Table1[[#This Row],[Quantity]]</f>
        <v>2000</v>
      </c>
      <c r="V188">
        <f>Table1[[#This Row],[Net_Sales]]-Table1[[#This Row],[Total_Cost]]</f>
        <v>9225.2000000000007</v>
      </c>
      <c r="W188" t="str">
        <f>TEXT(Table1[[#This Row],[Order_Date]],"mmm")</f>
        <v>Jun</v>
      </c>
      <c r="X188">
        <f>ROUNDUP(MONTH(Table1[[#This Row],[Order_Date]])/3,0)</f>
        <v>2</v>
      </c>
      <c r="Y188">
        <f>YEAR(Table1[[#This Row],[Order_Date]])</f>
        <v>2024</v>
      </c>
    </row>
    <row r="189" spans="1:25" x14ac:dyDescent="0.25">
      <c r="A189" t="s">
        <v>826</v>
      </c>
      <c r="B189" t="s">
        <v>827</v>
      </c>
      <c r="C189" t="s">
        <v>828</v>
      </c>
      <c r="D189" t="s">
        <v>829</v>
      </c>
      <c r="E189" t="s">
        <v>116</v>
      </c>
      <c r="F189" t="s">
        <v>49</v>
      </c>
      <c r="G189" t="s">
        <v>117</v>
      </c>
      <c r="H189" t="s">
        <v>42</v>
      </c>
      <c r="I189" t="s">
        <v>66</v>
      </c>
      <c r="J189" t="s">
        <v>34</v>
      </c>
      <c r="K189">
        <v>3</v>
      </c>
      <c r="L189">
        <v>441.33</v>
      </c>
      <c r="M189" s="3">
        <v>0</v>
      </c>
      <c r="N189" t="str">
        <f>VLOOKUP(Table1[[#This Row],[Country]],REF_Country!$A$1:$D$11,2,FALSE)</f>
        <v>Southeast Asia</v>
      </c>
      <c r="O189" t="str">
        <f>VLOOKUP(Table1[[#This Row],[Country]],REF_Country!$A$1:$D$11,3,FALSE)</f>
        <v>MY</v>
      </c>
      <c r="P189">
        <f>VLOOKUP(Table1[[#This Row],[Country]],REF_Country!$A$1:$D$11,4,FALSE)</f>
        <v>0.06</v>
      </c>
      <c r="Q189">
        <f>VLOOKUP(Table1[[#This Row],[Category]],REF_Target!$A$1:$E$6,2,FALSE)</f>
        <v>35000</v>
      </c>
      <c r="R189">
        <f>Table1[[#This Row],[Quantity]]*Table1[[#This Row],[Unit_Price]]</f>
        <v>1323.99</v>
      </c>
      <c r="S189">
        <f>Table1[[#This Row],[Gross_Sales]]*Table1[[#This Row],[Discount_Rate]]</f>
        <v>0</v>
      </c>
      <c r="T189">
        <f>Table1[[#This Row],[Gross_Sales]]-Table1[[#This Row],[Discount_Amount]]</f>
        <v>1323.99</v>
      </c>
      <c r="U189">
        <f>VLOOKUP(Table1[[#This Row],[Category]],REF_Cost!$A$1:$B$6,2,FALSE)*Table1[[#This Row],[Quantity]]</f>
        <v>450</v>
      </c>
      <c r="V189">
        <f>Table1[[#This Row],[Net_Sales]]-Table1[[#This Row],[Total_Cost]]</f>
        <v>873.99</v>
      </c>
      <c r="W189" t="str">
        <f>TEXT(Table1[[#This Row],[Order_Date]],"mmm")</f>
        <v>Oct</v>
      </c>
      <c r="X189">
        <f>ROUNDUP(MONTH(Table1[[#This Row],[Order_Date]])/3,0)</f>
        <v>4</v>
      </c>
      <c r="Y189">
        <f>YEAR(Table1[[#This Row],[Order_Date]])</f>
        <v>2024</v>
      </c>
    </row>
    <row r="190" spans="1:25" x14ac:dyDescent="0.25">
      <c r="A190" t="s">
        <v>830</v>
      </c>
      <c r="B190" t="s">
        <v>831</v>
      </c>
      <c r="C190" t="s">
        <v>832</v>
      </c>
      <c r="D190" t="s">
        <v>833</v>
      </c>
      <c r="E190" t="s">
        <v>78</v>
      </c>
      <c r="F190" t="s">
        <v>30</v>
      </c>
      <c r="G190" t="s">
        <v>65</v>
      </c>
      <c r="H190" t="s">
        <v>72</v>
      </c>
      <c r="I190" t="s">
        <v>43</v>
      </c>
      <c r="J190" t="s">
        <v>126</v>
      </c>
      <c r="K190">
        <v>9</v>
      </c>
      <c r="L190">
        <v>191.17</v>
      </c>
      <c r="M190" s="3">
        <v>0.1</v>
      </c>
      <c r="N190" t="str">
        <f>VLOOKUP(Table1[[#This Row],[Country]],REF_Country!$A$1:$D$11,2,FALSE)</f>
        <v>Oceania</v>
      </c>
      <c r="O190" t="str">
        <f>VLOOKUP(Table1[[#This Row],[Country]],REF_Country!$A$1:$D$11,3,FALSE)</f>
        <v>AU</v>
      </c>
      <c r="P190">
        <f>VLOOKUP(Table1[[#This Row],[Country]],REF_Country!$A$1:$D$11,4,FALSE)</f>
        <v>0.1</v>
      </c>
      <c r="Q190">
        <f>VLOOKUP(Table1[[#This Row],[Category]],REF_Target!$A$1:$E$6,2,FALSE)</f>
        <v>40000</v>
      </c>
      <c r="R190">
        <f>Table1[[#This Row],[Quantity]]*Table1[[#This Row],[Unit_Price]]</f>
        <v>1720.53</v>
      </c>
      <c r="S190">
        <f>Table1[[#This Row],[Gross_Sales]]*Table1[[#This Row],[Discount_Rate]]</f>
        <v>172.053</v>
      </c>
      <c r="T190">
        <f>Table1[[#This Row],[Gross_Sales]]-Table1[[#This Row],[Discount_Amount]]</f>
        <v>1548.4769999999999</v>
      </c>
      <c r="U190">
        <f>VLOOKUP(Table1[[#This Row],[Category]],REF_Cost!$A$1:$B$6,2,FALSE)*Table1[[#This Row],[Quantity]]</f>
        <v>1080</v>
      </c>
      <c r="V190">
        <f>Table1[[#This Row],[Net_Sales]]-Table1[[#This Row],[Total_Cost]]</f>
        <v>468.47699999999986</v>
      </c>
      <c r="W190" t="str">
        <f>TEXT(Table1[[#This Row],[Order_Date]],"mmm")</f>
        <v>Jul</v>
      </c>
      <c r="X190">
        <f>ROUNDUP(MONTH(Table1[[#This Row],[Order_Date]])/3,0)</f>
        <v>3</v>
      </c>
      <c r="Y190">
        <f>YEAR(Table1[[#This Row],[Order_Date]])</f>
        <v>2024</v>
      </c>
    </row>
    <row r="191" spans="1:25" x14ac:dyDescent="0.25">
      <c r="A191" t="s">
        <v>834</v>
      </c>
      <c r="B191" t="s">
        <v>835</v>
      </c>
      <c r="C191" t="s">
        <v>836</v>
      </c>
      <c r="D191" t="s">
        <v>837</v>
      </c>
      <c r="E191" t="s">
        <v>78</v>
      </c>
      <c r="F191" t="s">
        <v>49</v>
      </c>
      <c r="G191" t="s">
        <v>259</v>
      </c>
      <c r="H191" t="s">
        <v>42</v>
      </c>
      <c r="I191" t="s">
        <v>66</v>
      </c>
      <c r="J191" t="s">
        <v>73</v>
      </c>
      <c r="K191">
        <v>4</v>
      </c>
      <c r="L191">
        <v>578.23</v>
      </c>
      <c r="M191" s="3">
        <v>0</v>
      </c>
      <c r="N191" t="str">
        <f>VLOOKUP(Table1[[#This Row],[Country]],REF_Country!$A$1:$D$11,2,FALSE)</f>
        <v>Oceania</v>
      </c>
      <c r="O191" t="str">
        <f>VLOOKUP(Table1[[#This Row],[Country]],REF_Country!$A$1:$D$11,3,FALSE)</f>
        <v>AU</v>
      </c>
      <c r="P191">
        <f>VLOOKUP(Table1[[#This Row],[Country]],REF_Country!$A$1:$D$11,4,FALSE)</f>
        <v>0.1</v>
      </c>
      <c r="Q191">
        <f>VLOOKUP(Table1[[#This Row],[Category]],REF_Target!$A$1:$E$6,2,FALSE)</f>
        <v>35000</v>
      </c>
      <c r="R191">
        <f>Table1[[#This Row],[Quantity]]*Table1[[#This Row],[Unit_Price]]</f>
        <v>2312.92</v>
      </c>
      <c r="S191">
        <f>Table1[[#This Row],[Gross_Sales]]*Table1[[#This Row],[Discount_Rate]]</f>
        <v>0</v>
      </c>
      <c r="T191">
        <f>Table1[[#This Row],[Gross_Sales]]-Table1[[#This Row],[Discount_Amount]]</f>
        <v>2312.92</v>
      </c>
      <c r="U191">
        <f>VLOOKUP(Table1[[#This Row],[Category]],REF_Cost!$A$1:$B$6,2,FALSE)*Table1[[#This Row],[Quantity]]</f>
        <v>600</v>
      </c>
      <c r="V191">
        <f>Table1[[#This Row],[Net_Sales]]-Table1[[#This Row],[Total_Cost]]</f>
        <v>1712.92</v>
      </c>
      <c r="W191" t="str">
        <f>TEXT(Table1[[#This Row],[Order_Date]],"mmm")</f>
        <v>Jun</v>
      </c>
      <c r="X191">
        <f>ROUNDUP(MONTH(Table1[[#This Row],[Order_Date]])/3,0)</f>
        <v>2</v>
      </c>
      <c r="Y191">
        <f>YEAR(Table1[[#This Row],[Order_Date]])</f>
        <v>2024</v>
      </c>
    </row>
    <row r="192" spans="1:25" x14ac:dyDescent="0.25">
      <c r="A192" t="s">
        <v>838</v>
      </c>
      <c r="B192" t="s">
        <v>839</v>
      </c>
      <c r="C192" t="s">
        <v>840</v>
      </c>
      <c r="D192" t="s">
        <v>841</v>
      </c>
      <c r="E192" t="s">
        <v>116</v>
      </c>
      <c r="F192" t="s">
        <v>56</v>
      </c>
      <c r="G192" t="s">
        <v>57</v>
      </c>
      <c r="H192" t="s">
        <v>72</v>
      </c>
      <c r="I192" t="s">
        <v>51</v>
      </c>
      <c r="J192" t="s">
        <v>126</v>
      </c>
      <c r="K192">
        <v>1</v>
      </c>
      <c r="L192">
        <v>928.16</v>
      </c>
      <c r="M192" s="3">
        <v>0</v>
      </c>
      <c r="N192" t="str">
        <f>VLOOKUP(Table1[[#This Row],[Country]],REF_Country!$A$1:$D$11,2,FALSE)</f>
        <v>Southeast Asia</v>
      </c>
      <c r="O192" t="str">
        <f>VLOOKUP(Table1[[#This Row],[Country]],REF_Country!$A$1:$D$11,3,FALSE)</f>
        <v>MY</v>
      </c>
      <c r="P192">
        <f>VLOOKUP(Table1[[#This Row],[Country]],REF_Country!$A$1:$D$11,4,FALSE)</f>
        <v>0.06</v>
      </c>
      <c r="Q192">
        <f>VLOOKUP(Table1[[#This Row],[Category]],REF_Target!$A$1:$E$6,2,FALSE)</f>
        <v>50000</v>
      </c>
      <c r="R192">
        <f>Table1[[#This Row],[Quantity]]*Table1[[#This Row],[Unit_Price]]</f>
        <v>928.16</v>
      </c>
      <c r="S192">
        <f>Table1[[#This Row],[Gross_Sales]]*Table1[[#This Row],[Discount_Rate]]</f>
        <v>0</v>
      </c>
      <c r="T192">
        <f>Table1[[#This Row],[Gross_Sales]]-Table1[[#This Row],[Discount_Amount]]</f>
        <v>928.16</v>
      </c>
      <c r="U192">
        <f>VLOOKUP(Table1[[#This Row],[Category]],REF_Cost!$A$1:$B$6,2,FALSE)*Table1[[#This Row],[Quantity]]</f>
        <v>450</v>
      </c>
      <c r="V192">
        <f>Table1[[#This Row],[Net_Sales]]-Table1[[#This Row],[Total_Cost]]</f>
        <v>478.15999999999997</v>
      </c>
      <c r="W192" t="str">
        <f>TEXT(Table1[[#This Row],[Order_Date]],"mmm")</f>
        <v>Apr</v>
      </c>
      <c r="X192">
        <f>ROUNDUP(MONTH(Table1[[#This Row],[Order_Date]])/3,0)</f>
        <v>2</v>
      </c>
      <c r="Y192">
        <f>YEAR(Table1[[#This Row],[Order_Date]])</f>
        <v>2024</v>
      </c>
    </row>
    <row r="193" spans="1:25" x14ac:dyDescent="0.25">
      <c r="A193" t="s">
        <v>842</v>
      </c>
      <c r="B193" t="s">
        <v>843</v>
      </c>
      <c r="C193" t="s">
        <v>844</v>
      </c>
      <c r="D193" t="s">
        <v>845</v>
      </c>
      <c r="E193" t="s">
        <v>64</v>
      </c>
      <c r="F193" t="s">
        <v>30</v>
      </c>
      <c r="G193" t="s">
        <v>269</v>
      </c>
      <c r="H193" t="s">
        <v>72</v>
      </c>
      <c r="I193" t="s">
        <v>51</v>
      </c>
      <c r="J193" t="s">
        <v>73</v>
      </c>
      <c r="K193">
        <v>4</v>
      </c>
      <c r="L193">
        <v>612.36</v>
      </c>
      <c r="M193" s="3">
        <v>0.15</v>
      </c>
      <c r="N193" t="str">
        <f>VLOOKUP(Table1[[#This Row],[Country]],REF_Country!$A$1:$D$11,2,FALSE)</f>
        <v>Southeast Asia</v>
      </c>
      <c r="O193" t="str">
        <f>VLOOKUP(Table1[[#This Row],[Country]],REF_Country!$A$1:$D$11,3,FALSE)</f>
        <v>ID</v>
      </c>
      <c r="P193">
        <f>VLOOKUP(Table1[[#This Row],[Country]],REF_Country!$A$1:$D$11,4,FALSE)</f>
        <v>0.11</v>
      </c>
      <c r="Q193">
        <f>VLOOKUP(Table1[[#This Row],[Category]],REF_Target!$A$1:$E$6,2,FALSE)</f>
        <v>40000</v>
      </c>
      <c r="R193">
        <f>Table1[[#This Row],[Quantity]]*Table1[[#This Row],[Unit_Price]]</f>
        <v>2449.44</v>
      </c>
      <c r="S193">
        <f>Table1[[#This Row],[Gross_Sales]]*Table1[[#This Row],[Discount_Rate]]</f>
        <v>367.416</v>
      </c>
      <c r="T193">
        <f>Table1[[#This Row],[Gross_Sales]]-Table1[[#This Row],[Discount_Amount]]</f>
        <v>2082.0239999999999</v>
      </c>
      <c r="U193">
        <f>VLOOKUP(Table1[[#This Row],[Category]],REF_Cost!$A$1:$B$6,2,FALSE)*Table1[[#This Row],[Quantity]]</f>
        <v>480</v>
      </c>
      <c r="V193">
        <f>Table1[[#This Row],[Net_Sales]]-Table1[[#This Row],[Total_Cost]]</f>
        <v>1602.0239999999999</v>
      </c>
      <c r="W193" t="str">
        <f>TEXT(Table1[[#This Row],[Order_Date]],"mmm")</f>
        <v>Jan</v>
      </c>
      <c r="X193">
        <f>ROUNDUP(MONTH(Table1[[#This Row],[Order_Date]])/3,0)</f>
        <v>1</v>
      </c>
      <c r="Y193">
        <f>YEAR(Table1[[#This Row],[Order_Date]])</f>
        <v>2024</v>
      </c>
    </row>
    <row r="194" spans="1:25" x14ac:dyDescent="0.25">
      <c r="A194" t="s">
        <v>846</v>
      </c>
      <c r="B194" t="s">
        <v>847</v>
      </c>
      <c r="C194" t="s">
        <v>848</v>
      </c>
      <c r="D194" t="s">
        <v>849</v>
      </c>
      <c r="E194" t="s">
        <v>83</v>
      </c>
      <c r="F194" t="s">
        <v>84</v>
      </c>
      <c r="G194" t="s">
        <v>90</v>
      </c>
      <c r="H194" t="s">
        <v>58</v>
      </c>
      <c r="I194" t="s">
        <v>43</v>
      </c>
      <c r="J194" t="s">
        <v>73</v>
      </c>
      <c r="K194">
        <v>6</v>
      </c>
      <c r="L194">
        <v>902.91</v>
      </c>
      <c r="M194" s="3">
        <v>0</v>
      </c>
      <c r="N194" t="str">
        <f>VLOOKUP(Table1[[#This Row],[Country]],REF_Country!$A$1:$D$11,2,FALSE)</f>
        <v>South Asia</v>
      </c>
      <c r="O194" t="str">
        <f>VLOOKUP(Table1[[#This Row],[Country]],REF_Country!$A$1:$D$11,3,FALSE)</f>
        <v>IN</v>
      </c>
      <c r="P194">
        <f>VLOOKUP(Table1[[#This Row],[Country]],REF_Country!$A$1:$D$11,4,FALSE)</f>
        <v>0.18</v>
      </c>
      <c r="Q194">
        <f>VLOOKUP(Table1[[#This Row],[Category]],REF_Target!$A$1:$E$6,2,FALSE)</f>
        <v>30000</v>
      </c>
      <c r="R194">
        <f>Table1[[#This Row],[Quantity]]*Table1[[#This Row],[Unit_Price]]</f>
        <v>5417.46</v>
      </c>
      <c r="S194">
        <f>Table1[[#This Row],[Gross_Sales]]*Table1[[#This Row],[Discount_Rate]]</f>
        <v>0</v>
      </c>
      <c r="T194">
        <f>Table1[[#This Row],[Gross_Sales]]-Table1[[#This Row],[Discount_Amount]]</f>
        <v>5417.46</v>
      </c>
      <c r="U194">
        <f>VLOOKUP(Table1[[#This Row],[Category]],REF_Cost!$A$1:$B$6,2,FALSE)*Table1[[#This Row],[Quantity]]</f>
        <v>1200</v>
      </c>
      <c r="V194">
        <f>Table1[[#This Row],[Net_Sales]]-Table1[[#This Row],[Total_Cost]]</f>
        <v>4217.46</v>
      </c>
      <c r="W194" t="str">
        <f>TEXT(Table1[[#This Row],[Order_Date]],"mmm")</f>
        <v>May</v>
      </c>
      <c r="X194">
        <f>ROUNDUP(MONTH(Table1[[#This Row],[Order_Date]])/3,0)</f>
        <v>2</v>
      </c>
      <c r="Y194">
        <f>YEAR(Table1[[#This Row],[Order_Date]])</f>
        <v>2024</v>
      </c>
    </row>
    <row r="195" spans="1:25" x14ac:dyDescent="0.25">
      <c r="A195" t="s">
        <v>850</v>
      </c>
      <c r="B195" t="s">
        <v>851</v>
      </c>
      <c r="C195" t="s">
        <v>852</v>
      </c>
      <c r="D195" t="s">
        <v>853</v>
      </c>
      <c r="E195" t="s">
        <v>78</v>
      </c>
      <c r="F195" t="s">
        <v>40</v>
      </c>
      <c r="G195" t="s">
        <v>106</v>
      </c>
      <c r="H195" t="s">
        <v>42</v>
      </c>
      <c r="I195" t="s">
        <v>51</v>
      </c>
      <c r="J195" t="s">
        <v>59</v>
      </c>
      <c r="K195">
        <v>7</v>
      </c>
      <c r="L195">
        <v>944.6</v>
      </c>
      <c r="M195" s="3">
        <v>0.15</v>
      </c>
      <c r="N195" t="str">
        <f>VLOOKUP(Table1[[#This Row],[Country]],REF_Country!$A$1:$D$11,2,FALSE)</f>
        <v>Oceania</v>
      </c>
      <c r="O195" t="str">
        <f>VLOOKUP(Table1[[#This Row],[Country]],REF_Country!$A$1:$D$11,3,FALSE)</f>
        <v>AU</v>
      </c>
      <c r="P195">
        <f>VLOOKUP(Table1[[#This Row],[Country]],REF_Country!$A$1:$D$11,4,FALSE)</f>
        <v>0.1</v>
      </c>
      <c r="Q195">
        <f>VLOOKUP(Table1[[#This Row],[Category]],REF_Target!$A$1:$E$6,2,FALSE)</f>
        <v>45000</v>
      </c>
      <c r="R195">
        <f>Table1[[#This Row],[Quantity]]*Table1[[#This Row],[Unit_Price]]</f>
        <v>6612.2</v>
      </c>
      <c r="S195">
        <f>Table1[[#This Row],[Gross_Sales]]*Table1[[#This Row],[Discount_Rate]]</f>
        <v>991.82999999999993</v>
      </c>
      <c r="T195">
        <f>Table1[[#This Row],[Gross_Sales]]-Table1[[#This Row],[Discount_Amount]]</f>
        <v>5620.37</v>
      </c>
      <c r="U195">
        <f>VLOOKUP(Table1[[#This Row],[Category]],REF_Cost!$A$1:$B$6,2,FALSE)*Table1[[#This Row],[Quantity]]</f>
        <v>560</v>
      </c>
      <c r="V195">
        <f>Table1[[#This Row],[Net_Sales]]-Table1[[#This Row],[Total_Cost]]</f>
        <v>5060.37</v>
      </c>
      <c r="W195" t="str">
        <f>TEXT(Table1[[#This Row],[Order_Date]],"mmm")</f>
        <v>Jun</v>
      </c>
      <c r="X195">
        <f>ROUNDUP(MONTH(Table1[[#This Row],[Order_Date]])/3,0)</f>
        <v>2</v>
      </c>
      <c r="Y195">
        <f>YEAR(Table1[[#This Row],[Order_Date]])</f>
        <v>2024</v>
      </c>
    </row>
    <row r="196" spans="1:25" x14ac:dyDescent="0.25">
      <c r="A196" t="s">
        <v>854</v>
      </c>
      <c r="B196" t="s">
        <v>855</v>
      </c>
      <c r="C196" t="s">
        <v>856</v>
      </c>
      <c r="D196" t="s">
        <v>857</v>
      </c>
      <c r="E196" t="s">
        <v>78</v>
      </c>
      <c r="F196" t="s">
        <v>84</v>
      </c>
      <c r="G196" t="s">
        <v>264</v>
      </c>
      <c r="H196" t="s">
        <v>72</v>
      </c>
      <c r="I196" t="s">
        <v>33</v>
      </c>
      <c r="J196" t="s">
        <v>34</v>
      </c>
      <c r="K196">
        <v>5</v>
      </c>
      <c r="L196">
        <v>621.26</v>
      </c>
      <c r="M196" s="3">
        <v>0.1</v>
      </c>
      <c r="N196" t="str">
        <f>VLOOKUP(Table1[[#This Row],[Country]],REF_Country!$A$1:$D$11,2,FALSE)</f>
        <v>Oceania</v>
      </c>
      <c r="O196" t="str">
        <f>VLOOKUP(Table1[[#This Row],[Country]],REF_Country!$A$1:$D$11,3,FALSE)</f>
        <v>AU</v>
      </c>
      <c r="P196">
        <f>VLOOKUP(Table1[[#This Row],[Country]],REF_Country!$A$1:$D$11,4,FALSE)</f>
        <v>0.1</v>
      </c>
      <c r="Q196">
        <f>VLOOKUP(Table1[[#This Row],[Category]],REF_Target!$A$1:$E$6,2,FALSE)</f>
        <v>30000</v>
      </c>
      <c r="R196">
        <f>Table1[[#This Row],[Quantity]]*Table1[[#This Row],[Unit_Price]]</f>
        <v>3106.3</v>
      </c>
      <c r="S196">
        <f>Table1[[#This Row],[Gross_Sales]]*Table1[[#This Row],[Discount_Rate]]</f>
        <v>310.63000000000005</v>
      </c>
      <c r="T196">
        <f>Table1[[#This Row],[Gross_Sales]]-Table1[[#This Row],[Discount_Amount]]</f>
        <v>2795.67</v>
      </c>
      <c r="U196">
        <f>VLOOKUP(Table1[[#This Row],[Category]],REF_Cost!$A$1:$B$6,2,FALSE)*Table1[[#This Row],[Quantity]]</f>
        <v>1000</v>
      </c>
      <c r="V196">
        <f>Table1[[#This Row],[Net_Sales]]-Table1[[#This Row],[Total_Cost]]</f>
        <v>1795.67</v>
      </c>
      <c r="W196" t="str">
        <f>TEXT(Table1[[#This Row],[Order_Date]],"mmm")</f>
        <v>Dec</v>
      </c>
      <c r="X196">
        <f>ROUNDUP(MONTH(Table1[[#This Row],[Order_Date]])/3,0)</f>
        <v>4</v>
      </c>
      <c r="Y196">
        <f>YEAR(Table1[[#This Row],[Order_Date]])</f>
        <v>2024</v>
      </c>
    </row>
    <row r="197" spans="1:25" x14ac:dyDescent="0.25">
      <c r="A197" t="s">
        <v>858</v>
      </c>
      <c r="B197" t="s">
        <v>859</v>
      </c>
      <c r="C197" t="s">
        <v>860</v>
      </c>
      <c r="D197" t="s">
        <v>861</v>
      </c>
      <c r="E197" t="s">
        <v>48</v>
      </c>
      <c r="F197" t="s">
        <v>49</v>
      </c>
      <c r="G197" t="s">
        <v>117</v>
      </c>
      <c r="H197" t="s">
        <v>72</v>
      </c>
      <c r="I197" t="s">
        <v>96</v>
      </c>
      <c r="J197" t="s">
        <v>73</v>
      </c>
      <c r="K197">
        <v>7</v>
      </c>
      <c r="L197">
        <v>850.14</v>
      </c>
      <c r="M197" s="3">
        <v>0.15</v>
      </c>
      <c r="N197" t="str">
        <f>VLOOKUP(Table1[[#This Row],[Country]],REF_Country!$A$1:$D$11,2,FALSE)</f>
        <v>Southeast Asia</v>
      </c>
      <c r="O197" t="str">
        <f>VLOOKUP(Table1[[#This Row],[Country]],REF_Country!$A$1:$D$11,3,FALSE)</f>
        <v>SG</v>
      </c>
      <c r="P197">
        <f>VLOOKUP(Table1[[#This Row],[Country]],REF_Country!$A$1:$D$11,4,FALSE)</f>
        <v>7.0000000000000007E-2</v>
      </c>
      <c r="Q197">
        <f>VLOOKUP(Table1[[#This Row],[Category]],REF_Target!$A$1:$E$6,2,FALSE)</f>
        <v>35000</v>
      </c>
      <c r="R197">
        <f>Table1[[#This Row],[Quantity]]*Table1[[#This Row],[Unit_Price]]</f>
        <v>5950.98</v>
      </c>
      <c r="S197">
        <f>Table1[[#This Row],[Gross_Sales]]*Table1[[#This Row],[Discount_Rate]]</f>
        <v>892.64699999999993</v>
      </c>
      <c r="T197">
        <f>Table1[[#This Row],[Gross_Sales]]-Table1[[#This Row],[Discount_Amount]]</f>
        <v>5058.3329999999996</v>
      </c>
      <c r="U197">
        <f>VLOOKUP(Table1[[#This Row],[Category]],REF_Cost!$A$1:$B$6,2,FALSE)*Table1[[#This Row],[Quantity]]</f>
        <v>1050</v>
      </c>
      <c r="V197">
        <f>Table1[[#This Row],[Net_Sales]]-Table1[[#This Row],[Total_Cost]]</f>
        <v>4008.3329999999996</v>
      </c>
      <c r="W197" t="str">
        <f>TEXT(Table1[[#This Row],[Order_Date]],"mmm")</f>
        <v>Apr</v>
      </c>
      <c r="X197">
        <f>ROUNDUP(MONTH(Table1[[#This Row],[Order_Date]])/3,0)</f>
        <v>2</v>
      </c>
      <c r="Y197">
        <f>YEAR(Table1[[#This Row],[Order_Date]])</f>
        <v>2024</v>
      </c>
    </row>
    <row r="198" spans="1:25" x14ac:dyDescent="0.25">
      <c r="A198" t="s">
        <v>862</v>
      </c>
      <c r="B198" t="s">
        <v>863</v>
      </c>
      <c r="C198" t="s">
        <v>864</v>
      </c>
      <c r="D198" t="s">
        <v>865</v>
      </c>
      <c r="E198" t="s">
        <v>116</v>
      </c>
      <c r="F198" t="s">
        <v>49</v>
      </c>
      <c r="G198" t="s">
        <v>50</v>
      </c>
      <c r="H198" t="s">
        <v>58</v>
      </c>
      <c r="I198" t="s">
        <v>96</v>
      </c>
      <c r="J198" t="s">
        <v>126</v>
      </c>
      <c r="K198">
        <v>4</v>
      </c>
      <c r="L198">
        <v>152.31</v>
      </c>
      <c r="M198" s="3">
        <v>0</v>
      </c>
      <c r="N198" t="str">
        <f>VLOOKUP(Table1[[#This Row],[Country]],REF_Country!$A$1:$D$11,2,FALSE)</f>
        <v>Southeast Asia</v>
      </c>
      <c r="O198" t="str">
        <f>VLOOKUP(Table1[[#This Row],[Country]],REF_Country!$A$1:$D$11,3,FALSE)</f>
        <v>MY</v>
      </c>
      <c r="P198">
        <f>VLOOKUP(Table1[[#This Row],[Country]],REF_Country!$A$1:$D$11,4,FALSE)</f>
        <v>0.06</v>
      </c>
      <c r="Q198">
        <f>VLOOKUP(Table1[[#This Row],[Category]],REF_Target!$A$1:$E$6,2,FALSE)</f>
        <v>35000</v>
      </c>
      <c r="R198">
        <f>Table1[[#This Row],[Quantity]]*Table1[[#This Row],[Unit_Price]]</f>
        <v>609.24</v>
      </c>
      <c r="S198">
        <f>Table1[[#This Row],[Gross_Sales]]*Table1[[#This Row],[Discount_Rate]]</f>
        <v>0</v>
      </c>
      <c r="T198">
        <f>Table1[[#This Row],[Gross_Sales]]-Table1[[#This Row],[Discount_Amount]]</f>
        <v>609.24</v>
      </c>
      <c r="U198">
        <f>VLOOKUP(Table1[[#This Row],[Category]],REF_Cost!$A$1:$B$6,2,FALSE)*Table1[[#This Row],[Quantity]]</f>
        <v>600</v>
      </c>
      <c r="V198">
        <f>Table1[[#This Row],[Net_Sales]]-Table1[[#This Row],[Total_Cost]]</f>
        <v>9.2400000000000091</v>
      </c>
      <c r="W198" t="str">
        <f>TEXT(Table1[[#This Row],[Order_Date]],"mmm")</f>
        <v>Apr</v>
      </c>
      <c r="X198">
        <f>ROUNDUP(MONTH(Table1[[#This Row],[Order_Date]])/3,0)</f>
        <v>2</v>
      </c>
      <c r="Y198">
        <f>YEAR(Table1[[#This Row],[Order_Date]])</f>
        <v>2024</v>
      </c>
    </row>
    <row r="199" spans="1:25" x14ac:dyDescent="0.25">
      <c r="A199" t="s">
        <v>866</v>
      </c>
      <c r="B199" t="s">
        <v>867</v>
      </c>
      <c r="C199" t="s">
        <v>868</v>
      </c>
      <c r="D199" t="s">
        <v>869</v>
      </c>
      <c r="E199" t="s">
        <v>78</v>
      </c>
      <c r="F199" t="s">
        <v>30</v>
      </c>
      <c r="G199" t="s">
        <v>195</v>
      </c>
      <c r="H199" t="s">
        <v>32</v>
      </c>
      <c r="I199" t="s">
        <v>43</v>
      </c>
      <c r="J199" t="s">
        <v>73</v>
      </c>
      <c r="K199">
        <v>6</v>
      </c>
      <c r="L199">
        <v>325.2</v>
      </c>
      <c r="M199" s="3">
        <v>0.05</v>
      </c>
      <c r="N199" t="str">
        <f>VLOOKUP(Table1[[#This Row],[Country]],REF_Country!$A$1:$D$11,2,FALSE)</f>
        <v>Oceania</v>
      </c>
      <c r="O199" t="str">
        <f>VLOOKUP(Table1[[#This Row],[Country]],REF_Country!$A$1:$D$11,3,FALSE)</f>
        <v>AU</v>
      </c>
      <c r="P199">
        <f>VLOOKUP(Table1[[#This Row],[Country]],REF_Country!$A$1:$D$11,4,FALSE)</f>
        <v>0.1</v>
      </c>
      <c r="Q199">
        <f>VLOOKUP(Table1[[#This Row],[Category]],REF_Target!$A$1:$E$6,2,FALSE)</f>
        <v>40000</v>
      </c>
      <c r="R199">
        <f>Table1[[#This Row],[Quantity]]*Table1[[#This Row],[Unit_Price]]</f>
        <v>1951.1999999999998</v>
      </c>
      <c r="S199">
        <f>Table1[[#This Row],[Gross_Sales]]*Table1[[#This Row],[Discount_Rate]]</f>
        <v>97.56</v>
      </c>
      <c r="T199">
        <f>Table1[[#This Row],[Gross_Sales]]-Table1[[#This Row],[Discount_Amount]]</f>
        <v>1853.6399999999999</v>
      </c>
      <c r="U199">
        <f>VLOOKUP(Table1[[#This Row],[Category]],REF_Cost!$A$1:$B$6,2,FALSE)*Table1[[#This Row],[Quantity]]</f>
        <v>720</v>
      </c>
      <c r="V199">
        <f>Table1[[#This Row],[Net_Sales]]-Table1[[#This Row],[Total_Cost]]</f>
        <v>1133.6399999999999</v>
      </c>
      <c r="W199" t="str">
        <f>TEXT(Table1[[#This Row],[Order_Date]],"mmm")</f>
        <v>Apr</v>
      </c>
      <c r="X199">
        <f>ROUNDUP(MONTH(Table1[[#This Row],[Order_Date]])/3,0)</f>
        <v>2</v>
      </c>
      <c r="Y199">
        <f>YEAR(Table1[[#This Row],[Order_Date]])</f>
        <v>2024</v>
      </c>
    </row>
    <row r="200" spans="1:25" x14ac:dyDescent="0.25">
      <c r="A200" t="s">
        <v>870</v>
      </c>
      <c r="B200" t="s">
        <v>871</v>
      </c>
      <c r="C200" t="s">
        <v>872</v>
      </c>
      <c r="D200" t="s">
        <v>873</v>
      </c>
      <c r="E200" t="s">
        <v>83</v>
      </c>
      <c r="F200" t="s">
        <v>30</v>
      </c>
      <c r="G200" t="s">
        <v>195</v>
      </c>
      <c r="H200" t="s">
        <v>58</v>
      </c>
      <c r="I200" t="s">
        <v>96</v>
      </c>
      <c r="J200" t="s">
        <v>34</v>
      </c>
      <c r="K200">
        <v>9</v>
      </c>
      <c r="L200">
        <v>1373.96</v>
      </c>
      <c r="M200" s="3">
        <v>0.05</v>
      </c>
      <c r="N200" t="str">
        <f>VLOOKUP(Table1[[#This Row],[Country]],REF_Country!$A$1:$D$11,2,FALSE)</f>
        <v>South Asia</v>
      </c>
      <c r="O200" t="str">
        <f>VLOOKUP(Table1[[#This Row],[Country]],REF_Country!$A$1:$D$11,3,FALSE)</f>
        <v>IN</v>
      </c>
      <c r="P200">
        <f>VLOOKUP(Table1[[#This Row],[Country]],REF_Country!$A$1:$D$11,4,FALSE)</f>
        <v>0.18</v>
      </c>
      <c r="Q200">
        <f>VLOOKUP(Table1[[#This Row],[Category]],REF_Target!$A$1:$E$6,2,FALSE)</f>
        <v>40000</v>
      </c>
      <c r="R200">
        <f>Table1[[#This Row],[Quantity]]*Table1[[#This Row],[Unit_Price]]</f>
        <v>12365.64</v>
      </c>
      <c r="S200">
        <f>Table1[[#This Row],[Gross_Sales]]*Table1[[#This Row],[Discount_Rate]]</f>
        <v>618.28200000000004</v>
      </c>
      <c r="T200">
        <f>Table1[[#This Row],[Gross_Sales]]-Table1[[#This Row],[Discount_Amount]]</f>
        <v>11747.358</v>
      </c>
      <c r="U200">
        <f>VLOOKUP(Table1[[#This Row],[Category]],REF_Cost!$A$1:$B$6,2,FALSE)*Table1[[#This Row],[Quantity]]</f>
        <v>1080</v>
      </c>
      <c r="V200">
        <f>Table1[[#This Row],[Net_Sales]]-Table1[[#This Row],[Total_Cost]]</f>
        <v>10667.358</v>
      </c>
      <c r="W200" t="str">
        <f>TEXT(Table1[[#This Row],[Order_Date]],"mmm")</f>
        <v>Sep</v>
      </c>
      <c r="X200">
        <f>ROUNDUP(MONTH(Table1[[#This Row],[Order_Date]])/3,0)</f>
        <v>3</v>
      </c>
      <c r="Y200">
        <f>YEAR(Table1[[#This Row],[Order_Date]])</f>
        <v>2024</v>
      </c>
    </row>
    <row r="201" spans="1:25" x14ac:dyDescent="0.25">
      <c r="A201" t="s">
        <v>874</v>
      </c>
      <c r="B201" t="s">
        <v>875</v>
      </c>
      <c r="C201" t="s">
        <v>876</v>
      </c>
      <c r="D201" t="s">
        <v>877</v>
      </c>
      <c r="E201" t="s">
        <v>29</v>
      </c>
      <c r="F201" t="s">
        <v>84</v>
      </c>
      <c r="G201" t="s">
        <v>90</v>
      </c>
      <c r="H201" t="s">
        <v>42</v>
      </c>
      <c r="I201" t="s">
        <v>66</v>
      </c>
      <c r="J201" t="s">
        <v>73</v>
      </c>
      <c r="K201">
        <v>8</v>
      </c>
      <c r="L201">
        <v>1325.98</v>
      </c>
      <c r="M201" s="3">
        <v>0</v>
      </c>
      <c r="N201" t="str">
        <f>VLOOKUP(Table1[[#This Row],[Country]],REF_Country!$A$1:$D$11,2,FALSE)</f>
        <v>Southeast Asia</v>
      </c>
      <c r="O201" t="str">
        <f>VLOOKUP(Table1[[#This Row],[Country]],REF_Country!$A$1:$D$11,3,FALSE)</f>
        <v>VN</v>
      </c>
      <c r="P201">
        <f>VLOOKUP(Table1[[#This Row],[Country]],REF_Country!$A$1:$D$11,4,FALSE)</f>
        <v>0.1</v>
      </c>
      <c r="Q201">
        <f>VLOOKUP(Table1[[#This Row],[Category]],REF_Target!$A$1:$E$6,2,FALSE)</f>
        <v>30000</v>
      </c>
      <c r="R201">
        <f>Table1[[#This Row],[Quantity]]*Table1[[#This Row],[Unit_Price]]</f>
        <v>10607.84</v>
      </c>
      <c r="S201">
        <f>Table1[[#This Row],[Gross_Sales]]*Table1[[#This Row],[Discount_Rate]]</f>
        <v>0</v>
      </c>
      <c r="T201">
        <f>Table1[[#This Row],[Gross_Sales]]-Table1[[#This Row],[Discount_Amount]]</f>
        <v>10607.84</v>
      </c>
      <c r="U201">
        <f>VLOOKUP(Table1[[#This Row],[Category]],REF_Cost!$A$1:$B$6,2,FALSE)*Table1[[#This Row],[Quantity]]</f>
        <v>1600</v>
      </c>
      <c r="V201">
        <f>Table1[[#This Row],[Net_Sales]]-Table1[[#This Row],[Total_Cost]]</f>
        <v>9007.84</v>
      </c>
      <c r="W201" t="str">
        <f>TEXT(Table1[[#This Row],[Order_Date]],"mmm")</f>
        <v>Nov</v>
      </c>
      <c r="X201">
        <f>ROUNDUP(MONTH(Table1[[#This Row],[Order_Date]])/3,0)</f>
        <v>4</v>
      </c>
      <c r="Y201">
        <f>YEAR(Table1[[#This Row],[Order_Date]])</f>
        <v>2024</v>
      </c>
    </row>
    <row r="202" spans="1:25" x14ac:dyDescent="0.25">
      <c r="A202" t="s">
        <v>878</v>
      </c>
      <c r="B202" t="s">
        <v>879</v>
      </c>
      <c r="C202" t="s">
        <v>880</v>
      </c>
      <c r="D202" t="s">
        <v>881</v>
      </c>
      <c r="E202" t="s">
        <v>83</v>
      </c>
      <c r="F202" t="s">
        <v>30</v>
      </c>
      <c r="G202" t="s">
        <v>31</v>
      </c>
      <c r="H202" t="s">
        <v>42</v>
      </c>
      <c r="I202" t="s">
        <v>66</v>
      </c>
      <c r="J202" t="s">
        <v>73</v>
      </c>
      <c r="K202">
        <v>9</v>
      </c>
      <c r="L202">
        <v>39.090000000000003</v>
      </c>
      <c r="M202" s="3">
        <v>0.15</v>
      </c>
      <c r="N202" t="str">
        <f>VLOOKUP(Table1[[#This Row],[Country]],REF_Country!$A$1:$D$11,2,FALSE)</f>
        <v>South Asia</v>
      </c>
      <c r="O202" t="str">
        <f>VLOOKUP(Table1[[#This Row],[Country]],REF_Country!$A$1:$D$11,3,FALSE)</f>
        <v>IN</v>
      </c>
      <c r="P202">
        <f>VLOOKUP(Table1[[#This Row],[Country]],REF_Country!$A$1:$D$11,4,FALSE)</f>
        <v>0.18</v>
      </c>
      <c r="Q202">
        <f>VLOOKUP(Table1[[#This Row],[Category]],REF_Target!$A$1:$E$6,2,FALSE)</f>
        <v>40000</v>
      </c>
      <c r="R202">
        <f>Table1[[#This Row],[Quantity]]*Table1[[#This Row],[Unit_Price]]</f>
        <v>351.81000000000006</v>
      </c>
      <c r="S202">
        <f>Table1[[#This Row],[Gross_Sales]]*Table1[[#This Row],[Discount_Rate]]</f>
        <v>52.77150000000001</v>
      </c>
      <c r="T202">
        <f>Table1[[#This Row],[Gross_Sales]]-Table1[[#This Row],[Discount_Amount]]</f>
        <v>299.03850000000006</v>
      </c>
      <c r="U202">
        <f>VLOOKUP(Table1[[#This Row],[Category]],REF_Cost!$A$1:$B$6,2,FALSE)*Table1[[#This Row],[Quantity]]</f>
        <v>1080</v>
      </c>
      <c r="V202">
        <f>Table1[[#This Row],[Net_Sales]]-Table1[[#This Row],[Total_Cost]]</f>
        <v>-780.96149999999989</v>
      </c>
      <c r="W202" t="str">
        <f>TEXT(Table1[[#This Row],[Order_Date]],"mmm")</f>
        <v>Jun</v>
      </c>
      <c r="X202">
        <f>ROUNDUP(MONTH(Table1[[#This Row],[Order_Date]])/3,0)</f>
        <v>2</v>
      </c>
      <c r="Y202">
        <f>YEAR(Table1[[#This Row],[Order_Date]])</f>
        <v>2024</v>
      </c>
    </row>
    <row r="203" spans="1:25" x14ac:dyDescent="0.25">
      <c r="A203" t="s">
        <v>882</v>
      </c>
      <c r="B203" t="s">
        <v>883</v>
      </c>
      <c r="C203" t="s">
        <v>884</v>
      </c>
      <c r="D203" t="s">
        <v>885</v>
      </c>
      <c r="E203" t="s">
        <v>83</v>
      </c>
      <c r="F203" t="s">
        <v>30</v>
      </c>
      <c r="G203" t="s">
        <v>195</v>
      </c>
      <c r="H203" t="s">
        <v>42</v>
      </c>
      <c r="I203" t="s">
        <v>96</v>
      </c>
      <c r="J203" t="s">
        <v>34</v>
      </c>
      <c r="K203">
        <v>6</v>
      </c>
      <c r="L203">
        <v>832.7</v>
      </c>
      <c r="M203" s="3">
        <v>0.05</v>
      </c>
      <c r="N203" t="str">
        <f>VLOOKUP(Table1[[#This Row],[Country]],REF_Country!$A$1:$D$11,2,FALSE)</f>
        <v>South Asia</v>
      </c>
      <c r="O203" t="str">
        <f>VLOOKUP(Table1[[#This Row],[Country]],REF_Country!$A$1:$D$11,3,FALSE)</f>
        <v>IN</v>
      </c>
      <c r="P203">
        <f>VLOOKUP(Table1[[#This Row],[Country]],REF_Country!$A$1:$D$11,4,FALSE)</f>
        <v>0.18</v>
      </c>
      <c r="Q203">
        <f>VLOOKUP(Table1[[#This Row],[Category]],REF_Target!$A$1:$E$6,2,FALSE)</f>
        <v>40000</v>
      </c>
      <c r="R203">
        <f>Table1[[#This Row],[Quantity]]*Table1[[#This Row],[Unit_Price]]</f>
        <v>4996.2000000000007</v>
      </c>
      <c r="S203">
        <f>Table1[[#This Row],[Gross_Sales]]*Table1[[#This Row],[Discount_Rate]]</f>
        <v>249.81000000000006</v>
      </c>
      <c r="T203">
        <f>Table1[[#This Row],[Gross_Sales]]-Table1[[#This Row],[Discount_Amount]]</f>
        <v>4746.3900000000003</v>
      </c>
      <c r="U203">
        <f>VLOOKUP(Table1[[#This Row],[Category]],REF_Cost!$A$1:$B$6,2,FALSE)*Table1[[#This Row],[Quantity]]</f>
        <v>720</v>
      </c>
      <c r="V203">
        <f>Table1[[#This Row],[Net_Sales]]-Table1[[#This Row],[Total_Cost]]</f>
        <v>4026.3900000000003</v>
      </c>
      <c r="W203" t="str">
        <f>TEXT(Table1[[#This Row],[Order_Date]],"mmm")</f>
        <v>Jun</v>
      </c>
      <c r="X203">
        <f>ROUNDUP(MONTH(Table1[[#This Row],[Order_Date]])/3,0)</f>
        <v>2</v>
      </c>
      <c r="Y203">
        <f>YEAR(Table1[[#This Row],[Order_Date]])</f>
        <v>2024</v>
      </c>
    </row>
    <row r="204" spans="1:25" x14ac:dyDescent="0.25">
      <c r="A204" t="s">
        <v>886</v>
      </c>
      <c r="B204" t="s">
        <v>887</v>
      </c>
      <c r="C204" t="s">
        <v>888</v>
      </c>
      <c r="D204" t="s">
        <v>889</v>
      </c>
      <c r="E204" t="s">
        <v>78</v>
      </c>
      <c r="F204" t="s">
        <v>49</v>
      </c>
      <c r="G204" t="s">
        <v>286</v>
      </c>
      <c r="H204" t="s">
        <v>32</v>
      </c>
      <c r="I204" t="s">
        <v>33</v>
      </c>
      <c r="J204" t="s">
        <v>126</v>
      </c>
      <c r="K204">
        <v>9</v>
      </c>
      <c r="L204">
        <v>1376.6</v>
      </c>
      <c r="M204" s="3">
        <v>0.2</v>
      </c>
      <c r="N204" t="str">
        <f>VLOOKUP(Table1[[#This Row],[Country]],REF_Country!$A$1:$D$11,2,FALSE)</f>
        <v>Oceania</v>
      </c>
      <c r="O204" t="str">
        <f>VLOOKUP(Table1[[#This Row],[Country]],REF_Country!$A$1:$D$11,3,FALSE)</f>
        <v>AU</v>
      </c>
      <c r="P204">
        <f>VLOOKUP(Table1[[#This Row],[Country]],REF_Country!$A$1:$D$11,4,FALSE)</f>
        <v>0.1</v>
      </c>
      <c r="Q204">
        <f>VLOOKUP(Table1[[#This Row],[Category]],REF_Target!$A$1:$E$6,2,FALSE)</f>
        <v>35000</v>
      </c>
      <c r="R204">
        <f>Table1[[#This Row],[Quantity]]*Table1[[#This Row],[Unit_Price]]</f>
        <v>12389.4</v>
      </c>
      <c r="S204">
        <f>Table1[[#This Row],[Gross_Sales]]*Table1[[#This Row],[Discount_Rate]]</f>
        <v>2477.88</v>
      </c>
      <c r="T204">
        <f>Table1[[#This Row],[Gross_Sales]]-Table1[[#This Row],[Discount_Amount]]</f>
        <v>9911.52</v>
      </c>
      <c r="U204">
        <f>VLOOKUP(Table1[[#This Row],[Category]],REF_Cost!$A$1:$B$6,2,FALSE)*Table1[[#This Row],[Quantity]]</f>
        <v>1350</v>
      </c>
      <c r="V204">
        <f>Table1[[#This Row],[Net_Sales]]-Table1[[#This Row],[Total_Cost]]</f>
        <v>8561.52</v>
      </c>
      <c r="W204" t="str">
        <f>TEXT(Table1[[#This Row],[Order_Date]],"mmm")</f>
        <v>Jun</v>
      </c>
      <c r="X204">
        <f>ROUNDUP(MONTH(Table1[[#This Row],[Order_Date]])/3,0)</f>
        <v>2</v>
      </c>
      <c r="Y204">
        <f>YEAR(Table1[[#This Row],[Order_Date]])</f>
        <v>2024</v>
      </c>
    </row>
    <row r="205" spans="1:25" x14ac:dyDescent="0.25">
      <c r="A205" t="s">
        <v>890</v>
      </c>
      <c r="B205" t="s">
        <v>891</v>
      </c>
      <c r="C205" t="s">
        <v>892</v>
      </c>
      <c r="D205" t="s">
        <v>893</v>
      </c>
      <c r="E205" t="s">
        <v>64</v>
      </c>
      <c r="F205" t="s">
        <v>49</v>
      </c>
      <c r="G205" t="s">
        <v>286</v>
      </c>
      <c r="H205" t="s">
        <v>72</v>
      </c>
      <c r="I205" t="s">
        <v>51</v>
      </c>
      <c r="J205" t="s">
        <v>73</v>
      </c>
      <c r="K205">
        <v>4</v>
      </c>
      <c r="L205">
        <v>1266.18</v>
      </c>
      <c r="M205" s="3">
        <v>0</v>
      </c>
      <c r="N205" t="str">
        <f>VLOOKUP(Table1[[#This Row],[Country]],REF_Country!$A$1:$D$11,2,FALSE)</f>
        <v>Southeast Asia</v>
      </c>
      <c r="O205" t="str">
        <f>VLOOKUP(Table1[[#This Row],[Country]],REF_Country!$A$1:$D$11,3,FALSE)</f>
        <v>ID</v>
      </c>
      <c r="P205">
        <f>VLOOKUP(Table1[[#This Row],[Country]],REF_Country!$A$1:$D$11,4,FALSE)</f>
        <v>0.11</v>
      </c>
      <c r="Q205">
        <f>VLOOKUP(Table1[[#This Row],[Category]],REF_Target!$A$1:$E$6,2,FALSE)</f>
        <v>35000</v>
      </c>
      <c r="R205">
        <f>Table1[[#This Row],[Quantity]]*Table1[[#This Row],[Unit_Price]]</f>
        <v>5064.72</v>
      </c>
      <c r="S205">
        <f>Table1[[#This Row],[Gross_Sales]]*Table1[[#This Row],[Discount_Rate]]</f>
        <v>0</v>
      </c>
      <c r="T205">
        <f>Table1[[#This Row],[Gross_Sales]]-Table1[[#This Row],[Discount_Amount]]</f>
        <v>5064.72</v>
      </c>
      <c r="U205">
        <f>VLOOKUP(Table1[[#This Row],[Category]],REF_Cost!$A$1:$B$6,2,FALSE)*Table1[[#This Row],[Quantity]]</f>
        <v>600</v>
      </c>
      <c r="V205">
        <f>Table1[[#This Row],[Net_Sales]]-Table1[[#This Row],[Total_Cost]]</f>
        <v>4464.72</v>
      </c>
      <c r="W205" t="str">
        <f>TEXT(Table1[[#This Row],[Order_Date]],"mmm")</f>
        <v>Dec</v>
      </c>
      <c r="X205">
        <f>ROUNDUP(MONTH(Table1[[#This Row],[Order_Date]])/3,0)</f>
        <v>4</v>
      </c>
      <c r="Y205">
        <f>YEAR(Table1[[#This Row],[Order_Date]])</f>
        <v>2024</v>
      </c>
    </row>
    <row r="206" spans="1:25" x14ac:dyDescent="0.25">
      <c r="A206" t="s">
        <v>894</v>
      </c>
      <c r="B206" t="s">
        <v>895</v>
      </c>
      <c r="C206" t="s">
        <v>896</v>
      </c>
      <c r="D206" t="s">
        <v>897</v>
      </c>
      <c r="E206" t="s">
        <v>83</v>
      </c>
      <c r="F206" t="s">
        <v>40</v>
      </c>
      <c r="G206" t="s">
        <v>565</v>
      </c>
      <c r="H206" t="s">
        <v>42</v>
      </c>
      <c r="I206" t="s">
        <v>51</v>
      </c>
      <c r="J206" t="s">
        <v>126</v>
      </c>
      <c r="K206">
        <v>1</v>
      </c>
      <c r="L206">
        <v>994.04</v>
      </c>
      <c r="M206" s="3">
        <v>0</v>
      </c>
      <c r="N206" t="str">
        <f>VLOOKUP(Table1[[#This Row],[Country]],REF_Country!$A$1:$D$11,2,FALSE)</f>
        <v>South Asia</v>
      </c>
      <c r="O206" t="str">
        <f>VLOOKUP(Table1[[#This Row],[Country]],REF_Country!$A$1:$D$11,3,FALSE)</f>
        <v>IN</v>
      </c>
      <c r="P206">
        <f>VLOOKUP(Table1[[#This Row],[Country]],REF_Country!$A$1:$D$11,4,FALSE)</f>
        <v>0.18</v>
      </c>
      <c r="Q206">
        <f>VLOOKUP(Table1[[#This Row],[Category]],REF_Target!$A$1:$E$6,2,FALSE)</f>
        <v>45000</v>
      </c>
      <c r="R206">
        <f>Table1[[#This Row],[Quantity]]*Table1[[#This Row],[Unit_Price]]</f>
        <v>994.04</v>
      </c>
      <c r="S206">
        <f>Table1[[#This Row],[Gross_Sales]]*Table1[[#This Row],[Discount_Rate]]</f>
        <v>0</v>
      </c>
      <c r="T206">
        <f>Table1[[#This Row],[Gross_Sales]]-Table1[[#This Row],[Discount_Amount]]</f>
        <v>994.04</v>
      </c>
      <c r="U206">
        <f>VLOOKUP(Table1[[#This Row],[Category]],REF_Cost!$A$1:$B$6,2,FALSE)*Table1[[#This Row],[Quantity]]</f>
        <v>80</v>
      </c>
      <c r="V206">
        <f>Table1[[#This Row],[Net_Sales]]-Table1[[#This Row],[Total_Cost]]</f>
        <v>914.04</v>
      </c>
      <c r="W206" t="str">
        <f>TEXT(Table1[[#This Row],[Order_Date]],"mmm")</f>
        <v>Aug</v>
      </c>
      <c r="X206">
        <f>ROUNDUP(MONTH(Table1[[#This Row],[Order_Date]])/3,0)</f>
        <v>3</v>
      </c>
      <c r="Y206">
        <f>YEAR(Table1[[#This Row],[Order_Date]])</f>
        <v>2024</v>
      </c>
    </row>
    <row r="207" spans="1:25" x14ac:dyDescent="0.25">
      <c r="A207" t="s">
        <v>898</v>
      </c>
      <c r="B207" t="s">
        <v>899</v>
      </c>
      <c r="C207" t="s">
        <v>900</v>
      </c>
      <c r="D207" t="s">
        <v>901</v>
      </c>
      <c r="E207" t="s">
        <v>64</v>
      </c>
      <c r="F207" t="s">
        <v>40</v>
      </c>
      <c r="G207" t="s">
        <v>565</v>
      </c>
      <c r="H207" t="s">
        <v>32</v>
      </c>
      <c r="I207" t="s">
        <v>33</v>
      </c>
      <c r="J207" t="s">
        <v>73</v>
      </c>
      <c r="K207">
        <v>3</v>
      </c>
      <c r="L207">
        <v>1212.1600000000001</v>
      </c>
      <c r="M207" s="3">
        <v>0</v>
      </c>
      <c r="N207" t="str">
        <f>VLOOKUP(Table1[[#This Row],[Country]],REF_Country!$A$1:$D$11,2,FALSE)</f>
        <v>Southeast Asia</v>
      </c>
      <c r="O207" t="str">
        <f>VLOOKUP(Table1[[#This Row],[Country]],REF_Country!$A$1:$D$11,3,FALSE)</f>
        <v>ID</v>
      </c>
      <c r="P207">
        <f>VLOOKUP(Table1[[#This Row],[Country]],REF_Country!$A$1:$D$11,4,FALSE)</f>
        <v>0.11</v>
      </c>
      <c r="Q207">
        <f>VLOOKUP(Table1[[#This Row],[Category]],REF_Target!$A$1:$E$6,2,FALSE)</f>
        <v>45000</v>
      </c>
      <c r="R207">
        <f>Table1[[#This Row],[Quantity]]*Table1[[#This Row],[Unit_Price]]</f>
        <v>3636.4800000000005</v>
      </c>
      <c r="S207">
        <f>Table1[[#This Row],[Gross_Sales]]*Table1[[#This Row],[Discount_Rate]]</f>
        <v>0</v>
      </c>
      <c r="T207">
        <f>Table1[[#This Row],[Gross_Sales]]-Table1[[#This Row],[Discount_Amount]]</f>
        <v>3636.4800000000005</v>
      </c>
      <c r="U207">
        <f>VLOOKUP(Table1[[#This Row],[Category]],REF_Cost!$A$1:$B$6,2,FALSE)*Table1[[#This Row],[Quantity]]</f>
        <v>240</v>
      </c>
      <c r="V207">
        <f>Table1[[#This Row],[Net_Sales]]-Table1[[#This Row],[Total_Cost]]</f>
        <v>3396.4800000000005</v>
      </c>
      <c r="W207" t="str">
        <f>TEXT(Table1[[#This Row],[Order_Date]],"mmm")</f>
        <v>May</v>
      </c>
      <c r="X207">
        <f>ROUNDUP(MONTH(Table1[[#This Row],[Order_Date]])/3,0)</f>
        <v>2</v>
      </c>
      <c r="Y207">
        <f>YEAR(Table1[[#This Row],[Order_Date]])</f>
        <v>2024</v>
      </c>
    </row>
    <row r="208" spans="1:25" x14ac:dyDescent="0.25">
      <c r="A208" t="s">
        <v>902</v>
      </c>
      <c r="B208" t="s">
        <v>903</v>
      </c>
      <c r="C208" t="s">
        <v>904</v>
      </c>
      <c r="D208" t="s">
        <v>905</v>
      </c>
      <c r="E208" t="s">
        <v>71</v>
      </c>
      <c r="F208" t="s">
        <v>84</v>
      </c>
      <c r="G208" t="s">
        <v>264</v>
      </c>
      <c r="H208" t="s">
        <v>72</v>
      </c>
      <c r="I208" t="s">
        <v>43</v>
      </c>
      <c r="J208" t="s">
        <v>59</v>
      </c>
      <c r="K208">
        <v>7</v>
      </c>
      <c r="L208">
        <v>132.34</v>
      </c>
      <c r="M208" s="3">
        <v>0.1</v>
      </c>
      <c r="N208" t="str">
        <f>VLOOKUP(Table1[[#This Row],[Country]],REF_Country!$A$1:$D$11,2,FALSE)</f>
        <v>Southeast Asia</v>
      </c>
      <c r="O208" t="str">
        <f>VLOOKUP(Table1[[#This Row],[Country]],REF_Country!$A$1:$D$11,3,FALSE)</f>
        <v>PH</v>
      </c>
      <c r="P208">
        <f>VLOOKUP(Table1[[#This Row],[Country]],REF_Country!$A$1:$D$11,4,FALSE)</f>
        <v>0.12</v>
      </c>
      <c r="Q208">
        <f>VLOOKUP(Table1[[#This Row],[Category]],REF_Target!$A$1:$E$6,2,FALSE)</f>
        <v>30000</v>
      </c>
      <c r="R208">
        <f>Table1[[#This Row],[Quantity]]*Table1[[#This Row],[Unit_Price]]</f>
        <v>926.38</v>
      </c>
      <c r="S208">
        <f>Table1[[#This Row],[Gross_Sales]]*Table1[[#This Row],[Discount_Rate]]</f>
        <v>92.638000000000005</v>
      </c>
      <c r="T208">
        <f>Table1[[#This Row],[Gross_Sales]]-Table1[[#This Row],[Discount_Amount]]</f>
        <v>833.74199999999996</v>
      </c>
      <c r="U208">
        <f>VLOOKUP(Table1[[#This Row],[Category]],REF_Cost!$A$1:$B$6,2,FALSE)*Table1[[#This Row],[Quantity]]</f>
        <v>1400</v>
      </c>
      <c r="V208">
        <f>Table1[[#This Row],[Net_Sales]]-Table1[[#This Row],[Total_Cost]]</f>
        <v>-566.25800000000004</v>
      </c>
      <c r="W208" t="str">
        <f>TEXT(Table1[[#This Row],[Order_Date]],"mmm")</f>
        <v>Nov</v>
      </c>
      <c r="X208">
        <f>ROUNDUP(MONTH(Table1[[#This Row],[Order_Date]])/3,0)</f>
        <v>4</v>
      </c>
      <c r="Y208">
        <f>YEAR(Table1[[#This Row],[Order_Date]])</f>
        <v>2024</v>
      </c>
    </row>
    <row r="209" spans="1:25" x14ac:dyDescent="0.25">
      <c r="A209" t="s">
        <v>906</v>
      </c>
      <c r="B209" t="s">
        <v>907</v>
      </c>
      <c r="C209" t="s">
        <v>908</v>
      </c>
      <c r="D209" t="s">
        <v>909</v>
      </c>
      <c r="E209" t="s">
        <v>64</v>
      </c>
      <c r="F209" t="s">
        <v>56</v>
      </c>
      <c r="G209" t="s">
        <v>57</v>
      </c>
      <c r="H209" t="s">
        <v>32</v>
      </c>
      <c r="I209" t="s">
        <v>51</v>
      </c>
      <c r="J209" t="s">
        <v>73</v>
      </c>
      <c r="K209">
        <v>9</v>
      </c>
      <c r="L209">
        <v>578.21</v>
      </c>
      <c r="M209" s="3">
        <v>0.1</v>
      </c>
      <c r="N209" t="str">
        <f>VLOOKUP(Table1[[#This Row],[Country]],REF_Country!$A$1:$D$11,2,FALSE)</f>
        <v>Southeast Asia</v>
      </c>
      <c r="O209" t="str">
        <f>VLOOKUP(Table1[[#This Row],[Country]],REF_Country!$A$1:$D$11,3,FALSE)</f>
        <v>ID</v>
      </c>
      <c r="P209">
        <f>VLOOKUP(Table1[[#This Row],[Country]],REF_Country!$A$1:$D$11,4,FALSE)</f>
        <v>0.11</v>
      </c>
      <c r="Q209">
        <f>VLOOKUP(Table1[[#This Row],[Category]],REF_Target!$A$1:$E$6,2,FALSE)</f>
        <v>50000</v>
      </c>
      <c r="R209">
        <f>Table1[[#This Row],[Quantity]]*Table1[[#This Row],[Unit_Price]]</f>
        <v>5203.8900000000003</v>
      </c>
      <c r="S209">
        <f>Table1[[#This Row],[Gross_Sales]]*Table1[[#This Row],[Discount_Rate]]</f>
        <v>520.38900000000001</v>
      </c>
      <c r="T209">
        <f>Table1[[#This Row],[Gross_Sales]]-Table1[[#This Row],[Discount_Amount]]</f>
        <v>4683.5010000000002</v>
      </c>
      <c r="U209">
        <f>VLOOKUP(Table1[[#This Row],[Category]],REF_Cost!$A$1:$B$6,2,FALSE)*Table1[[#This Row],[Quantity]]</f>
        <v>4050</v>
      </c>
      <c r="V209">
        <f>Table1[[#This Row],[Net_Sales]]-Table1[[#This Row],[Total_Cost]]</f>
        <v>633.5010000000002</v>
      </c>
      <c r="W209" t="str">
        <f>TEXT(Table1[[#This Row],[Order_Date]],"mmm")</f>
        <v>Feb</v>
      </c>
      <c r="X209">
        <f>ROUNDUP(MONTH(Table1[[#This Row],[Order_Date]])/3,0)</f>
        <v>1</v>
      </c>
      <c r="Y209">
        <f>YEAR(Table1[[#This Row],[Order_Date]])</f>
        <v>2024</v>
      </c>
    </row>
    <row r="210" spans="1:25" x14ac:dyDescent="0.25">
      <c r="A210" t="s">
        <v>910</v>
      </c>
      <c r="B210" t="s">
        <v>911</v>
      </c>
      <c r="C210" t="s">
        <v>912</v>
      </c>
      <c r="D210" t="s">
        <v>913</v>
      </c>
      <c r="E210" t="s">
        <v>71</v>
      </c>
      <c r="F210" t="s">
        <v>40</v>
      </c>
      <c r="G210" t="s">
        <v>144</v>
      </c>
      <c r="H210" t="s">
        <v>72</v>
      </c>
      <c r="I210" t="s">
        <v>33</v>
      </c>
      <c r="J210" t="s">
        <v>34</v>
      </c>
      <c r="K210">
        <v>1</v>
      </c>
      <c r="L210">
        <v>1343.76</v>
      </c>
      <c r="M210" s="3">
        <v>0</v>
      </c>
      <c r="N210" t="str">
        <f>VLOOKUP(Table1[[#This Row],[Country]],REF_Country!$A$1:$D$11,2,FALSE)</f>
        <v>Southeast Asia</v>
      </c>
      <c r="O210" t="str">
        <f>VLOOKUP(Table1[[#This Row],[Country]],REF_Country!$A$1:$D$11,3,FALSE)</f>
        <v>PH</v>
      </c>
      <c r="P210">
        <f>VLOOKUP(Table1[[#This Row],[Country]],REF_Country!$A$1:$D$11,4,FALSE)</f>
        <v>0.12</v>
      </c>
      <c r="Q210">
        <f>VLOOKUP(Table1[[#This Row],[Category]],REF_Target!$A$1:$E$6,2,FALSE)</f>
        <v>45000</v>
      </c>
      <c r="R210">
        <f>Table1[[#This Row],[Quantity]]*Table1[[#This Row],[Unit_Price]]</f>
        <v>1343.76</v>
      </c>
      <c r="S210">
        <f>Table1[[#This Row],[Gross_Sales]]*Table1[[#This Row],[Discount_Rate]]</f>
        <v>0</v>
      </c>
      <c r="T210">
        <f>Table1[[#This Row],[Gross_Sales]]-Table1[[#This Row],[Discount_Amount]]</f>
        <v>1343.76</v>
      </c>
      <c r="U210">
        <f>VLOOKUP(Table1[[#This Row],[Category]],REF_Cost!$A$1:$B$6,2,FALSE)*Table1[[#This Row],[Quantity]]</f>
        <v>80</v>
      </c>
      <c r="V210">
        <f>Table1[[#This Row],[Net_Sales]]-Table1[[#This Row],[Total_Cost]]</f>
        <v>1263.76</v>
      </c>
      <c r="W210" t="str">
        <f>TEXT(Table1[[#This Row],[Order_Date]],"mmm")</f>
        <v>Sep</v>
      </c>
      <c r="X210">
        <f>ROUNDUP(MONTH(Table1[[#This Row],[Order_Date]])/3,0)</f>
        <v>3</v>
      </c>
      <c r="Y210">
        <f>YEAR(Table1[[#This Row],[Order_Date]])</f>
        <v>2024</v>
      </c>
    </row>
    <row r="211" spans="1:25" x14ac:dyDescent="0.25">
      <c r="A211" t="s">
        <v>914</v>
      </c>
      <c r="B211" t="s">
        <v>915</v>
      </c>
      <c r="C211" t="s">
        <v>916</v>
      </c>
      <c r="D211" t="s">
        <v>917</v>
      </c>
      <c r="E211" t="s">
        <v>29</v>
      </c>
      <c r="F211" t="s">
        <v>40</v>
      </c>
      <c r="G211" t="s">
        <v>41</v>
      </c>
      <c r="H211" t="s">
        <v>32</v>
      </c>
      <c r="I211" t="s">
        <v>43</v>
      </c>
      <c r="J211" t="s">
        <v>73</v>
      </c>
      <c r="K211">
        <v>3</v>
      </c>
      <c r="L211">
        <v>992.29</v>
      </c>
      <c r="M211" s="3">
        <v>0.05</v>
      </c>
      <c r="N211" t="str">
        <f>VLOOKUP(Table1[[#This Row],[Country]],REF_Country!$A$1:$D$11,2,FALSE)</f>
        <v>Southeast Asia</v>
      </c>
      <c r="O211" t="str">
        <f>VLOOKUP(Table1[[#This Row],[Country]],REF_Country!$A$1:$D$11,3,FALSE)</f>
        <v>VN</v>
      </c>
      <c r="P211">
        <f>VLOOKUP(Table1[[#This Row],[Country]],REF_Country!$A$1:$D$11,4,FALSE)</f>
        <v>0.1</v>
      </c>
      <c r="Q211">
        <f>VLOOKUP(Table1[[#This Row],[Category]],REF_Target!$A$1:$E$6,2,FALSE)</f>
        <v>45000</v>
      </c>
      <c r="R211">
        <f>Table1[[#This Row],[Quantity]]*Table1[[#This Row],[Unit_Price]]</f>
        <v>2976.87</v>
      </c>
      <c r="S211">
        <f>Table1[[#This Row],[Gross_Sales]]*Table1[[#This Row],[Discount_Rate]]</f>
        <v>148.84350000000001</v>
      </c>
      <c r="T211">
        <f>Table1[[#This Row],[Gross_Sales]]-Table1[[#This Row],[Discount_Amount]]</f>
        <v>2828.0264999999999</v>
      </c>
      <c r="U211">
        <f>VLOOKUP(Table1[[#This Row],[Category]],REF_Cost!$A$1:$B$6,2,FALSE)*Table1[[#This Row],[Quantity]]</f>
        <v>240</v>
      </c>
      <c r="V211">
        <f>Table1[[#This Row],[Net_Sales]]-Table1[[#This Row],[Total_Cost]]</f>
        <v>2588.0264999999999</v>
      </c>
      <c r="W211" t="str">
        <f>TEXT(Table1[[#This Row],[Order_Date]],"mmm")</f>
        <v>Jan</v>
      </c>
      <c r="X211">
        <f>ROUNDUP(MONTH(Table1[[#This Row],[Order_Date]])/3,0)</f>
        <v>1</v>
      </c>
      <c r="Y211">
        <f>YEAR(Table1[[#This Row],[Order_Date]])</f>
        <v>2024</v>
      </c>
    </row>
    <row r="212" spans="1:25" x14ac:dyDescent="0.25">
      <c r="A212" t="s">
        <v>918</v>
      </c>
      <c r="B212" t="s">
        <v>919</v>
      </c>
      <c r="C212" t="s">
        <v>920</v>
      </c>
      <c r="D212" t="s">
        <v>921</v>
      </c>
      <c r="E212" t="s">
        <v>83</v>
      </c>
      <c r="F212" t="s">
        <v>30</v>
      </c>
      <c r="G212" t="s">
        <v>139</v>
      </c>
      <c r="H212" t="s">
        <v>58</v>
      </c>
      <c r="I212" t="s">
        <v>96</v>
      </c>
      <c r="J212" t="s">
        <v>73</v>
      </c>
      <c r="K212">
        <v>7</v>
      </c>
      <c r="L212">
        <v>1254.46</v>
      </c>
      <c r="M212" s="3">
        <v>0.2</v>
      </c>
      <c r="N212" t="str">
        <f>VLOOKUP(Table1[[#This Row],[Country]],REF_Country!$A$1:$D$11,2,FALSE)</f>
        <v>South Asia</v>
      </c>
      <c r="O212" t="str">
        <f>VLOOKUP(Table1[[#This Row],[Country]],REF_Country!$A$1:$D$11,3,FALSE)</f>
        <v>IN</v>
      </c>
      <c r="P212">
        <f>VLOOKUP(Table1[[#This Row],[Country]],REF_Country!$A$1:$D$11,4,FALSE)</f>
        <v>0.18</v>
      </c>
      <c r="Q212">
        <f>VLOOKUP(Table1[[#This Row],[Category]],REF_Target!$A$1:$E$6,2,FALSE)</f>
        <v>40000</v>
      </c>
      <c r="R212">
        <f>Table1[[#This Row],[Quantity]]*Table1[[#This Row],[Unit_Price]]</f>
        <v>8781.2200000000012</v>
      </c>
      <c r="S212">
        <f>Table1[[#This Row],[Gross_Sales]]*Table1[[#This Row],[Discount_Rate]]</f>
        <v>1756.2440000000004</v>
      </c>
      <c r="T212">
        <f>Table1[[#This Row],[Gross_Sales]]-Table1[[#This Row],[Discount_Amount]]</f>
        <v>7024.9760000000006</v>
      </c>
      <c r="U212">
        <f>VLOOKUP(Table1[[#This Row],[Category]],REF_Cost!$A$1:$B$6,2,FALSE)*Table1[[#This Row],[Quantity]]</f>
        <v>840</v>
      </c>
      <c r="V212">
        <f>Table1[[#This Row],[Net_Sales]]-Table1[[#This Row],[Total_Cost]]</f>
        <v>6184.9760000000006</v>
      </c>
      <c r="W212" t="str">
        <f>TEXT(Table1[[#This Row],[Order_Date]],"mmm")</f>
        <v>Feb</v>
      </c>
      <c r="X212">
        <f>ROUNDUP(MONTH(Table1[[#This Row],[Order_Date]])/3,0)</f>
        <v>1</v>
      </c>
      <c r="Y212">
        <f>YEAR(Table1[[#This Row],[Order_Date]])</f>
        <v>2024</v>
      </c>
    </row>
    <row r="213" spans="1:25" x14ac:dyDescent="0.25">
      <c r="A213" t="s">
        <v>922</v>
      </c>
      <c r="B213" t="s">
        <v>923</v>
      </c>
      <c r="C213" t="s">
        <v>924</v>
      </c>
      <c r="D213" t="s">
        <v>925</v>
      </c>
      <c r="E213" t="s">
        <v>64</v>
      </c>
      <c r="F213" t="s">
        <v>56</v>
      </c>
      <c r="G213" t="s">
        <v>57</v>
      </c>
      <c r="H213" t="s">
        <v>42</v>
      </c>
      <c r="I213" t="s">
        <v>66</v>
      </c>
      <c r="J213" t="s">
        <v>126</v>
      </c>
      <c r="K213">
        <v>2</v>
      </c>
      <c r="L213">
        <v>359.73</v>
      </c>
      <c r="M213" s="3">
        <v>0.05</v>
      </c>
      <c r="N213" t="str">
        <f>VLOOKUP(Table1[[#This Row],[Country]],REF_Country!$A$1:$D$11,2,FALSE)</f>
        <v>Southeast Asia</v>
      </c>
      <c r="O213" t="str">
        <f>VLOOKUP(Table1[[#This Row],[Country]],REF_Country!$A$1:$D$11,3,FALSE)</f>
        <v>ID</v>
      </c>
      <c r="P213">
        <f>VLOOKUP(Table1[[#This Row],[Country]],REF_Country!$A$1:$D$11,4,FALSE)</f>
        <v>0.11</v>
      </c>
      <c r="Q213">
        <f>VLOOKUP(Table1[[#This Row],[Category]],REF_Target!$A$1:$E$6,2,FALSE)</f>
        <v>50000</v>
      </c>
      <c r="R213">
        <f>Table1[[#This Row],[Quantity]]*Table1[[#This Row],[Unit_Price]]</f>
        <v>719.46</v>
      </c>
      <c r="S213">
        <f>Table1[[#This Row],[Gross_Sales]]*Table1[[#This Row],[Discount_Rate]]</f>
        <v>35.973000000000006</v>
      </c>
      <c r="T213">
        <f>Table1[[#This Row],[Gross_Sales]]-Table1[[#This Row],[Discount_Amount]]</f>
        <v>683.48700000000008</v>
      </c>
      <c r="U213">
        <f>VLOOKUP(Table1[[#This Row],[Category]],REF_Cost!$A$1:$B$6,2,FALSE)*Table1[[#This Row],[Quantity]]</f>
        <v>900</v>
      </c>
      <c r="V213">
        <f>Table1[[#This Row],[Net_Sales]]-Table1[[#This Row],[Total_Cost]]</f>
        <v>-216.51299999999992</v>
      </c>
      <c r="W213" t="str">
        <f>TEXT(Table1[[#This Row],[Order_Date]],"mmm")</f>
        <v>Sep</v>
      </c>
      <c r="X213">
        <f>ROUNDUP(MONTH(Table1[[#This Row],[Order_Date]])/3,0)</f>
        <v>3</v>
      </c>
      <c r="Y213">
        <f>YEAR(Table1[[#This Row],[Order_Date]])</f>
        <v>2024</v>
      </c>
    </row>
    <row r="214" spans="1:25" x14ac:dyDescent="0.25">
      <c r="A214" t="s">
        <v>926</v>
      </c>
      <c r="B214" t="s">
        <v>927</v>
      </c>
      <c r="C214" t="s">
        <v>928</v>
      </c>
      <c r="D214" t="s">
        <v>929</v>
      </c>
      <c r="E214" t="s">
        <v>39</v>
      </c>
      <c r="F214" t="s">
        <v>84</v>
      </c>
      <c r="G214" t="s">
        <v>90</v>
      </c>
      <c r="H214" t="s">
        <v>42</v>
      </c>
      <c r="I214" t="s">
        <v>51</v>
      </c>
      <c r="J214" t="s">
        <v>59</v>
      </c>
      <c r="K214">
        <v>7</v>
      </c>
      <c r="L214">
        <v>1412.6</v>
      </c>
      <c r="M214" s="3">
        <v>0</v>
      </c>
      <c r="N214" t="str">
        <f>VLOOKUP(Table1[[#This Row],[Country]],REF_Country!$A$1:$D$11,2,FALSE)</f>
        <v>Southeast Asia</v>
      </c>
      <c r="O214" t="str">
        <f>VLOOKUP(Table1[[#This Row],[Country]],REF_Country!$A$1:$D$11,3,FALSE)</f>
        <v>TH</v>
      </c>
      <c r="P214">
        <f>VLOOKUP(Table1[[#This Row],[Country]],REF_Country!$A$1:$D$11,4,FALSE)</f>
        <v>7.0000000000000007E-2</v>
      </c>
      <c r="Q214">
        <f>VLOOKUP(Table1[[#This Row],[Category]],REF_Target!$A$1:$E$6,2,FALSE)</f>
        <v>30000</v>
      </c>
      <c r="R214">
        <f>Table1[[#This Row],[Quantity]]*Table1[[#This Row],[Unit_Price]]</f>
        <v>9888.1999999999989</v>
      </c>
      <c r="S214">
        <f>Table1[[#This Row],[Gross_Sales]]*Table1[[#This Row],[Discount_Rate]]</f>
        <v>0</v>
      </c>
      <c r="T214">
        <f>Table1[[#This Row],[Gross_Sales]]-Table1[[#This Row],[Discount_Amount]]</f>
        <v>9888.1999999999989</v>
      </c>
      <c r="U214">
        <f>VLOOKUP(Table1[[#This Row],[Category]],REF_Cost!$A$1:$B$6,2,FALSE)*Table1[[#This Row],[Quantity]]</f>
        <v>1400</v>
      </c>
      <c r="V214">
        <f>Table1[[#This Row],[Net_Sales]]-Table1[[#This Row],[Total_Cost]]</f>
        <v>8488.1999999999989</v>
      </c>
      <c r="W214" t="str">
        <f>TEXT(Table1[[#This Row],[Order_Date]],"mmm")</f>
        <v>May</v>
      </c>
      <c r="X214">
        <f>ROUNDUP(MONTH(Table1[[#This Row],[Order_Date]])/3,0)</f>
        <v>2</v>
      </c>
      <c r="Y214">
        <f>YEAR(Table1[[#This Row],[Order_Date]])</f>
        <v>2024</v>
      </c>
    </row>
    <row r="215" spans="1:25" x14ac:dyDescent="0.25">
      <c r="A215" t="s">
        <v>930</v>
      </c>
      <c r="B215" t="s">
        <v>931</v>
      </c>
      <c r="C215" t="s">
        <v>932</v>
      </c>
      <c r="D215" t="s">
        <v>933</v>
      </c>
      <c r="E215" t="s">
        <v>48</v>
      </c>
      <c r="F215" t="s">
        <v>49</v>
      </c>
      <c r="G215" t="s">
        <v>286</v>
      </c>
      <c r="H215" t="s">
        <v>32</v>
      </c>
      <c r="I215" t="s">
        <v>51</v>
      </c>
      <c r="J215" t="s">
        <v>126</v>
      </c>
      <c r="K215">
        <v>6</v>
      </c>
      <c r="L215">
        <v>1113.3900000000001</v>
      </c>
      <c r="M215" s="3">
        <v>0.05</v>
      </c>
      <c r="N215" t="str">
        <f>VLOOKUP(Table1[[#This Row],[Country]],REF_Country!$A$1:$D$11,2,FALSE)</f>
        <v>Southeast Asia</v>
      </c>
      <c r="O215" t="str">
        <f>VLOOKUP(Table1[[#This Row],[Country]],REF_Country!$A$1:$D$11,3,FALSE)</f>
        <v>SG</v>
      </c>
      <c r="P215">
        <f>VLOOKUP(Table1[[#This Row],[Country]],REF_Country!$A$1:$D$11,4,FALSE)</f>
        <v>7.0000000000000007E-2</v>
      </c>
      <c r="Q215">
        <f>VLOOKUP(Table1[[#This Row],[Category]],REF_Target!$A$1:$E$6,2,FALSE)</f>
        <v>35000</v>
      </c>
      <c r="R215">
        <f>Table1[[#This Row],[Quantity]]*Table1[[#This Row],[Unit_Price]]</f>
        <v>6680.34</v>
      </c>
      <c r="S215">
        <f>Table1[[#This Row],[Gross_Sales]]*Table1[[#This Row],[Discount_Rate]]</f>
        <v>334.01700000000005</v>
      </c>
      <c r="T215">
        <f>Table1[[#This Row],[Gross_Sales]]-Table1[[#This Row],[Discount_Amount]]</f>
        <v>6346.3230000000003</v>
      </c>
      <c r="U215">
        <f>VLOOKUP(Table1[[#This Row],[Category]],REF_Cost!$A$1:$B$6,2,FALSE)*Table1[[#This Row],[Quantity]]</f>
        <v>900</v>
      </c>
      <c r="V215">
        <f>Table1[[#This Row],[Net_Sales]]-Table1[[#This Row],[Total_Cost]]</f>
        <v>5446.3230000000003</v>
      </c>
      <c r="W215" t="str">
        <f>TEXT(Table1[[#This Row],[Order_Date]],"mmm")</f>
        <v>Feb</v>
      </c>
      <c r="X215">
        <f>ROUNDUP(MONTH(Table1[[#This Row],[Order_Date]])/3,0)</f>
        <v>1</v>
      </c>
      <c r="Y215">
        <f>YEAR(Table1[[#This Row],[Order_Date]])</f>
        <v>2024</v>
      </c>
    </row>
    <row r="216" spans="1:25" x14ac:dyDescent="0.25">
      <c r="A216" t="s">
        <v>934</v>
      </c>
      <c r="B216" t="s">
        <v>935</v>
      </c>
      <c r="C216" t="s">
        <v>936</v>
      </c>
      <c r="D216" t="s">
        <v>937</v>
      </c>
      <c r="E216" t="s">
        <v>29</v>
      </c>
      <c r="F216" t="s">
        <v>56</v>
      </c>
      <c r="G216" t="s">
        <v>95</v>
      </c>
      <c r="H216" t="s">
        <v>42</v>
      </c>
      <c r="I216" t="s">
        <v>51</v>
      </c>
      <c r="J216" t="s">
        <v>126</v>
      </c>
      <c r="K216">
        <v>7</v>
      </c>
      <c r="L216">
        <v>144.63999999999999</v>
      </c>
      <c r="M216" s="3">
        <v>0.1</v>
      </c>
      <c r="N216" t="str">
        <f>VLOOKUP(Table1[[#This Row],[Country]],REF_Country!$A$1:$D$11,2,FALSE)</f>
        <v>Southeast Asia</v>
      </c>
      <c r="O216" t="str">
        <f>VLOOKUP(Table1[[#This Row],[Country]],REF_Country!$A$1:$D$11,3,FALSE)</f>
        <v>VN</v>
      </c>
      <c r="P216">
        <f>VLOOKUP(Table1[[#This Row],[Country]],REF_Country!$A$1:$D$11,4,FALSE)</f>
        <v>0.1</v>
      </c>
      <c r="Q216">
        <f>VLOOKUP(Table1[[#This Row],[Category]],REF_Target!$A$1:$E$6,2,FALSE)</f>
        <v>50000</v>
      </c>
      <c r="R216">
        <f>Table1[[#This Row],[Quantity]]*Table1[[#This Row],[Unit_Price]]</f>
        <v>1012.4799999999999</v>
      </c>
      <c r="S216">
        <f>Table1[[#This Row],[Gross_Sales]]*Table1[[#This Row],[Discount_Rate]]</f>
        <v>101.24799999999999</v>
      </c>
      <c r="T216">
        <f>Table1[[#This Row],[Gross_Sales]]-Table1[[#This Row],[Discount_Amount]]</f>
        <v>911.23199999999997</v>
      </c>
      <c r="U216">
        <f>VLOOKUP(Table1[[#This Row],[Category]],REF_Cost!$A$1:$B$6,2,FALSE)*Table1[[#This Row],[Quantity]]</f>
        <v>3150</v>
      </c>
      <c r="V216">
        <f>Table1[[#This Row],[Net_Sales]]-Table1[[#This Row],[Total_Cost]]</f>
        <v>-2238.768</v>
      </c>
      <c r="W216" t="str">
        <f>TEXT(Table1[[#This Row],[Order_Date]],"mmm")</f>
        <v>Aug</v>
      </c>
      <c r="X216">
        <f>ROUNDUP(MONTH(Table1[[#This Row],[Order_Date]])/3,0)</f>
        <v>3</v>
      </c>
      <c r="Y216">
        <f>YEAR(Table1[[#This Row],[Order_Date]])</f>
        <v>2024</v>
      </c>
    </row>
    <row r="217" spans="1:25" x14ac:dyDescent="0.25">
      <c r="A217" t="s">
        <v>938</v>
      </c>
      <c r="B217" t="s">
        <v>939</v>
      </c>
      <c r="C217" t="s">
        <v>940</v>
      </c>
      <c r="D217" t="s">
        <v>941</v>
      </c>
      <c r="E217" t="s">
        <v>83</v>
      </c>
      <c r="F217" t="s">
        <v>40</v>
      </c>
      <c r="G217" t="s">
        <v>315</v>
      </c>
      <c r="H217" t="s">
        <v>42</v>
      </c>
      <c r="I217" t="s">
        <v>96</v>
      </c>
      <c r="J217" t="s">
        <v>126</v>
      </c>
      <c r="K217">
        <v>1</v>
      </c>
      <c r="L217">
        <v>1297.6199999999999</v>
      </c>
      <c r="M217" s="3">
        <v>0.05</v>
      </c>
      <c r="N217" t="str">
        <f>VLOOKUP(Table1[[#This Row],[Country]],REF_Country!$A$1:$D$11,2,FALSE)</f>
        <v>South Asia</v>
      </c>
      <c r="O217" t="str">
        <f>VLOOKUP(Table1[[#This Row],[Country]],REF_Country!$A$1:$D$11,3,FALSE)</f>
        <v>IN</v>
      </c>
      <c r="P217">
        <f>VLOOKUP(Table1[[#This Row],[Country]],REF_Country!$A$1:$D$11,4,FALSE)</f>
        <v>0.18</v>
      </c>
      <c r="Q217">
        <f>VLOOKUP(Table1[[#This Row],[Category]],REF_Target!$A$1:$E$6,2,FALSE)</f>
        <v>45000</v>
      </c>
      <c r="R217">
        <f>Table1[[#This Row],[Quantity]]*Table1[[#This Row],[Unit_Price]]</f>
        <v>1297.6199999999999</v>
      </c>
      <c r="S217">
        <f>Table1[[#This Row],[Gross_Sales]]*Table1[[#This Row],[Discount_Rate]]</f>
        <v>64.881</v>
      </c>
      <c r="T217">
        <f>Table1[[#This Row],[Gross_Sales]]-Table1[[#This Row],[Discount_Amount]]</f>
        <v>1232.7389999999998</v>
      </c>
      <c r="U217">
        <f>VLOOKUP(Table1[[#This Row],[Category]],REF_Cost!$A$1:$B$6,2,FALSE)*Table1[[#This Row],[Quantity]]</f>
        <v>80</v>
      </c>
      <c r="V217">
        <f>Table1[[#This Row],[Net_Sales]]-Table1[[#This Row],[Total_Cost]]</f>
        <v>1152.7389999999998</v>
      </c>
      <c r="W217" t="str">
        <f>TEXT(Table1[[#This Row],[Order_Date]],"mmm")</f>
        <v>Jun</v>
      </c>
      <c r="X217">
        <f>ROUNDUP(MONTH(Table1[[#This Row],[Order_Date]])/3,0)</f>
        <v>2</v>
      </c>
      <c r="Y217">
        <f>YEAR(Table1[[#This Row],[Order_Date]])</f>
        <v>2024</v>
      </c>
    </row>
    <row r="218" spans="1:25" x14ac:dyDescent="0.25">
      <c r="A218" t="s">
        <v>942</v>
      </c>
      <c r="B218" t="s">
        <v>943</v>
      </c>
      <c r="C218" t="s">
        <v>944</v>
      </c>
      <c r="D218" t="s">
        <v>945</v>
      </c>
      <c r="E218" t="s">
        <v>48</v>
      </c>
      <c r="F218" t="s">
        <v>49</v>
      </c>
      <c r="G218" t="s">
        <v>286</v>
      </c>
      <c r="H218" t="s">
        <v>42</v>
      </c>
      <c r="I218" t="s">
        <v>43</v>
      </c>
      <c r="J218" t="s">
        <v>126</v>
      </c>
      <c r="K218">
        <v>5</v>
      </c>
      <c r="L218">
        <v>221.18</v>
      </c>
      <c r="M218" s="3">
        <v>0.05</v>
      </c>
      <c r="N218" t="str">
        <f>VLOOKUP(Table1[[#This Row],[Country]],REF_Country!$A$1:$D$11,2,FALSE)</f>
        <v>Southeast Asia</v>
      </c>
      <c r="O218" t="str">
        <f>VLOOKUP(Table1[[#This Row],[Country]],REF_Country!$A$1:$D$11,3,FALSE)</f>
        <v>SG</v>
      </c>
      <c r="P218">
        <f>VLOOKUP(Table1[[#This Row],[Country]],REF_Country!$A$1:$D$11,4,FALSE)</f>
        <v>7.0000000000000007E-2</v>
      </c>
      <c r="Q218">
        <f>VLOOKUP(Table1[[#This Row],[Category]],REF_Target!$A$1:$E$6,2,FALSE)</f>
        <v>35000</v>
      </c>
      <c r="R218">
        <f>Table1[[#This Row],[Quantity]]*Table1[[#This Row],[Unit_Price]]</f>
        <v>1105.9000000000001</v>
      </c>
      <c r="S218">
        <f>Table1[[#This Row],[Gross_Sales]]*Table1[[#This Row],[Discount_Rate]]</f>
        <v>55.295000000000009</v>
      </c>
      <c r="T218">
        <f>Table1[[#This Row],[Gross_Sales]]-Table1[[#This Row],[Discount_Amount]]</f>
        <v>1050.605</v>
      </c>
      <c r="U218">
        <f>VLOOKUP(Table1[[#This Row],[Category]],REF_Cost!$A$1:$B$6,2,FALSE)*Table1[[#This Row],[Quantity]]</f>
        <v>750</v>
      </c>
      <c r="V218">
        <f>Table1[[#This Row],[Net_Sales]]-Table1[[#This Row],[Total_Cost]]</f>
        <v>300.60500000000002</v>
      </c>
      <c r="W218" t="str">
        <f>TEXT(Table1[[#This Row],[Order_Date]],"mmm")</f>
        <v>May</v>
      </c>
      <c r="X218">
        <f>ROUNDUP(MONTH(Table1[[#This Row],[Order_Date]])/3,0)</f>
        <v>2</v>
      </c>
      <c r="Y218">
        <f>YEAR(Table1[[#This Row],[Order_Date]])</f>
        <v>2024</v>
      </c>
    </row>
    <row r="219" spans="1:25" x14ac:dyDescent="0.25">
      <c r="A219" t="s">
        <v>946</v>
      </c>
      <c r="B219" t="s">
        <v>947</v>
      </c>
      <c r="C219" t="s">
        <v>948</v>
      </c>
      <c r="D219" t="s">
        <v>949</v>
      </c>
      <c r="E219" t="s">
        <v>29</v>
      </c>
      <c r="F219" t="s">
        <v>49</v>
      </c>
      <c r="G219" t="s">
        <v>117</v>
      </c>
      <c r="H219" t="s">
        <v>42</v>
      </c>
      <c r="I219" t="s">
        <v>33</v>
      </c>
      <c r="J219" t="s">
        <v>73</v>
      </c>
      <c r="K219">
        <v>4</v>
      </c>
      <c r="L219">
        <v>551.27</v>
      </c>
      <c r="M219" s="3">
        <v>0.2</v>
      </c>
      <c r="N219" t="str">
        <f>VLOOKUP(Table1[[#This Row],[Country]],REF_Country!$A$1:$D$11,2,FALSE)</f>
        <v>Southeast Asia</v>
      </c>
      <c r="O219" t="str">
        <f>VLOOKUP(Table1[[#This Row],[Country]],REF_Country!$A$1:$D$11,3,FALSE)</f>
        <v>VN</v>
      </c>
      <c r="P219">
        <f>VLOOKUP(Table1[[#This Row],[Country]],REF_Country!$A$1:$D$11,4,FALSE)</f>
        <v>0.1</v>
      </c>
      <c r="Q219">
        <f>VLOOKUP(Table1[[#This Row],[Category]],REF_Target!$A$1:$E$6,2,FALSE)</f>
        <v>35000</v>
      </c>
      <c r="R219">
        <f>Table1[[#This Row],[Quantity]]*Table1[[#This Row],[Unit_Price]]</f>
        <v>2205.08</v>
      </c>
      <c r="S219">
        <f>Table1[[#This Row],[Gross_Sales]]*Table1[[#This Row],[Discount_Rate]]</f>
        <v>441.01600000000002</v>
      </c>
      <c r="T219">
        <f>Table1[[#This Row],[Gross_Sales]]-Table1[[#This Row],[Discount_Amount]]</f>
        <v>1764.0639999999999</v>
      </c>
      <c r="U219">
        <f>VLOOKUP(Table1[[#This Row],[Category]],REF_Cost!$A$1:$B$6,2,FALSE)*Table1[[#This Row],[Quantity]]</f>
        <v>600</v>
      </c>
      <c r="V219">
        <f>Table1[[#This Row],[Net_Sales]]-Table1[[#This Row],[Total_Cost]]</f>
        <v>1164.0639999999999</v>
      </c>
      <c r="W219" t="str">
        <f>TEXT(Table1[[#This Row],[Order_Date]],"mmm")</f>
        <v>Aug</v>
      </c>
      <c r="X219">
        <f>ROUNDUP(MONTH(Table1[[#This Row],[Order_Date]])/3,0)</f>
        <v>3</v>
      </c>
      <c r="Y219">
        <f>YEAR(Table1[[#This Row],[Order_Date]])</f>
        <v>2024</v>
      </c>
    </row>
    <row r="220" spans="1:25" x14ac:dyDescent="0.25">
      <c r="A220" t="s">
        <v>950</v>
      </c>
      <c r="B220" t="s">
        <v>951</v>
      </c>
      <c r="C220" t="s">
        <v>952</v>
      </c>
      <c r="D220" t="s">
        <v>953</v>
      </c>
      <c r="E220" t="s">
        <v>64</v>
      </c>
      <c r="F220" t="s">
        <v>49</v>
      </c>
      <c r="G220" t="s">
        <v>50</v>
      </c>
      <c r="H220" t="s">
        <v>42</v>
      </c>
      <c r="I220" t="s">
        <v>66</v>
      </c>
      <c r="J220" t="s">
        <v>34</v>
      </c>
      <c r="K220">
        <v>7</v>
      </c>
      <c r="L220">
        <v>1264.8</v>
      </c>
      <c r="M220" s="3">
        <v>0.05</v>
      </c>
      <c r="N220" t="str">
        <f>VLOOKUP(Table1[[#This Row],[Country]],REF_Country!$A$1:$D$11,2,FALSE)</f>
        <v>Southeast Asia</v>
      </c>
      <c r="O220" t="str">
        <f>VLOOKUP(Table1[[#This Row],[Country]],REF_Country!$A$1:$D$11,3,FALSE)</f>
        <v>ID</v>
      </c>
      <c r="P220">
        <f>VLOOKUP(Table1[[#This Row],[Country]],REF_Country!$A$1:$D$11,4,FALSE)</f>
        <v>0.11</v>
      </c>
      <c r="Q220">
        <f>VLOOKUP(Table1[[#This Row],[Category]],REF_Target!$A$1:$E$6,2,FALSE)</f>
        <v>35000</v>
      </c>
      <c r="R220">
        <f>Table1[[#This Row],[Quantity]]*Table1[[#This Row],[Unit_Price]]</f>
        <v>8853.6</v>
      </c>
      <c r="S220">
        <f>Table1[[#This Row],[Gross_Sales]]*Table1[[#This Row],[Discount_Rate]]</f>
        <v>442.68000000000006</v>
      </c>
      <c r="T220">
        <f>Table1[[#This Row],[Gross_Sales]]-Table1[[#This Row],[Discount_Amount]]</f>
        <v>8410.92</v>
      </c>
      <c r="U220">
        <f>VLOOKUP(Table1[[#This Row],[Category]],REF_Cost!$A$1:$B$6,2,FALSE)*Table1[[#This Row],[Quantity]]</f>
        <v>1050</v>
      </c>
      <c r="V220">
        <f>Table1[[#This Row],[Net_Sales]]-Table1[[#This Row],[Total_Cost]]</f>
        <v>7360.92</v>
      </c>
      <c r="W220" t="str">
        <f>TEXT(Table1[[#This Row],[Order_Date]],"mmm")</f>
        <v>Feb</v>
      </c>
      <c r="X220">
        <f>ROUNDUP(MONTH(Table1[[#This Row],[Order_Date]])/3,0)</f>
        <v>1</v>
      </c>
      <c r="Y220">
        <f>YEAR(Table1[[#This Row],[Order_Date]])</f>
        <v>2024</v>
      </c>
    </row>
    <row r="221" spans="1:25" x14ac:dyDescent="0.25">
      <c r="A221" t="s">
        <v>954</v>
      </c>
      <c r="B221" t="s">
        <v>955</v>
      </c>
      <c r="C221" t="s">
        <v>956</v>
      </c>
      <c r="D221" t="s">
        <v>957</v>
      </c>
      <c r="E221" t="s">
        <v>71</v>
      </c>
      <c r="F221" t="s">
        <v>40</v>
      </c>
      <c r="G221" t="s">
        <v>106</v>
      </c>
      <c r="H221" t="s">
        <v>58</v>
      </c>
      <c r="I221" t="s">
        <v>66</v>
      </c>
      <c r="J221" t="s">
        <v>34</v>
      </c>
      <c r="K221">
        <v>3</v>
      </c>
      <c r="L221">
        <v>726.33</v>
      </c>
      <c r="M221" s="3">
        <v>0.1</v>
      </c>
      <c r="N221" t="str">
        <f>VLOOKUP(Table1[[#This Row],[Country]],REF_Country!$A$1:$D$11,2,FALSE)</f>
        <v>Southeast Asia</v>
      </c>
      <c r="O221" t="str">
        <f>VLOOKUP(Table1[[#This Row],[Country]],REF_Country!$A$1:$D$11,3,FALSE)</f>
        <v>PH</v>
      </c>
      <c r="P221">
        <f>VLOOKUP(Table1[[#This Row],[Country]],REF_Country!$A$1:$D$11,4,FALSE)</f>
        <v>0.12</v>
      </c>
      <c r="Q221">
        <f>VLOOKUP(Table1[[#This Row],[Category]],REF_Target!$A$1:$E$6,2,FALSE)</f>
        <v>45000</v>
      </c>
      <c r="R221">
        <f>Table1[[#This Row],[Quantity]]*Table1[[#This Row],[Unit_Price]]</f>
        <v>2178.9900000000002</v>
      </c>
      <c r="S221">
        <f>Table1[[#This Row],[Gross_Sales]]*Table1[[#This Row],[Discount_Rate]]</f>
        <v>217.89900000000003</v>
      </c>
      <c r="T221">
        <f>Table1[[#This Row],[Gross_Sales]]-Table1[[#This Row],[Discount_Amount]]</f>
        <v>1961.0910000000001</v>
      </c>
      <c r="U221">
        <f>VLOOKUP(Table1[[#This Row],[Category]],REF_Cost!$A$1:$B$6,2,FALSE)*Table1[[#This Row],[Quantity]]</f>
        <v>240</v>
      </c>
      <c r="V221">
        <f>Table1[[#This Row],[Net_Sales]]-Table1[[#This Row],[Total_Cost]]</f>
        <v>1721.0910000000001</v>
      </c>
      <c r="W221" t="str">
        <f>TEXT(Table1[[#This Row],[Order_Date]],"mmm")</f>
        <v>Oct</v>
      </c>
      <c r="X221">
        <f>ROUNDUP(MONTH(Table1[[#This Row],[Order_Date]])/3,0)</f>
        <v>4</v>
      </c>
      <c r="Y221">
        <f>YEAR(Table1[[#This Row],[Order_Date]])</f>
        <v>2024</v>
      </c>
    </row>
    <row r="222" spans="1:25" x14ac:dyDescent="0.25">
      <c r="A222" t="s">
        <v>958</v>
      </c>
      <c r="B222" t="s">
        <v>959</v>
      </c>
      <c r="C222" t="s">
        <v>960</v>
      </c>
      <c r="D222" t="s">
        <v>961</v>
      </c>
      <c r="E222" t="s">
        <v>29</v>
      </c>
      <c r="F222" t="s">
        <v>49</v>
      </c>
      <c r="G222" t="s">
        <v>50</v>
      </c>
      <c r="H222" t="s">
        <v>72</v>
      </c>
      <c r="I222" t="s">
        <v>33</v>
      </c>
      <c r="J222" t="s">
        <v>126</v>
      </c>
      <c r="K222">
        <v>10</v>
      </c>
      <c r="L222">
        <v>184.12</v>
      </c>
      <c r="M222" s="3">
        <v>0</v>
      </c>
      <c r="N222" t="str">
        <f>VLOOKUP(Table1[[#This Row],[Country]],REF_Country!$A$1:$D$11,2,FALSE)</f>
        <v>Southeast Asia</v>
      </c>
      <c r="O222" t="str">
        <f>VLOOKUP(Table1[[#This Row],[Country]],REF_Country!$A$1:$D$11,3,FALSE)</f>
        <v>VN</v>
      </c>
      <c r="P222">
        <f>VLOOKUP(Table1[[#This Row],[Country]],REF_Country!$A$1:$D$11,4,FALSE)</f>
        <v>0.1</v>
      </c>
      <c r="Q222">
        <f>VLOOKUP(Table1[[#This Row],[Category]],REF_Target!$A$1:$E$6,2,FALSE)</f>
        <v>35000</v>
      </c>
      <c r="R222">
        <f>Table1[[#This Row],[Quantity]]*Table1[[#This Row],[Unit_Price]]</f>
        <v>1841.2</v>
      </c>
      <c r="S222">
        <f>Table1[[#This Row],[Gross_Sales]]*Table1[[#This Row],[Discount_Rate]]</f>
        <v>0</v>
      </c>
      <c r="T222">
        <f>Table1[[#This Row],[Gross_Sales]]-Table1[[#This Row],[Discount_Amount]]</f>
        <v>1841.2</v>
      </c>
      <c r="U222">
        <f>VLOOKUP(Table1[[#This Row],[Category]],REF_Cost!$A$1:$B$6,2,FALSE)*Table1[[#This Row],[Quantity]]</f>
        <v>1500</v>
      </c>
      <c r="V222">
        <f>Table1[[#This Row],[Net_Sales]]-Table1[[#This Row],[Total_Cost]]</f>
        <v>341.20000000000005</v>
      </c>
      <c r="W222" t="str">
        <f>TEXT(Table1[[#This Row],[Order_Date]],"mmm")</f>
        <v>May</v>
      </c>
      <c r="X222">
        <f>ROUNDUP(MONTH(Table1[[#This Row],[Order_Date]])/3,0)</f>
        <v>2</v>
      </c>
      <c r="Y222">
        <f>YEAR(Table1[[#This Row],[Order_Date]])</f>
        <v>2024</v>
      </c>
    </row>
    <row r="223" spans="1:25" x14ac:dyDescent="0.25">
      <c r="A223" t="s">
        <v>962</v>
      </c>
      <c r="B223" t="s">
        <v>963</v>
      </c>
      <c r="C223" t="s">
        <v>964</v>
      </c>
      <c r="D223" t="s">
        <v>965</v>
      </c>
      <c r="E223" t="s">
        <v>29</v>
      </c>
      <c r="F223" t="s">
        <v>56</v>
      </c>
      <c r="G223" t="s">
        <v>57</v>
      </c>
      <c r="H223" t="s">
        <v>58</v>
      </c>
      <c r="I223" t="s">
        <v>43</v>
      </c>
      <c r="J223" t="s">
        <v>59</v>
      </c>
      <c r="K223">
        <v>3</v>
      </c>
      <c r="L223">
        <v>1014.37</v>
      </c>
      <c r="M223" s="3">
        <v>0.2</v>
      </c>
      <c r="N223" t="str">
        <f>VLOOKUP(Table1[[#This Row],[Country]],REF_Country!$A$1:$D$11,2,FALSE)</f>
        <v>Southeast Asia</v>
      </c>
      <c r="O223" t="str">
        <f>VLOOKUP(Table1[[#This Row],[Country]],REF_Country!$A$1:$D$11,3,FALSE)</f>
        <v>VN</v>
      </c>
      <c r="P223">
        <f>VLOOKUP(Table1[[#This Row],[Country]],REF_Country!$A$1:$D$11,4,FALSE)</f>
        <v>0.1</v>
      </c>
      <c r="Q223">
        <f>VLOOKUP(Table1[[#This Row],[Category]],REF_Target!$A$1:$E$6,2,FALSE)</f>
        <v>50000</v>
      </c>
      <c r="R223">
        <f>Table1[[#This Row],[Quantity]]*Table1[[#This Row],[Unit_Price]]</f>
        <v>3043.11</v>
      </c>
      <c r="S223">
        <f>Table1[[#This Row],[Gross_Sales]]*Table1[[#This Row],[Discount_Rate]]</f>
        <v>608.62200000000007</v>
      </c>
      <c r="T223">
        <f>Table1[[#This Row],[Gross_Sales]]-Table1[[#This Row],[Discount_Amount]]</f>
        <v>2434.4880000000003</v>
      </c>
      <c r="U223">
        <f>VLOOKUP(Table1[[#This Row],[Category]],REF_Cost!$A$1:$B$6,2,FALSE)*Table1[[#This Row],[Quantity]]</f>
        <v>1350</v>
      </c>
      <c r="V223">
        <f>Table1[[#This Row],[Net_Sales]]-Table1[[#This Row],[Total_Cost]]</f>
        <v>1084.4880000000003</v>
      </c>
      <c r="W223" t="str">
        <f>TEXT(Table1[[#This Row],[Order_Date]],"mmm")</f>
        <v>Dec</v>
      </c>
      <c r="X223">
        <f>ROUNDUP(MONTH(Table1[[#This Row],[Order_Date]])/3,0)</f>
        <v>4</v>
      </c>
      <c r="Y223">
        <f>YEAR(Table1[[#This Row],[Order_Date]])</f>
        <v>2024</v>
      </c>
    </row>
    <row r="224" spans="1:25" x14ac:dyDescent="0.25">
      <c r="A224" t="s">
        <v>966</v>
      </c>
      <c r="B224" t="s">
        <v>967</v>
      </c>
      <c r="C224" t="s">
        <v>968</v>
      </c>
      <c r="D224" t="s">
        <v>969</v>
      </c>
      <c r="E224" t="s">
        <v>149</v>
      </c>
      <c r="F224" t="s">
        <v>56</v>
      </c>
      <c r="G224" t="s">
        <v>57</v>
      </c>
      <c r="H224" t="s">
        <v>42</v>
      </c>
      <c r="I224" t="s">
        <v>33</v>
      </c>
      <c r="J224" t="s">
        <v>34</v>
      </c>
      <c r="K224">
        <v>8</v>
      </c>
      <c r="L224">
        <v>1486.19</v>
      </c>
      <c r="M224" s="3">
        <v>0.15</v>
      </c>
      <c r="N224" t="str">
        <f>VLOOKUP(Table1[[#This Row],[Country]],REF_Country!$A$1:$D$11,2,FALSE)</f>
        <v>East Asia</v>
      </c>
      <c r="O224" t="str">
        <f>VLOOKUP(Table1[[#This Row],[Country]],REF_Country!$A$1:$D$11,3,FALSE)</f>
        <v>JP</v>
      </c>
      <c r="P224">
        <f>VLOOKUP(Table1[[#This Row],[Country]],REF_Country!$A$1:$D$11,4,FALSE)</f>
        <v>0.1</v>
      </c>
      <c r="Q224">
        <f>VLOOKUP(Table1[[#This Row],[Category]],REF_Target!$A$1:$E$6,2,FALSE)</f>
        <v>50000</v>
      </c>
      <c r="R224">
        <f>Table1[[#This Row],[Quantity]]*Table1[[#This Row],[Unit_Price]]</f>
        <v>11889.52</v>
      </c>
      <c r="S224">
        <f>Table1[[#This Row],[Gross_Sales]]*Table1[[#This Row],[Discount_Rate]]</f>
        <v>1783.4280000000001</v>
      </c>
      <c r="T224">
        <f>Table1[[#This Row],[Gross_Sales]]-Table1[[#This Row],[Discount_Amount]]</f>
        <v>10106.092000000001</v>
      </c>
      <c r="U224">
        <f>VLOOKUP(Table1[[#This Row],[Category]],REF_Cost!$A$1:$B$6,2,FALSE)*Table1[[#This Row],[Quantity]]</f>
        <v>3600</v>
      </c>
      <c r="V224">
        <f>Table1[[#This Row],[Net_Sales]]-Table1[[#This Row],[Total_Cost]]</f>
        <v>6506.0920000000006</v>
      </c>
      <c r="W224" t="str">
        <f>TEXT(Table1[[#This Row],[Order_Date]],"mmm")</f>
        <v>Mar</v>
      </c>
      <c r="X224">
        <f>ROUNDUP(MONTH(Table1[[#This Row],[Order_Date]])/3,0)</f>
        <v>1</v>
      </c>
      <c r="Y224">
        <f>YEAR(Table1[[#This Row],[Order_Date]])</f>
        <v>2024</v>
      </c>
    </row>
    <row r="225" spans="1:25" x14ac:dyDescent="0.25">
      <c r="A225" t="s">
        <v>970</v>
      </c>
      <c r="B225" t="s">
        <v>971</v>
      </c>
      <c r="C225" t="s">
        <v>972</v>
      </c>
      <c r="D225" t="s">
        <v>973</v>
      </c>
      <c r="E225" t="s">
        <v>78</v>
      </c>
      <c r="F225" t="s">
        <v>40</v>
      </c>
      <c r="G225" t="s">
        <v>144</v>
      </c>
      <c r="H225" t="s">
        <v>58</v>
      </c>
      <c r="I225" t="s">
        <v>43</v>
      </c>
      <c r="J225" t="s">
        <v>126</v>
      </c>
      <c r="K225">
        <v>4</v>
      </c>
      <c r="L225">
        <v>177.41</v>
      </c>
      <c r="M225" s="3">
        <v>0.2</v>
      </c>
      <c r="N225" t="str">
        <f>VLOOKUP(Table1[[#This Row],[Country]],REF_Country!$A$1:$D$11,2,FALSE)</f>
        <v>Oceania</v>
      </c>
      <c r="O225" t="str">
        <f>VLOOKUP(Table1[[#This Row],[Country]],REF_Country!$A$1:$D$11,3,FALSE)</f>
        <v>AU</v>
      </c>
      <c r="P225">
        <f>VLOOKUP(Table1[[#This Row],[Country]],REF_Country!$A$1:$D$11,4,FALSE)</f>
        <v>0.1</v>
      </c>
      <c r="Q225">
        <f>VLOOKUP(Table1[[#This Row],[Category]],REF_Target!$A$1:$E$6,2,FALSE)</f>
        <v>45000</v>
      </c>
      <c r="R225">
        <f>Table1[[#This Row],[Quantity]]*Table1[[#This Row],[Unit_Price]]</f>
        <v>709.64</v>
      </c>
      <c r="S225">
        <f>Table1[[#This Row],[Gross_Sales]]*Table1[[#This Row],[Discount_Rate]]</f>
        <v>141.928</v>
      </c>
      <c r="T225">
        <f>Table1[[#This Row],[Gross_Sales]]-Table1[[#This Row],[Discount_Amount]]</f>
        <v>567.71199999999999</v>
      </c>
      <c r="U225">
        <f>VLOOKUP(Table1[[#This Row],[Category]],REF_Cost!$A$1:$B$6,2,FALSE)*Table1[[#This Row],[Quantity]]</f>
        <v>320</v>
      </c>
      <c r="V225">
        <f>Table1[[#This Row],[Net_Sales]]-Table1[[#This Row],[Total_Cost]]</f>
        <v>247.71199999999999</v>
      </c>
      <c r="W225" t="str">
        <f>TEXT(Table1[[#This Row],[Order_Date]],"mmm")</f>
        <v>Jan</v>
      </c>
      <c r="X225">
        <f>ROUNDUP(MONTH(Table1[[#This Row],[Order_Date]])/3,0)</f>
        <v>1</v>
      </c>
      <c r="Y225">
        <f>YEAR(Table1[[#This Row],[Order_Date]])</f>
        <v>2024</v>
      </c>
    </row>
    <row r="226" spans="1:25" x14ac:dyDescent="0.25">
      <c r="A226" t="s">
        <v>974</v>
      </c>
      <c r="B226" t="s">
        <v>975</v>
      </c>
      <c r="C226" t="s">
        <v>976</v>
      </c>
      <c r="D226" t="s">
        <v>977</v>
      </c>
      <c r="E226" t="s">
        <v>149</v>
      </c>
      <c r="F226" t="s">
        <v>84</v>
      </c>
      <c r="G226" t="s">
        <v>264</v>
      </c>
      <c r="H226" t="s">
        <v>72</v>
      </c>
      <c r="I226" t="s">
        <v>33</v>
      </c>
      <c r="J226" t="s">
        <v>73</v>
      </c>
      <c r="K226">
        <v>2</v>
      </c>
      <c r="L226">
        <v>172.33</v>
      </c>
      <c r="M226" s="3">
        <v>0.05</v>
      </c>
      <c r="N226" t="str">
        <f>VLOOKUP(Table1[[#This Row],[Country]],REF_Country!$A$1:$D$11,2,FALSE)</f>
        <v>East Asia</v>
      </c>
      <c r="O226" t="str">
        <f>VLOOKUP(Table1[[#This Row],[Country]],REF_Country!$A$1:$D$11,3,FALSE)</f>
        <v>JP</v>
      </c>
      <c r="P226">
        <f>VLOOKUP(Table1[[#This Row],[Country]],REF_Country!$A$1:$D$11,4,FALSE)</f>
        <v>0.1</v>
      </c>
      <c r="Q226">
        <f>VLOOKUP(Table1[[#This Row],[Category]],REF_Target!$A$1:$E$6,2,FALSE)</f>
        <v>30000</v>
      </c>
      <c r="R226">
        <f>Table1[[#This Row],[Quantity]]*Table1[[#This Row],[Unit_Price]]</f>
        <v>344.66</v>
      </c>
      <c r="S226">
        <f>Table1[[#This Row],[Gross_Sales]]*Table1[[#This Row],[Discount_Rate]]</f>
        <v>17.233000000000001</v>
      </c>
      <c r="T226">
        <f>Table1[[#This Row],[Gross_Sales]]-Table1[[#This Row],[Discount_Amount]]</f>
        <v>327.42700000000002</v>
      </c>
      <c r="U226">
        <f>VLOOKUP(Table1[[#This Row],[Category]],REF_Cost!$A$1:$B$6,2,FALSE)*Table1[[#This Row],[Quantity]]</f>
        <v>400</v>
      </c>
      <c r="V226">
        <f>Table1[[#This Row],[Net_Sales]]-Table1[[#This Row],[Total_Cost]]</f>
        <v>-72.572999999999979</v>
      </c>
      <c r="W226" t="str">
        <f>TEXT(Table1[[#This Row],[Order_Date]],"mmm")</f>
        <v>Nov</v>
      </c>
      <c r="X226">
        <f>ROUNDUP(MONTH(Table1[[#This Row],[Order_Date]])/3,0)</f>
        <v>4</v>
      </c>
      <c r="Y226">
        <f>YEAR(Table1[[#This Row],[Order_Date]])</f>
        <v>2024</v>
      </c>
    </row>
    <row r="227" spans="1:25" x14ac:dyDescent="0.25">
      <c r="A227" t="s">
        <v>978</v>
      </c>
      <c r="B227" t="s">
        <v>979</v>
      </c>
      <c r="C227" t="s">
        <v>980</v>
      </c>
      <c r="D227" t="s">
        <v>981</v>
      </c>
      <c r="E227" t="s">
        <v>83</v>
      </c>
      <c r="F227" t="s">
        <v>40</v>
      </c>
      <c r="G227" t="s">
        <v>106</v>
      </c>
      <c r="H227" t="s">
        <v>32</v>
      </c>
      <c r="I227" t="s">
        <v>66</v>
      </c>
      <c r="J227" t="s">
        <v>34</v>
      </c>
      <c r="K227">
        <v>1</v>
      </c>
      <c r="L227">
        <v>527.28</v>
      </c>
      <c r="M227" s="3">
        <v>0.1</v>
      </c>
      <c r="N227" t="str">
        <f>VLOOKUP(Table1[[#This Row],[Country]],REF_Country!$A$1:$D$11,2,FALSE)</f>
        <v>South Asia</v>
      </c>
      <c r="O227" t="str">
        <f>VLOOKUP(Table1[[#This Row],[Country]],REF_Country!$A$1:$D$11,3,FALSE)</f>
        <v>IN</v>
      </c>
      <c r="P227">
        <f>VLOOKUP(Table1[[#This Row],[Country]],REF_Country!$A$1:$D$11,4,FALSE)</f>
        <v>0.18</v>
      </c>
      <c r="Q227">
        <f>VLOOKUP(Table1[[#This Row],[Category]],REF_Target!$A$1:$E$6,2,FALSE)</f>
        <v>45000</v>
      </c>
      <c r="R227">
        <f>Table1[[#This Row],[Quantity]]*Table1[[#This Row],[Unit_Price]]</f>
        <v>527.28</v>
      </c>
      <c r="S227">
        <f>Table1[[#This Row],[Gross_Sales]]*Table1[[#This Row],[Discount_Rate]]</f>
        <v>52.728000000000002</v>
      </c>
      <c r="T227">
        <f>Table1[[#This Row],[Gross_Sales]]-Table1[[#This Row],[Discount_Amount]]</f>
        <v>474.55199999999996</v>
      </c>
      <c r="U227">
        <f>VLOOKUP(Table1[[#This Row],[Category]],REF_Cost!$A$1:$B$6,2,FALSE)*Table1[[#This Row],[Quantity]]</f>
        <v>80</v>
      </c>
      <c r="V227">
        <f>Table1[[#This Row],[Net_Sales]]-Table1[[#This Row],[Total_Cost]]</f>
        <v>394.55199999999996</v>
      </c>
      <c r="W227" t="str">
        <f>TEXT(Table1[[#This Row],[Order_Date]],"mmm")</f>
        <v>Jul</v>
      </c>
      <c r="X227">
        <f>ROUNDUP(MONTH(Table1[[#This Row],[Order_Date]])/3,0)</f>
        <v>3</v>
      </c>
      <c r="Y227">
        <f>YEAR(Table1[[#This Row],[Order_Date]])</f>
        <v>2024</v>
      </c>
    </row>
    <row r="228" spans="1:25" x14ac:dyDescent="0.25">
      <c r="A228" t="s">
        <v>982</v>
      </c>
      <c r="B228" t="s">
        <v>983</v>
      </c>
      <c r="C228" t="s">
        <v>984</v>
      </c>
      <c r="D228" t="s">
        <v>985</v>
      </c>
      <c r="E228" t="s">
        <v>71</v>
      </c>
      <c r="F228" t="s">
        <v>84</v>
      </c>
      <c r="G228" t="s">
        <v>412</v>
      </c>
      <c r="H228" t="s">
        <v>42</v>
      </c>
      <c r="I228" t="s">
        <v>66</v>
      </c>
      <c r="J228" t="s">
        <v>34</v>
      </c>
      <c r="K228">
        <v>4</v>
      </c>
      <c r="L228">
        <v>691.17</v>
      </c>
      <c r="M228" s="3">
        <v>0.15</v>
      </c>
      <c r="N228" t="str">
        <f>VLOOKUP(Table1[[#This Row],[Country]],REF_Country!$A$1:$D$11,2,FALSE)</f>
        <v>Southeast Asia</v>
      </c>
      <c r="O228" t="str">
        <f>VLOOKUP(Table1[[#This Row],[Country]],REF_Country!$A$1:$D$11,3,FALSE)</f>
        <v>PH</v>
      </c>
      <c r="P228">
        <f>VLOOKUP(Table1[[#This Row],[Country]],REF_Country!$A$1:$D$11,4,FALSE)</f>
        <v>0.12</v>
      </c>
      <c r="Q228">
        <f>VLOOKUP(Table1[[#This Row],[Category]],REF_Target!$A$1:$E$6,2,FALSE)</f>
        <v>30000</v>
      </c>
      <c r="R228">
        <f>Table1[[#This Row],[Quantity]]*Table1[[#This Row],[Unit_Price]]</f>
        <v>2764.68</v>
      </c>
      <c r="S228">
        <f>Table1[[#This Row],[Gross_Sales]]*Table1[[#This Row],[Discount_Rate]]</f>
        <v>414.70199999999994</v>
      </c>
      <c r="T228">
        <f>Table1[[#This Row],[Gross_Sales]]-Table1[[#This Row],[Discount_Amount]]</f>
        <v>2349.9780000000001</v>
      </c>
      <c r="U228">
        <f>VLOOKUP(Table1[[#This Row],[Category]],REF_Cost!$A$1:$B$6,2,FALSE)*Table1[[#This Row],[Quantity]]</f>
        <v>800</v>
      </c>
      <c r="V228">
        <f>Table1[[#This Row],[Net_Sales]]-Table1[[#This Row],[Total_Cost]]</f>
        <v>1549.9780000000001</v>
      </c>
      <c r="W228" t="str">
        <f>TEXT(Table1[[#This Row],[Order_Date]],"mmm")</f>
        <v>Feb</v>
      </c>
      <c r="X228">
        <f>ROUNDUP(MONTH(Table1[[#This Row],[Order_Date]])/3,0)</f>
        <v>1</v>
      </c>
      <c r="Y228">
        <f>YEAR(Table1[[#This Row],[Order_Date]])</f>
        <v>2024</v>
      </c>
    </row>
    <row r="229" spans="1:25" x14ac:dyDescent="0.25">
      <c r="A229" t="s">
        <v>986</v>
      </c>
      <c r="B229" t="s">
        <v>987</v>
      </c>
      <c r="C229" t="s">
        <v>988</v>
      </c>
      <c r="D229" t="s">
        <v>989</v>
      </c>
      <c r="E229" t="s">
        <v>200</v>
      </c>
      <c r="F229" t="s">
        <v>84</v>
      </c>
      <c r="G229" t="s">
        <v>205</v>
      </c>
      <c r="H229" t="s">
        <v>58</v>
      </c>
      <c r="I229" t="s">
        <v>51</v>
      </c>
      <c r="J229" t="s">
        <v>73</v>
      </c>
      <c r="K229">
        <v>2</v>
      </c>
      <c r="L229">
        <v>460.89</v>
      </c>
      <c r="M229" s="3">
        <v>0</v>
      </c>
      <c r="N229" t="str">
        <f>VLOOKUP(Table1[[#This Row],[Country]],REF_Country!$A$1:$D$11,2,FALSE)</f>
        <v>East Asia</v>
      </c>
      <c r="O229" t="str">
        <f>VLOOKUP(Table1[[#This Row],[Country]],REF_Country!$A$1:$D$11,3,FALSE)</f>
        <v>KR</v>
      </c>
      <c r="P229">
        <f>VLOOKUP(Table1[[#This Row],[Country]],REF_Country!$A$1:$D$11,4,FALSE)</f>
        <v>0.1</v>
      </c>
      <c r="Q229">
        <f>VLOOKUP(Table1[[#This Row],[Category]],REF_Target!$A$1:$E$6,2,FALSE)</f>
        <v>30000</v>
      </c>
      <c r="R229">
        <f>Table1[[#This Row],[Quantity]]*Table1[[#This Row],[Unit_Price]]</f>
        <v>921.78</v>
      </c>
      <c r="S229">
        <f>Table1[[#This Row],[Gross_Sales]]*Table1[[#This Row],[Discount_Rate]]</f>
        <v>0</v>
      </c>
      <c r="T229">
        <f>Table1[[#This Row],[Gross_Sales]]-Table1[[#This Row],[Discount_Amount]]</f>
        <v>921.78</v>
      </c>
      <c r="U229">
        <f>VLOOKUP(Table1[[#This Row],[Category]],REF_Cost!$A$1:$B$6,2,FALSE)*Table1[[#This Row],[Quantity]]</f>
        <v>400</v>
      </c>
      <c r="V229">
        <f>Table1[[#This Row],[Net_Sales]]-Table1[[#This Row],[Total_Cost]]</f>
        <v>521.78</v>
      </c>
      <c r="W229" t="str">
        <f>TEXT(Table1[[#This Row],[Order_Date]],"mmm")</f>
        <v>Aug</v>
      </c>
      <c r="X229">
        <f>ROUNDUP(MONTH(Table1[[#This Row],[Order_Date]])/3,0)</f>
        <v>3</v>
      </c>
      <c r="Y229">
        <f>YEAR(Table1[[#This Row],[Order_Date]])</f>
        <v>2024</v>
      </c>
    </row>
    <row r="230" spans="1:25" x14ac:dyDescent="0.25">
      <c r="A230" t="s">
        <v>990</v>
      </c>
      <c r="B230" t="s">
        <v>991</v>
      </c>
      <c r="C230" t="s">
        <v>992</v>
      </c>
      <c r="D230" t="s">
        <v>993</v>
      </c>
      <c r="E230" t="s">
        <v>48</v>
      </c>
      <c r="F230" t="s">
        <v>84</v>
      </c>
      <c r="G230" t="s">
        <v>90</v>
      </c>
      <c r="H230" t="s">
        <v>42</v>
      </c>
      <c r="I230" t="s">
        <v>43</v>
      </c>
      <c r="J230" t="s">
        <v>73</v>
      </c>
      <c r="K230">
        <v>8</v>
      </c>
      <c r="L230">
        <v>648.16</v>
      </c>
      <c r="M230" s="3">
        <v>0</v>
      </c>
      <c r="N230" t="str">
        <f>VLOOKUP(Table1[[#This Row],[Country]],REF_Country!$A$1:$D$11,2,FALSE)</f>
        <v>Southeast Asia</v>
      </c>
      <c r="O230" t="str">
        <f>VLOOKUP(Table1[[#This Row],[Country]],REF_Country!$A$1:$D$11,3,FALSE)</f>
        <v>SG</v>
      </c>
      <c r="P230">
        <f>VLOOKUP(Table1[[#This Row],[Country]],REF_Country!$A$1:$D$11,4,FALSE)</f>
        <v>7.0000000000000007E-2</v>
      </c>
      <c r="Q230">
        <f>VLOOKUP(Table1[[#This Row],[Category]],REF_Target!$A$1:$E$6,2,FALSE)</f>
        <v>30000</v>
      </c>
      <c r="R230">
        <f>Table1[[#This Row],[Quantity]]*Table1[[#This Row],[Unit_Price]]</f>
        <v>5185.28</v>
      </c>
      <c r="S230">
        <f>Table1[[#This Row],[Gross_Sales]]*Table1[[#This Row],[Discount_Rate]]</f>
        <v>0</v>
      </c>
      <c r="T230">
        <f>Table1[[#This Row],[Gross_Sales]]-Table1[[#This Row],[Discount_Amount]]</f>
        <v>5185.28</v>
      </c>
      <c r="U230">
        <f>VLOOKUP(Table1[[#This Row],[Category]],REF_Cost!$A$1:$B$6,2,FALSE)*Table1[[#This Row],[Quantity]]</f>
        <v>1600</v>
      </c>
      <c r="V230">
        <f>Table1[[#This Row],[Net_Sales]]-Table1[[#This Row],[Total_Cost]]</f>
        <v>3585.2799999999997</v>
      </c>
      <c r="W230" t="str">
        <f>TEXT(Table1[[#This Row],[Order_Date]],"mmm")</f>
        <v>Sep</v>
      </c>
      <c r="X230">
        <f>ROUNDUP(MONTH(Table1[[#This Row],[Order_Date]])/3,0)</f>
        <v>3</v>
      </c>
      <c r="Y230">
        <f>YEAR(Table1[[#This Row],[Order_Date]])</f>
        <v>2024</v>
      </c>
    </row>
    <row r="231" spans="1:25" x14ac:dyDescent="0.25">
      <c r="A231" t="s">
        <v>994</v>
      </c>
      <c r="B231" t="s">
        <v>995</v>
      </c>
      <c r="C231" t="s">
        <v>996</v>
      </c>
      <c r="D231" t="s">
        <v>997</v>
      </c>
      <c r="E231" t="s">
        <v>64</v>
      </c>
      <c r="F231" t="s">
        <v>40</v>
      </c>
      <c r="G231" t="s">
        <v>106</v>
      </c>
      <c r="H231" t="s">
        <v>32</v>
      </c>
      <c r="I231" t="s">
        <v>43</v>
      </c>
      <c r="J231" t="s">
        <v>73</v>
      </c>
      <c r="K231">
        <v>7</v>
      </c>
      <c r="L231">
        <v>682.62</v>
      </c>
      <c r="M231" s="3">
        <v>0.1</v>
      </c>
      <c r="N231" t="str">
        <f>VLOOKUP(Table1[[#This Row],[Country]],REF_Country!$A$1:$D$11,2,FALSE)</f>
        <v>Southeast Asia</v>
      </c>
      <c r="O231" t="str">
        <f>VLOOKUP(Table1[[#This Row],[Country]],REF_Country!$A$1:$D$11,3,FALSE)</f>
        <v>ID</v>
      </c>
      <c r="P231">
        <f>VLOOKUP(Table1[[#This Row],[Country]],REF_Country!$A$1:$D$11,4,FALSE)</f>
        <v>0.11</v>
      </c>
      <c r="Q231">
        <f>VLOOKUP(Table1[[#This Row],[Category]],REF_Target!$A$1:$E$6,2,FALSE)</f>
        <v>45000</v>
      </c>
      <c r="R231">
        <f>Table1[[#This Row],[Quantity]]*Table1[[#This Row],[Unit_Price]]</f>
        <v>4778.34</v>
      </c>
      <c r="S231">
        <f>Table1[[#This Row],[Gross_Sales]]*Table1[[#This Row],[Discount_Rate]]</f>
        <v>477.83400000000006</v>
      </c>
      <c r="T231">
        <f>Table1[[#This Row],[Gross_Sales]]-Table1[[#This Row],[Discount_Amount]]</f>
        <v>4300.5060000000003</v>
      </c>
      <c r="U231">
        <f>VLOOKUP(Table1[[#This Row],[Category]],REF_Cost!$A$1:$B$6,2,FALSE)*Table1[[#This Row],[Quantity]]</f>
        <v>560</v>
      </c>
      <c r="V231">
        <f>Table1[[#This Row],[Net_Sales]]-Table1[[#This Row],[Total_Cost]]</f>
        <v>3740.5060000000003</v>
      </c>
      <c r="W231" t="str">
        <f>TEXT(Table1[[#This Row],[Order_Date]],"mmm")</f>
        <v>Dec</v>
      </c>
      <c r="X231">
        <f>ROUNDUP(MONTH(Table1[[#This Row],[Order_Date]])/3,0)</f>
        <v>4</v>
      </c>
      <c r="Y231">
        <f>YEAR(Table1[[#This Row],[Order_Date]])</f>
        <v>2024</v>
      </c>
    </row>
    <row r="232" spans="1:25" x14ac:dyDescent="0.25">
      <c r="A232" t="s">
        <v>998</v>
      </c>
      <c r="B232" t="s">
        <v>999</v>
      </c>
      <c r="C232" t="s">
        <v>1000</v>
      </c>
      <c r="D232" t="s">
        <v>1001</v>
      </c>
      <c r="E232" t="s">
        <v>116</v>
      </c>
      <c r="F232" t="s">
        <v>40</v>
      </c>
      <c r="G232" t="s">
        <v>106</v>
      </c>
      <c r="H232" t="s">
        <v>32</v>
      </c>
      <c r="I232" t="s">
        <v>66</v>
      </c>
      <c r="J232" t="s">
        <v>34</v>
      </c>
      <c r="K232">
        <v>4</v>
      </c>
      <c r="L232">
        <v>558.20000000000005</v>
      </c>
      <c r="M232" s="3">
        <v>0.1</v>
      </c>
      <c r="N232" t="str">
        <f>VLOOKUP(Table1[[#This Row],[Country]],REF_Country!$A$1:$D$11,2,FALSE)</f>
        <v>Southeast Asia</v>
      </c>
      <c r="O232" t="str">
        <f>VLOOKUP(Table1[[#This Row],[Country]],REF_Country!$A$1:$D$11,3,FALSE)</f>
        <v>MY</v>
      </c>
      <c r="P232">
        <f>VLOOKUP(Table1[[#This Row],[Country]],REF_Country!$A$1:$D$11,4,FALSE)</f>
        <v>0.06</v>
      </c>
      <c r="Q232">
        <f>VLOOKUP(Table1[[#This Row],[Category]],REF_Target!$A$1:$E$6,2,FALSE)</f>
        <v>45000</v>
      </c>
      <c r="R232">
        <f>Table1[[#This Row],[Quantity]]*Table1[[#This Row],[Unit_Price]]</f>
        <v>2232.8000000000002</v>
      </c>
      <c r="S232">
        <f>Table1[[#This Row],[Gross_Sales]]*Table1[[#This Row],[Discount_Rate]]</f>
        <v>223.28000000000003</v>
      </c>
      <c r="T232">
        <f>Table1[[#This Row],[Gross_Sales]]-Table1[[#This Row],[Discount_Amount]]</f>
        <v>2009.5200000000002</v>
      </c>
      <c r="U232">
        <f>VLOOKUP(Table1[[#This Row],[Category]],REF_Cost!$A$1:$B$6,2,FALSE)*Table1[[#This Row],[Quantity]]</f>
        <v>320</v>
      </c>
      <c r="V232">
        <f>Table1[[#This Row],[Net_Sales]]-Table1[[#This Row],[Total_Cost]]</f>
        <v>1689.5200000000002</v>
      </c>
      <c r="W232" t="str">
        <f>TEXT(Table1[[#This Row],[Order_Date]],"mmm")</f>
        <v>Dec</v>
      </c>
      <c r="X232">
        <f>ROUNDUP(MONTH(Table1[[#This Row],[Order_Date]])/3,0)</f>
        <v>4</v>
      </c>
      <c r="Y232">
        <f>YEAR(Table1[[#This Row],[Order_Date]])</f>
        <v>2024</v>
      </c>
    </row>
    <row r="233" spans="1:25" x14ac:dyDescent="0.25">
      <c r="A233" t="s">
        <v>1002</v>
      </c>
      <c r="B233" t="s">
        <v>1003</v>
      </c>
      <c r="C233" t="s">
        <v>1004</v>
      </c>
      <c r="D233" t="s">
        <v>1005</v>
      </c>
      <c r="E233" t="s">
        <v>149</v>
      </c>
      <c r="F233" t="s">
        <v>40</v>
      </c>
      <c r="G233" t="s">
        <v>565</v>
      </c>
      <c r="H233" t="s">
        <v>42</v>
      </c>
      <c r="I233" t="s">
        <v>33</v>
      </c>
      <c r="J233" t="s">
        <v>73</v>
      </c>
      <c r="K233">
        <v>6</v>
      </c>
      <c r="L233">
        <v>886.7</v>
      </c>
      <c r="M233" s="3">
        <v>0.05</v>
      </c>
      <c r="N233" t="str">
        <f>VLOOKUP(Table1[[#This Row],[Country]],REF_Country!$A$1:$D$11,2,FALSE)</f>
        <v>East Asia</v>
      </c>
      <c r="O233" t="str">
        <f>VLOOKUP(Table1[[#This Row],[Country]],REF_Country!$A$1:$D$11,3,FALSE)</f>
        <v>JP</v>
      </c>
      <c r="P233">
        <f>VLOOKUP(Table1[[#This Row],[Country]],REF_Country!$A$1:$D$11,4,FALSE)</f>
        <v>0.1</v>
      </c>
      <c r="Q233">
        <f>VLOOKUP(Table1[[#This Row],[Category]],REF_Target!$A$1:$E$6,2,FALSE)</f>
        <v>45000</v>
      </c>
      <c r="R233">
        <f>Table1[[#This Row],[Quantity]]*Table1[[#This Row],[Unit_Price]]</f>
        <v>5320.2000000000007</v>
      </c>
      <c r="S233">
        <f>Table1[[#This Row],[Gross_Sales]]*Table1[[#This Row],[Discount_Rate]]</f>
        <v>266.01000000000005</v>
      </c>
      <c r="T233">
        <f>Table1[[#This Row],[Gross_Sales]]-Table1[[#This Row],[Discount_Amount]]</f>
        <v>5054.1900000000005</v>
      </c>
      <c r="U233">
        <f>VLOOKUP(Table1[[#This Row],[Category]],REF_Cost!$A$1:$B$6,2,FALSE)*Table1[[#This Row],[Quantity]]</f>
        <v>480</v>
      </c>
      <c r="V233">
        <f>Table1[[#This Row],[Net_Sales]]-Table1[[#This Row],[Total_Cost]]</f>
        <v>4574.1900000000005</v>
      </c>
      <c r="W233" t="str">
        <f>TEXT(Table1[[#This Row],[Order_Date]],"mmm")</f>
        <v>Nov</v>
      </c>
      <c r="X233">
        <f>ROUNDUP(MONTH(Table1[[#This Row],[Order_Date]])/3,0)</f>
        <v>4</v>
      </c>
      <c r="Y233">
        <f>YEAR(Table1[[#This Row],[Order_Date]])</f>
        <v>2024</v>
      </c>
    </row>
    <row r="234" spans="1:25" x14ac:dyDescent="0.25">
      <c r="A234" t="s">
        <v>1006</v>
      </c>
      <c r="B234" t="s">
        <v>1007</v>
      </c>
      <c r="C234" t="s">
        <v>1008</v>
      </c>
      <c r="D234" t="s">
        <v>1009</v>
      </c>
      <c r="E234" t="s">
        <v>83</v>
      </c>
      <c r="F234" t="s">
        <v>40</v>
      </c>
      <c r="G234" t="s">
        <v>144</v>
      </c>
      <c r="H234" t="s">
        <v>72</v>
      </c>
      <c r="I234" t="s">
        <v>66</v>
      </c>
      <c r="J234" t="s">
        <v>126</v>
      </c>
      <c r="K234">
        <v>6</v>
      </c>
      <c r="L234">
        <v>1013.08</v>
      </c>
      <c r="M234" s="3">
        <v>0</v>
      </c>
      <c r="N234" t="str">
        <f>VLOOKUP(Table1[[#This Row],[Country]],REF_Country!$A$1:$D$11,2,FALSE)</f>
        <v>South Asia</v>
      </c>
      <c r="O234" t="str">
        <f>VLOOKUP(Table1[[#This Row],[Country]],REF_Country!$A$1:$D$11,3,FALSE)</f>
        <v>IN</v>
      </c>
      <c r="P234">
        <f>VLOOKUP(Table1[[#This Row],[Country]],REF_Country!$A$1:$D$11,4,FALSE)</f>
        <v>0.18</v>
      </c>
      <c r="Q234">
        <f>VLOOKUP(Table1[[#This Row],[Category]],REF_Target!$A$1:$E$6,2,FALSE)</f>
        <v>45000</v>
      </c>
      <c r="R234">
        <f>Table1[[#This Row],[Quantity]]*Table1[[#This Row],[Unit_Price]]</f>
        <v>6078.4800000000005</v>
      </c>
      <c r="S234">
        <f>Table1[[#This Row],[Gross_Sales]]*Table1[[#This Row],[Discount_Rate]]</f>
        <v>0</v>
      </c>
      <c r="T234">
        <f>Table1[[#This Row],[Gross_Sales]]-Table1[[#This Row],[Discount_Amount]]</f>
        <v>6078.4800000000005</v>
      </c>
      <c r="U234">
        <f>VLOOKUP(Table1[[#This Row],[Category]],REF_Cost!$A$1:$B$6,2,FALSE)*Table1[[#This Row],[Quantity]]</f>
        <v>480</v>
      </c>
      <c r="V234">
        <f>Table1[[#This Row],[Net_Sales]]-Table1[[#This Row],[Total_Cost]]</f>
        <v>5598.4800000000005</v>
      </c>
      <c r="W234" t="str">
        <f>TEXT(Table1[[#This Row],[Order_Date]],"mmm")</f>
        <v>Dec</v>
      </c>
      <c r="X234">
        <f>ROUNDUP(MONTH(Table1[[#This Row],[Order_Date]])/3,0)</f>
        <v>4</v>
      </c>
      <c r="Y234">
        <f>YEAR(Table1[[#This Row],[Order_Date]])</f>
        <v>2024</v>
      </c>
    </row>
    <row r="235" spans="1:25" x14ac:dyDescent="0.25">
      <c r="A235" t="s">
        <v>1010</v>
      </c>
      <c r="B235" t="s">
        <v>1011</v>
      </c>
      <c r="C235" t="s">
        <v>1012</v>
      </c>
      <c r="D235" t="s">
        <v>1013</v>
      </c>
      <c r="E235" t="s">
        <v>78</v>
      </c>
      <c r="F235" t="s">
        <v>49</v>
      </c>
      <c r="G235" t="s">
        <v>226</v>
      </c>
      <c r="H235" t="s">
        <v>42</v>
      </c>
      <c r="I235" t="s">
        <v>43</v>
      </c>
      <c r="J235" t="s">
        <v>34</v>
      </c>
      <c r="K235">
        <v>10</v>
      </c>
      <c r="L235">
        <v>900.69</v>
      </c>
      <c r="M235" s="3">
        <v>0.1</v>
      </c>
      <c r="N235" t="str">
        <f>VLOOKUP(Table1[[#This Row],[Country]],REF_Country!$A$1:$D$11,2,FALSE)</f>
        <v>Oceania</v>
      </c>
      <c r="O235" t="str">
        <f>VLOOKUP(Table1[[#This Row],[Country]],REF_Country!$A$1:$D$11,3,FALSE)</f>
        <v>AU</v>
      </c>
      <c r="P235">
        <f>VLOOKUP(Table1[[#This Row],[Country]],REF_Country!$A$1:$D$11,4,FALSE)</f>
        <v>0.1</v>
      </c>
      <c r="Q235">
        <f>VLOOKUP(Table1[[#This Row],[Category]],REF_Target!$A$1:$E$6,2,FALSE)</f>
        <v>35000</v>
      </c>
      <c r="R235">
        <f>Table1[[#This Row],[Quantity]]*Table1[[#This Row],[Unit_Price]]</f>
        <v>9006.9000000000015</v>
      </c>
      <c r="S235">
        <f>Table1[[#This Row],[Gross_Sales]]*Table1[[#This Row],[Discount_Rate]]</f>
        <v>900.69000000000017</v>
      </c>
      <c r="T235">
        <f>Table1[[#This Row],[Gross_Sales]]-Table1[[#This Row],[Discount_Amount]]</f>
        <v>8106.2100000000009</v>
      </c>
      <c r="U235">
        <f>VLOOKUP(Table1[[#This Row],[Category]],REF_Cost!$A$1:$B$6,2,FALSE)*Table1[[#This Row],[Quantity]]</f>
        <v>1500</v>
      </c>
      <c r="V235">
        <f>Table1[[#This Row],[Net_Sales]]-Table1[[#This Row],[Total_Cost]]</f>
        <v>6606.2100000000009</v>
      </c>
      <c r="W235" t="str">
        <f>TEXT(Table1[[#This Row],[Order_Date]],"mmm")</f>
        <v>Jul</v>
      </c>
      <c r="X235">
        <f>ROUNDUP(MONTH(Table1[[#This Row],[Order_Date]])/3,0)</f>
        <v>3</v>
      </c>
      <c r="Y235">
        <f>YEAR(Table1[[#This Row],[Order_Date]])</f>
        <v>2024</v>
      </c>
    </row>
    <row r="236" spans="1:25" x14ac:dyDescent="0.25">
      <c r="A236" t="s">
        <v>1014</v>
      </c>
      <c r="B236" t="s">
        <v>1015</v>
      </c>
      <c r="C236" t="s">
        <v>1016</v>
      </c>
      <c r="D236" t="s">
        <v>1017</v>
      </c>
      <c r="E236" t="s">
        <v>48</v>
      </c>
      <c r="F236" t="s">
        <v>40</v>
      </c>
      <c r="G236" t="s">
        <v>106</v>
      </c>
      <c r="H236" t="s">
        <v>58</v>
      </c>
      <c r="I236" t="s">
        <v>96</v>
      </c>
      <c r="J236" t="s">
        <v>126</v>
      </c>
      <c r="K236">
        <v>3</v>
      </c>
      <c r="L236">
        <v>742.12</v>
      </c>
      <c r="M236" s="3">
        <v>0</v>
      </c>
      <c r="N236" t="str">
        <f>VLOOKUP(Table1[[#This Row],[Country]],REF_Country!$A$1:$D$11,2,FALSE)</f>
        <v>Southeast Asia</v>
      </c>
      <c r="O236" t="str">
        <f>VLOOKUP(Table1[[#This Row],[Country]],REF_Country!$A$1:$D$11,3,FALSE)</f>
        <v>SG</v>
      </c>
      <c r="P236">
        <f>VLOOKUP(Table1[[#This Row],[Country]],REF_Country!$A$1:$D$11,4,FALSE)</f>
        <v>7.0000000000000007E-2</v>
      </c>
      <c r="Q236">
        <f>VLOOKUP(Table1[[#This Row],[Category]],REF_Target!$A$1:$E$6,2,FALSE)</f>
        <v>45000</v>
      </c>
      <c r="R236">
        <f>Table1[[#This Row],[Quantity]]*Table1[[#This Row],[Unit_Price]]</f>
        <v>2226.36</v>
      </c>
      <c r="S236">
        <f>Table1[[#This Row],[Gross_Sales]]*Table1[[#This Row],[Discount_Rate]]</f>
        <v>0</v>
      </c>
      <c r="T236">
        <f>Table1[[#This Row],[Gross_Sales]]-Table1[[#This Row],[Discount_Amount]]</f>
        <v>2226.36</v>
      </c>
      <c r="U236">
        <f>VLOOKUP(Table1[[#This Row],[Category]],REF_Cost!$A$1:$B$6,2,FALSE)*Table1[[#This Row],[Quantity]]</f>
        <v>240</v>
      </c>
      <c r="V236">
        <f>Table1[[#This Row],[Net_Sales]]-Table1[[#This Row],[Total_Cost]]</f>
        <v>1986.3600000000001</v>
      </c>
      <c r="W236" t="str">
        <f>TEXT(Table1[[#This Row],[Order_Date]],"mmm")</f>
        <v>Oct</v>
      </c>
      <c r="X236">
        <f>ROUNDUP(MONTH(Table1[[#This Row],[Order_Date]])/3,0)</f>
        <v>4</v>
      </c>
      <c r="Y236">
        <f>YEAR(Table1[[#This Row],[Order_Date]])</f>
        <v>2024</v>
      </c>
    </row>
    <row r="237" spans="1:25" x14ac:dyDescent="0.25">
      <c r="A237" t="s">
        <v>1018</v>
      </c>
      <c r="B237" t="s">
        <v>1019</v>
      </c>
      <c r="C237" t="s">
        <v>1020</v>
      </c>
      <c r="D237" t="s">
        <v>1021</v>
      </c>
      <c r="E237" t="s">
        <v>39</v>
      </c>
      <c r="F237" t="s">
        <v>49</v>
      </c>
      <c r="G237" t="s">
        <v>259</v>
      </c>
      <c r="H237" t="s">
        <v>42</v>
      </c>
      <c r="I237" t="s">
        <v>96</v>
      </c>
      <c r="J237" t="s">
        <v>34</v>
      </c>
      <c r="K237">
        <v>8</v>
      </c>
      <c r="L237">
        <v>765.58</v>
      </c>
      <c r="M237" s="3">
        <v>0.1</v>
      </c>
      <c r="N237" t="str">
        <f>VLOOKUP(Table1[[#This Row],[Country]],REF_Country!$A$1:$D$11,2,FALSE)</f>
        <v>Southeast Asia</v>
      </c>
      <c r="O237" t="str">
        <f>VLOOKUP(Table1[[#This Row],[Country]],REF_Country!$A$1:$D$11,3,FALSE)</f>
        <v>TH</v>
      </c>
      <c r="P237">
        <f>VLOOKUP(Table1[[#This Row],[Country]],REF_Country!$A$1:$D$11,4,FALSE)</f>
        <v>7.0000000000000007E-2</v>
      </c>
      <c r="Q237">
        <f>VLOOKUP(Table1[[#This Row],[Category]],REF_Target!$A$1:$E$6,2,FALSE)</f>
        <v>35000</v>
      </c>
      <c r="R237">
        <f>Table1[[#This Row],[Quantity]]*Table1[[#This Row],[Unit_Price]]</f>
        <v>6124.64</v>
      </c>
      <c r="S237">
        <f>Table1[[#This Row],[Gross_Sales]]*Table1[[#This Row],[Discount_Rate]]</f>
        <v>612.46400000000006</v>
      </c>
      <c r="T237">
        <f>Table1[[#This Row],[Gross_Sales]]-Table1[[#This Row],[Discount_Amount]]</f>
        <v>5512.1760000000004</v>
      </c>
      <c r="U237">
        <f>VLOOKUP(Table1[[#This Row],[Category]],REF_Cost!$A$1:$B$6,2,FALSE)*Table1[[#This Row],[Quantity]]</f>
        <v>1200</v>
      </c>
      <c r="V237">
        <f>Table1[[#This Row],[Net_Sales]]-Table1[[#This Row],[Total_Cost]]</f>
        <v>4312.1760000000004</v>
      </c>
      <c r="W237" t="str">
        <f>TEXT(Table1[[#This Row],[Order_Date]],"mmm")</f>
        <v>Jan</v>
      </c>
      <c r="X237">
        <f>ROUNDUP(MONTH(Table1[[#This Row],[Order_Date]])/3,0)</f>
        <v>1</v>
      </c>
      <c r="Y237">
        <f>YEAR(Table1[[#This Row],[Order_Date]])</f>
        <v>2024</v>
      </c>
    </row>
    <row r="238" spans="1:25" x14ac:dyDescent="0.25">
      <c r="A238" t="s">
        <v>1022</v>
      </c>
      <c r="B238" t="s">
        <v>1023</v>
      </c>
      <c r="C238" t="s">
        <v>1024</v>
      </c>
      <c r="D238" t="s">
        <v>1025</v>
      </c>
      <c r="E238" t="s">
        <v>64</v>
      </c>
      <c r="F238" t="s">
        <v>30</v>
      </c>
      <c r="G238" t="s">
        <v>65</v>
      </c>
      <c r="H238" t="s">
        <v>58</v>
      </c>
      <c r="I238" t="s">
        <v>43</v>
      </c>
      <c r="J238" t="s">
        <v>34</v>
      </c>
      <c r="K238">
        <v>4</v>
      </c>
      <c r="L238">
        <v>63.55</v>
      </c>
      <c r="M238" s="3">
        <v>0.15</v>
      </c>
      <c r="N238" t="str">
        <f>VLOOKUP(Table1[[#This Row],[Country]],REF_Country!$A$1:$D$11,2,FALSE)</f>
        <v>Southeast Asia</v>
      </c>
      <c r="O238" t="str">
        <f>VLOOKUP(Table1[[#This Row],[Country]],REF_Country!$A$1:$D$11,3,FALSE)</f>
        <v>ID</v>
      </c>
      <c r="P238">
        <f>VLOOKUP(Table1[[#This Row],[Country]],REF_Country!$A$1:$D$11,4,FALSE)</f>
        <v>0.11</v>
      </c>
      <c r="Q238">
        <f>VLOOKUP(Table1[[#This Row],[Category]],REF_Target!$A$1:$E$6,2,FALSE)</f>
        <v>40000</v>
      </c>
      <c r="R238">
        <f>Table1[[#This Row],[Quantity]]*Table1[[#This Row],[Unit_Price]]</f>
        <v>254.2</v>
      </c>
      <c r="S238">
        <f>Table1[[#This Row],[Gross_Sales]]*Table1[[#This Row],[Discount_Rate]]</f>
        <v>38.129999999999995</v>
      </c>
      <c r="T238">
        <f>Table1[[#This Row],[Gross_Sales]]-Table1[[#This Row],[Discount_Amount]]</f>
        <v>216.07</v>
      </c>
      <c r="U238">
        <f>VLOOKUP(Table1[[#This Row],[Category]],REF_Cost!$A$1:$B$6,2,FALSE)*Table1[[#This Row],[Quantity]]</f>
        <v>480</v>
      </c>
      <c r="V238">
        <f>Table1[[#This Row],[Net_Sales]]-Table1[[#This Row],[Total_Cost]]</f>
        <v>-263.93</v>
      </c>
      <c r="W238" t="str">
        <f>TEXT(Table1[[#This Row],[Order_Date]],"mmm")</f>
        <v>Mar</v>
      </c>
      <c r="X238">
        <f>ROUNDUP(MONTH(Table1[[#This Row],[Order_Date]])/3,0)</f>
        <v>1</v>
      </c>
      <c r="Y238">
        <f>YEAR(Table1[[#This Row],[Order_Date]])</f>
        <v>2024</v>
      </c>
    </row>
    <row r="239" spans="1:25" x14ac:dyDescent="0.25">
      <c r="A239" t="s">
        <v>1026</v>
      </c>
      <c r="B239" t="s">
        <v>1027</v>
      </c>
      <c r="C239" t="s">
        <v>1028</v>
      </c>
      <c r="D239" t="s">
        <v>1029</v>
      </c>
      <c r="E239" t="s">
        <v>116</v>
      </c>
      <c r="F239" t="s">
        <v>40</v>
      </c>
      <c r="G239" t="s">
        <v>144</v>
      </c>
      <c r="H239" t="s">
        <v>32</v>
      </c>
      <c r="I239" t="s">
        <v>96</v>
      </c>
      <c r="J239" t="s">
        <v>73</v>
      </c>
      <c r="K239">
        <v>9</v>
      </c>
      <c r="L239">
        <v>412.82</v>
      </c>
      <c r="M239" s="3">
        <v>0.05</v>
      </c>
      <c r="N239" t="str">
        <f>VLOOKUP(Table1[[#This Row],[Country]],REF_Country!$A$1:$D$11,2,FALSE)</f>
        <v>Southeast Asia</v>
      </c>
      <c r="O239" t="str">
        <f>VLOOKUP(Table1[[#This Row],[Country]],REF_Country!$A$1:$D$11,3,FALSE)</f>
        <v>MY</v>
      </c>
      <c r="P239">
        <f>VLOOKUP(Table1[[#This Row],[Country]],REF_Country!$A$1:$D$11,4,FALSE)</f>
        <v>0.06</v>
      </c>
      <c r="Q239">
        <f>VLOOKUP(Table1[[#This Row],[Category]],REF_Target!$A$1:$E$6,2,FALSE)</f>
        <v>45000</v>
      </c>
      <c r="R239">
        <f>Table1[[#This Row],[Quantity]]*Table1[[#This Row],[Unit_Price]]</f>
        <v>3715.38</v>
      </c>
      <c r="S239">
        <f>Table1[[#This Row],[Gross_Sales]]*Table1[[#This Row],[Discount_Rate]]</f>
        <v>185.76900000000001</v>
      </c>
      <c r="T239">
        <f>Table1[[#This Row],[Gross_Sales]]-Table1[[#This Row],[Discount_Amount]]</f>
        <v>3529.6109999999999</v>
      </c>
      <c r="U239">
        <f>VLOOKUP(Table1[[#This Row],[Category]],REF_Cost!$A$1:$B$6,2,FALSE)*Table1[[#This Row],[Quantity]]</f>
        <v>720</v>
      </c>
      <c r="V239">
        <f>Table1[[#This Row],[Net_Sales]]-Table1[[#This Row],[Total_Cost]]</f>
        <v>2809.6109999999999</v>
      </c>
      <c r="W239" t="str">
        <f>TEXT(Table1[[#This Row],[Order_Date]],"mmm")</f>
        <v>Sep</v>
      </c>
      <c r="X239">
        <f>ROUNDUP(MONTH(Table1[[#This Row],[Order_Date]])/3,0)</f>
        <v>3</v>
      </c>
      <c r="Y239">
        <f>YEAR(Table1[[#This Row],[Order_Date]])</f>
        <v>2024</v>
      </c>
    </row>
    <row r="240" spans="1:25" x14ac:dyDescent="0.25">
      <c r="A240" t="s">
        <v>1030</v>
      </c>
      <c r="B240" t="s">
        <v>1031</v>
      </c>
      <c r="C240" t="s">
        <v>1032</v>
      </c>
      <c r="D240" t="s">
        <v>1033</v>
      </c>
      <c r="E240" t="s">
        <v>39</v>
      </c>
      <c r="F240" t="s">
        <v>84</v>
      </c>
      <c r="G240" t="s">
        <v>205</v>
      </c>
      <c r="H240" t="s">
        <v>42</v>
      </c>
      <c r="I240" t="s">
        <v>51</v>
      </c>
      <c r="J240" t="s">
        <v>73</v>
      </c>
      <c r="K240">
        <v>6</v>
      </c>
      <c r="L240">
        <v>682.85</v>
      </c>
      <c r="M240" s="3">
        <v>0</v>
      </c>
      <c r="N240" t="str">
        <f>VLOOKUP(Table1[[#This Row],[Country]],REF_Country!$A$1:$D$11,2,FALSE)</f>
        <v>Southeast Asia</v>
      </c>
      <c r="O240" t="str">
        <f>VLOOKUP(Table1[[#This Row],[Country]],REF_Country!$A$1:$D$11,3,FALSE)</f>
        <v>TH</v>
      </c>
      <c r="P240">
        <f>VLOOKUP(Table1[[#This Row],[Country]],REF_Country!$A$1:$D$11,4,FALSE)</f>
        <v>7.0000000000000007E-2</v>
      </c>
      <c r="Q240">
        <f>VLOOKUP(Table1[[#This Row],[Category]],REF_Target!$A$1:$E$6,2,FALSE)</f>
        <v>30000</v>
      </c>
      <c r="R240">
        <f>Table1[[#This Row],[Quantity]]*Table1[[#This Row],[Unit_Price]]</f>
        <v>4097.1000000000004</v>
      </c>
      <c r="S240">
        <f>Table1[[#This Row],[Gross_Sales]]*Table1[[#This Row],[Discount_Rate]]</f>
        <v>0</v>
      </c>
      <c r="T240">
        <f>Table1[[#This Row],[Gross_Sales]]-Table1[[#This Row],[Discount_Amount]]</f>
        <v>4097.1000000000004</v>
      </c>
      <c r="U240">
        <f>VLOOKUP(Table1[[#This Row],[Category]],REF_Cost!$A$1:$B$6,2,FALSE)*Table1[[#This Row],[Quantity]]</f>
        <v>1200</v>
      </c>
      <c r="V240">
        <f>Table1[[#This Row],[Net_Sales]]-Table1[[#This Row],[Total_Cost]]</f>
        <v>2897.1000000000004</v>
      </c>
      <c r="W240" t="str">
        <f>TEXT(Table1[[#This Row],[Order_Date]],"mmm")</f>
        <v>Feb</v>
      </c>
      <c r="X240">
        <f>ROUNDUP(MONTH(Table1[[#This Row],[Order_Date]])/3,0)</f>
        <v>1</v>
      </c>
      <c r="Y240">
        <f>YEAR(Table1[[#This Row],[Order_Date]])</f>
        <v>2024</v>
      </c>
    </row>
    <row r="241" spans="1:25" x14ac:dyDescent="0.25">
      <c r="A241" t="s">
        <v>1034</v>
      </c>
      <c r="B241" t="s">
        <v>1035</v>
      </c>
      <c r="C241" t="s">
        <v>1036</v>
      </c>
      <c r="D241" t="s">
        <v>1037</v>
      </c>
      <c r="E241" t="s">
        <v>83</v>
      </c>
      <c r="F241" t="s">
        <v>49</v>
      </c>
      <c r="G241" t="s">
        <v>286</v>
      </c>
      <c r="H241" t="s">
        <v>32</v>
      </c>
      <c r="I241" t="s">
        <v>33</v>
      </c>
      <c r="J241" t="s">
        <v>59</v>
      </c>
      <c r="K241">
        <v>4</v>
      </c>
      <c r="L241">
        <v>929.98</v>
      </c>
      <c r="M241" s="3">
        <v>0</v>
      </c>
      <c r="N241" t="str">
        <f>VLOOKUP(Table1[[#This Row],[Country]],REF_Country!$A$1:$D$11,2,FALSE)</f>
        <v>South Asia</v>
      </c>
      <c r="O241" t="str">
        <f>VLOOKUP(Table1[[#This Row],[Country]],REF_Country!$A$1:$D$11,3,FALSE)</f>
        <v>IN</v>
      </c>
      <c r="P241">
        <f>VLOOKUP(Table1[[#This Row],[Country]],REF_Country!$A$1:$D$11,4,FALSE)</f>
        <v>0.18</v>
      </c>
      <c r="Q241">
        <f>VLOOKUP(Table1[[#This Row],[Category]],REF_Target!$A$1:$E$6,2,FALSE)</f>
        <v>35000</v>
      </c>
      <c r="R241">
        <f>Table1[[#This Row],[Quantity]]*Table1[[#This Row],[Unit_Price]]</f>
        <v>3719.92</v>
      </c>
      <c r="S241">
        <f>Table1[[#This Row],[Gross_Sales]]*Table1[[#This Row],[Discount_Rate]]</f>
        <v>0</v>
      </c>
      <c r="T241">
        <f>Table1[[#This Row],[Gross_Sales]]-Table1[[#This Row],[Discount_Amount]]</f>
        <v>3719.92</v>
      </c>
      <c r="U241">
        <f>VLOOKUP(Table1[[#This Row],[Category]],REF_Cost!$A$1:$B$6,2,FALSE)*Table1[[#This Row],[Quantity]]</f>
        <v>600</v>
      </c>
      <c r="V241">
        <f>Table1[[#This Row],[Net_Sales]]-Table1[[#This Row],[Total_Cost]]</f>
        <v>3119.92</v>
      </c>
      <c r="W241" t="str">
        <f>TEXT(Table1[[#This Row],[Order_Date]],"mmm")</f>
        <v>Oct</v>
      </c>
      <c r="X241">
        <f>ROUNDUP(MONTH(Table1[[#This Row],[Order_Date]])/3,0)</f>
        <v>4</v>
      </c>
      <c r="Y241">
        <f>YEAR(Table1[[#This Row],[Order_Date]])</f>
        <v>2024</v>
      </c>
    </row>
    <row r="242" spans="1:25" x14ac:dyDescent="0.25">
      <c r="A242" t="s">
        <v>1038</v>
      </c>
      <c r="B242" t="s">
        <v>1039</v>
      </c>
      <c r="C242" t="s">
        <v>1040</v>
      </c>
      <c r="D242" t="s">
        <v>1041</v>
      </c>
      <c r="E242" t="s">
        <v>48</v>
      </c>
      <c r="F242" t="s">
        <v>84</v>
      </c>
      <c r="G242" t="s">
        <v>412</v>
      </c>
      <c r="H242" t="s">
        <v>32</v>
      </c>
      <c r="I242" t="s">
        <v>43</v>
      </c>
      <c r="J242" t="s">
        <v>34</v>
      </c>
      <c r="K242">
        <v>5</v>
      </c>
      <c r="L242">
        <v>444.66</v>
      </c>
      <c r="M242" s="3">
        <v>0.15</v>
      </c>
      <c r="N242" t="str">
        <f>VLOOKUP(Table1[[#This Row],[Country]],REF_Country!$A$1:$D$11,2,FALSE)</f>
        <v>Southeast Asia</v>
      </c>
      <c r="O242" t="str">
        <f>VLOOKUP(Table1[[#This Row],[Country]],REF_Country!$A$1:$D$11,3,FALSE)</f>
        <v>SG</v>
      </c>
      <c r="P242">
        <f>VLOOKUP(Table1[[#This Row],[Country]],REF_Country!$A$1:$D$11,4,FALSE)</f>
        <v>7.0000000000000007E-2</v>
      </c>
      <c r="Q242">
        <f>VLOOKUP(Table1[[#This Row],[Category]],REF_Target!$A$1:$E$6,2,FALSE)</f>
        <v>30000</v>
      </c>
      <c r="R242">
        <f>Table1[[#This Row],[Quantity]]*Table1[[#This Row],[Unit_Price]]</f>
        <v>2223.3000000000002</v>
      </c>
      <c r="S242">
        <f>Table1[[#This Row],[Gross_Sales]]*Table1[[#This Row],[Discount_Rate]]</f>
        <v>333.495</v>
      </c>
      <c r="T242">
        <f>Table1[[#This Row],[Gross_Sales]]-Table1[[#This Row],[Discount_Amount]]</f>
        <v>1889.8050000000003</v>
      </c>
      <c r="U242">
        <f>VLOOKUP(Table1[[#This Row],[Category]],REF_Cost!$A$1:$B$6,2,FALSE)*Table1[[#This Row],[Quantity]]</f>
        <v>1000</v>
      </c>
      <c r="V242">
        <f>Table1[[#This Row],[Net_Sales]]-Table1[[#This Row],[Total_Cost]]</f>
        <v>889.80500000000029</v>
      </c>
      <c r="W242" t="str">
        <f>TEXT(Table1[[#This Row],[Order_Date]],"mmm")</f>
        <v>May</v>
      </c>
      <c r="X242">
        <f>ROUNDUP(MONTH(Table1[[#This Row],[Order_Date]])/3,0)</f>
        <v>2</v>
      </c>
      <c r="Y242">
        <f>YEAR(Table1[[#This Row],[Order_Date]])</f>
        <v>2024</v>
      </c>
    </row>
    <row r="243" spans="1:25" x14ac:dyDescent="0.25">
      <c r="A243" t="s">
        <v>1042</v>
      </c>
      <c r="B243" t="s">
        <v>1043</v>
      </c>
      <c r="C243" t="s">
        <v>1044</v>
      </c>
      <c r="D243" t="s">
        <v>1045</v>
      </c>
      <c r="E243" t="s">
        <v>48</v>
      </c>
      <c r="F243" t="s">
        <v>30</v>
      </c>
      <c r="G243" t="s">
        <v>31</v>
      </c>
      <c r="H243" t="s">
        <v>42</v>
      </c>
      <c r="I243" t="s">
        <v>96</v>
      </c>
      <c r="J243" t="s">
        <v>73</v>
      </c>
      <c r="K243">
        <v>4</v>
      </c>
      <c r="L243">
        <v>1071.42</v>
      </c>
      <c r="M243" s="3">
        <v>0.2</v>
      </c>
      <c r="N243" t="str">
        <f>VLOOKUP(Table1[[#This Row],[Country]],REF_Country!$A$1:$D$11,2,FALSE)</f>
        <v>Southeast Asia</v>
      </c>
      <c r="O243" t="str">
        <f>VLOOKUP(Table1[[#This Row],[Country]],REF_Country!$A$1:$D$11,3,FALSE)</f>
        <v>SG</v>
      </c>
      <c r="P243">
        <f>VLOOKUP(Table1[[#This Row],[Country]],REF_Country!$A$1:$D$11,4,FALSE)</f>
        <v>7.0000000000000007E-2</v>
      </c>
      <c r="Q243">
        <f>VLOOKUP(Table1[[#This Row],[Category]],REF_Target!$A$1:$E$6,2,FALSE)</f>
        <v>40000</v>
      </c>
      <c r="R243">
        <f>Table1[[#This Row],[Quantity]]*Table1[[#This Row],[Unit_Price]]</f>
        <v>4285.68</v>
      </c>
      <c r="S243">
        <f>Table1[[#This Row],[Gross_Sales]]*Table1[[#This Row],[Discount_Rate]]</f>
        <v>857.13600000000008</v>
      </c>
      <c r="T243">
        <f>Table1[[#This Row],[Gross_Sales]]-Table1[[#This Row],[Discount_Amount]]</f>
        <v>3428.5440000000003</v>
      </c>
      <c r="U243">
        <f>VLOOKUP(Table1[[#This Row],[Category]],REF_Cost!$A$1:$B$6,2,FALSE)*Table1[[#This Row],[Quantity]]</f>
        <v>480</v>
      </c>
      <c r="V243">
        <f>Table1[[#This Row],[Net_Sales]]-Table1[[#This Row],[Total_Cost]]</f>
        <v>2948.5440000000003</v>
      </c>
      <c r="W243" t="str">
        <f>TEXT(Table1[[#This Row],[Order_Date]],"mmm")</f>
        <v>May</v>
      </c>
      <c r="X243">
        <f>ROUNDUP(MONTH(Table1[[#This Row],[Order_Date]])/3,0)</f>
        <v>2</v>
      </c>
      <c r="Y243">
        <f>YEAR(Table1[[#This Row],[Order_Date]])</f>
        <v>2024</v>
      </c>
    </row>
    <row r="244" spans="1:25" x14ac:dyDescent="0.25">
      <c r="A244" t="s">
        <v>1046</v>
      </c>
      <c r="B244" t="s">
        <v>1047</v>
      </c>
      <c r="C244" t="s">
        <v>1048</v>
      </c>
      <c r="D244" t="s">
        <v>1049</v>
      </c>
      <c r="E244" t="s">
        <v>149</v>
      </c>
      <c r="F244" t="s">
        <v>49</v>
      </c>
      <c r="G244" t="s">
        <v>226</v>
      </c>
      <c r="H244" t="s">
        <v>58</v>
      </c>
      <c r="I244" t="s">
        <v>66</v>
      </c>
      <c r="J244" t="s">
        <v>34</v>
      </c>
      <c r="K244">
        <v>2</v>
      </c>
      <c r="L244">
        <v>127.14</v>
      </c>
      <c r="M244" s="3">
        <v>0.1</v>
      </c>
      <c r="N244" t="str">
        <f>VLOOKUP(Table1[[#This Row],[Country]],REF_Country!$A$1:$D$11,2,FALSE)</f>
        <v>East Asia</v>
      </c>
      <c r="O244" t="str">
        <f>VLOOKUP(Table1[[#This Row],[Country]],REF_Country!$A$1:$D$11,3,FALSE)</f>
        <v>JP</v>
      </c>
      <c r="P244">
        <f>VLOOKUP(Table1[[#This Row],[Country]],REF_Country!$A$1:$D$11,4,FALSE)</f>
        <v>0.1</v>
      </c>
      <c r="Q244">
        <f>VLOOKUP(Table1[[#This Row],[Category]],REF_Target!$A$1:$E$6,2,FALSE)</f>
        <v>35000</v>
      </c>
      <c r="R244">
        <f>Table1[[#This Row],[Quantity]]*Table1[[#This Row],[Unit_Price]]</f>
        <v>254.28</v>
      </c>
      <c r="S244">
        <f>Table1[[#This Row],[Gross_Sales]]*Table1[[#This Row],[Discount_Rate]]</f>
        <v>25.428000000000001</v>
      </c>
      <c r="T244">
        <f>Table1[[#This Row],[Gross_Sales]]-Table1[[#This Row],[Discount_Amount]]</f>
        <v>228.852</v>
      </c>
      <c r="U244">
        <f>VLOOKUP(Table1[[#This Row],[Category]],REF_Cost!$A$1:$B$6,2,FALSE)*Table1[[#This Row],[Quantity]]</f>
        <v>300</v>
      </c>
      <c r="V244">
        <f>Table1[[#This Row],[Net_Sales]]-Table1[[#This Row],[Total_Cost]]</f>
        <v>-71.147999999999996</v>
      </c>
      <c r="W244" t="str">
        <f>TEXT(Table1[[#This Row],[Order_Date]],"mmm")</f>
        <v>Nov</v>
      </c>
      <c r="X244">
        <f>ROUNDUP(MONTH(Table1[[#This Row],[Order_Date]])/3,0)</f>
        <v>4</v>
      </c>
      <c r="Y244">
        <f>YEAR(Table1[[#This Row],[Order_Date]])</f>
        <v>2024</v>
      </c>
    </row>
    <row r="245" spans="1:25" x14ac:dyDescent="0.25">
      <c r="A245" t="s">
        <v>1050</v>
      </c>
      <c r="B245" t="s">
        <v>1051</v>
      </c>
      <c r="C245" t="s">
        <v>1052</v>
      </c>
      <c r="D245" t="s">
        <v>1053</v>
      </c>
      <c r="E245" t="s">
        <v>116</v>
      </c>
      <c r="F245" t="s">
        <v>49</v>
      </c>
      <c r="G245" t="s">
        <v>50</v>
      </c>
      <c r="H245" t="s">
        <v>72</v>
      </c>
      <c r="I245" t="s">
        <v>96</v>
      </c>
      <c r="J245" t="s">
        <v>73</v>
      </c>
      <c r="K245">
        <v>9</v>
      </c>
      <c r="L245">
        <v>1277.4100000000001</v>
      </c>
      <c r="M245" s="3">
        <v>0.1</v>
      </c>
      <c r="N245" t="str">
        <f>VLOOKUP(Table1[[#This Row],[Country]],REF_Country!$A$1:$D$11,2,FALSE)</f>
        <v>Southeast Asia</v>
      </c>
      <c r="O245" t="str">
        <f>VLOOKUP(Table1[[#This Row],[Country]],REF_Country!$A$1:$D$11,3,FALSE)</f>
        <v>MY</v>
      </c>
      <c r="P245">
        <f>VLOOKUP(Table1[[#This Row],[Country]],REF_Country!$A$1:$D$11,4,FALSE)</f>
        <v>0.06</v>
      </c>
      <c r="Q245">
        <f>VLOOKUP(Table1[[#This Row],[Category]],REF_Target!$A$1:$E$6,2,FALSE)</f>
        <v>35000</v>
      </c>
      <c r="R245">
        <f>Table1[[#This Row],[Quantity]]*Table1[[#This Row],[Unit_Price]]</f>
        <v>11496.69</v>
      </c>
      <c r="S245">
        <f>Table1[[#This Row],[Gross_Sales]]*Table1[[#This Row],[Discount_Rate]]</f>
        <v>1149.6690000000001</v>
      </c>
      <c r="T245">
        <f>Table1[[#This Row],[Gross_Sales]]-Table1[[#This Row],[Discount_Amount]]</f>
        <v>10347.021000000001</v>
      </c>
      <c r="U245">
        <f>VLOOKUP(Table1[[#This Row],[Category]],REF_Cost!$A$1:$B$6,2,FALSE)*Table1[[#This Row],[Quantity]]</f>
        <v>1350</v>
      </c>
      <c r="V245">
        <f>Table1[[#This Row],[Net_Sales]]-Table1[[#This Row],[Total_Cost]]</f>
        <v>8997.0210000000006</v>
      </c>
      <c r="W245" t="str">
        <f>TEXT(Table1[[#This Row],[Order_Date]],"mmm")</f>
        <v>Jun</v>
      </c>
      <c r="X245">
        <f>ROUNDUP(MONTH(Table1[[#This Row],[Order_Date]])/3,0)</f>
        <v>2</v>
      </c>
      <c r="Y245">
        <f>YEAR(Table1[[#This Row],[Order_Date]])</f>
        <v>2024</v>
      </c>
    </row>
    <row r="246" spans="1:25" x14ac:dyDescent="0.25">
      <c r="A246" t="s">
        <v>1054</v>
      </c>
      <c r="B246" t="s">
        <v>1055</v>
      </c>
      <c r="C246" t="s">
        <v>1056</v>
      </c>
      <c r="D246" t="s">
        <v>1057</v>
      </c>
      <c r="E246" t="s">
        <v>29</v>
      </c>
      <c r="F246" t="s">
        <v>84</v>
      </c>
      <c r="G246" t="s">
        <v>90</v>
      </c>
      <c r="H246" t="s">
        <v>58</v>
      </c>
      <c r="I246" t="s">
        <v>51</v>
      </c>
      <c r="J246" t="s">
        <v>126</v>
      </c>
      <c r="K246">
        <v>10</v>
      </c>
      <c r="L246">
        <v>873.23</v>
      </c>
      <c r="M246" s="3">
        <v>0.1</v>
      </c>
      <c r="N246" t="str">
        <f>VLOOKUP(Table1[[#This Row],[Country]],REF_Country!$A$1:$D$11,2,FALSE)</f>
        <v>Southeast Asia</v>
      </c>
      <c r="O246" t="str">
        <f>VLOOKUP(Table1[[#This Row],[Country]],REF_Country!$A$1:$D$11,3,FALSE)</f>
        <v>VN</v>
      </c>
      <c r="P246">
        <f>VLOOKUP(Table1[[#This Row],[Country]],REF_Country!$A$1:$D$11,4,FALSE)</f>
        <v>0.1</v>
      </c>
      <c r="Q246">
        <f>VLOOKUP(Table1[[#This Row],[Category]],REF_Target!$A$1:$E$6,2,FALSE)</f>
        <v>30000</v>
      </c>
      <c r="R246">
        <f>Table1[[#This Row],[Quantity]]*Table1[[#This Row],[Unit_Price]]</f>
        <v>8732.2999999999993</v>
      </c>
      <c r="S246">
        <f>Table1[[#This Row],[Gross_Sales]]*Table1[[#This Row],[Discount_Rate]]</f>
        <v>873.23</v>
      </c>
      <c r="T246">
        <f>Table1[[#This Row],[Gross_Sales]]-Table1[[#This Row],[Discount_Amount]]</f>
        <v>7859.07</v>
      </c>
      <c r="U246">
        <f>VLOOKUP(Table1[[#This Row],[Category]],REF_Cost!$A$1:$B$6,2,FALSE)*Table1[[#This Row],[Quantity]]</f>
        <v>2000</v>
      </c>
      <c r="V246">
        <f>Table1[[#This Row],[Net_Sales]]-Table1[[#This Row],[Total_Cost]]</f>
        <v>5859.07</v>
      </c>
      <c r="W246" t="str">
        <f>TEXT(Table1[[#This Row],[Order_Date]],"mmm")</f>
        <v>May</v>
      </c>
      <c r="X246">
        <f>ROUNDUP(MONTH(Table1[[#This Row],[Order_Date]])/3,0)</f>
        <v>2</v>
      </c>
      <c r="Y246">
        <f>YEAR(Table1[[#This Row],[Order_Date]])</f>
        <v>2024</v>
      </c>
    </row>
    <row r="247" spans="1:25" x14ac:dyDescent="0.25">
      <c r="A247" t="s">
        <v>1058</v>
      </c>
      <c r="B247" t="s">
        <v>1059</v>
      </c>
      <c r="C247" t="s">
        <v>1060</v>
      </c>
      <c r="D247" t="s">
        <v>1061</v>
      </c>
      <c r="E247" t="s">
        <v>116</v>
      </c>
      <c r="F247" t="s">
        <v>30</v>
      </c>
      <c r="G247" t="s">
        <v>195</v>
      </c>
      <c r="H247" t="s">
        <v>72</v>
      </c>
      <c r="I247" t="s">
        <v>66</v>
      </c>
      <c r="J247" t="s">
        <v>73</v>
      </c>
      <c r="K247">
        <v>7</v>
      </c>
      <c r="L247">
        <v>692.93</v>
      </c>
      <c r="M247" s="3">
        <v>0</v>
      </c>
      <c r="N247" t="str">
        <f>VLOOKUP(Table1[[#This Row],[Country]],REF_Country!$A$1:$D$11,2,FALSE)</f>
        <v>Southeast Asia</v>
      </c>
      <c r="O247" t="str">
        <f>VLOOKUP(Table1[[#This Row],[Country]],REF_Country!$A$1:$D$11,3,FALSE)</f>
        <v>MY</v>
      </c>
      <c r="P247">
        <f>VLOOKUP(Table1[[#This Row],[Country]],REF_Country!$A$1:$D$11,4,FALSE)</f>
        <v>0.06</v>
      </c>
      <c r="Q247">
        <f>VLOOKUP(Table1[[#This Row],[Category]],REF_Target!$A$1:$E$6,2,FALSE)</f>
        <v>40000</v>
      </c>
      <c r="R247">
        <f>Table1[[#This Row],[Quantity]]*Table1[[#This Row],[Unit_Price]]</f>
        <v>4850.5099999999993</v>
      </c>
      <c r="S247">
        <f>Table1[[#This Row],[Gross_Sales]]*Table1[[#This Row],[Discount_Rate]]</f>
        <v>0</v>
      </c>
      <c r="T247">
        <f>Table1[[#This Row],[Gross_Sales]]-Table1[[#This Row],[Discount_Amount]]</f>
        <v>4850.5099999999993</v>
      </c>
      <c r="U247">
        <f>VLOOKUP(Table1[[#This Row],[Category]],REF_Cost!$A$1:$B$6,2,FALSE)*Table1[[#This Row],[Quantity]]</f>
        <v>840</v>
      </c>
      <c r="V247">
        <f>Table1[[#This Row],[Net_Sales]]-Table1[[#This Row],[Total_Cost]]</f>
        <v>4010.5099999999993</v>
      </c>
      <c r="W247" t="str">
        <f>TEXT(Table1[[#This Row],[Order_Date]],"mmm")</f>
        <v>Nov</v>
      </c>
      <c r="X247">
        <f>ROUNDUP(MONTH(Table1[[#This Row],[Order_Date]])/3,0)</f>
        <v>4</v>
      </c>
      <c r="Y247">
        <f>YEAR(Table1[[#This Row],[Order_Date]])</f>
        <v>2024</v>
      </c>
    </row>
    <row r="248" spans="1:25" x14ac:dyDescent="0.25">
      <c r="A248" t="s">
        <v>1062</v>
      </c>
      <c r="B248" t="s">
        <v>1063</v>
      </c>
      <c r="C248" t="s">
        <v>1064</v>
      </c>
      <c r="D248" t="s">
        <v>1065</v>
      </c>
      <c r="E248" t="s">
        <v>29</v>
      </c>
      <c r="F248" t="s">
        <v>56</v>
      </c>
      <c r="G248" t="s">
        <v>190</v>
      </c>
      <c r="H248" t="s">
        <v>42</v>
      </c>
      <c r="I248" t="s">
        <v>66</v>
      </c>
      <c r="J248" t="s">
        <v>73</v>
      </c>
      <c r="K248">
        <v>3</v>
      </c>
      <c r="L248">
        <v>1001.8</v>
      </c>
      <c r="M248" s="3">
        <v>0</v>
      </c>
      <c r="N248" t="str">
        <f>VLOOKUP(Table1[[#This Row],[Country]],REF_Country!$A$1:$D$11,2,FALSE)</f>
        <v>Southeast Asia</v>
      </c>
      <c r="O248" t="str">
        <f>VLOOKUP(Table1[[#This Row],[Country]],REF_Country!$A$1:$D$11,3,FALSE)</f>
        <v>VN</v>
      </c>
      <c r="P248">
        <f>VLOOKUP(Table1[[#This Row],[Country]],REF_Country!$A$1:$D$11,4,FALSE)</f>
        <v>0.1</v>
      </c>
      <c r="Q248">
        <f>VLOOKUP(Table1[[#This Row],[Category]],REF_Target!$A$1:$E$6,2,FALSE)</f>
        <v>50000</v>
      </c>
      <c r="R248">
        <f>Table1[[#This Row],[Quantity]]*Table1[[#This Row],[Unit_Price]]</f>
        <v>3005.3999999999996</v>
      </c>
      <c r="S248">
        <f>Table1[[#This Row],[Gross_Sales]]*Table1[[#This Row],[Discount_Rate]]</f>
        <v>0</v>
      </c>
      <c r="T248">
        <f>Table1[[#This Row],[Gross_Sales]]-Table1[[#This Row],[Discount_Amount]]</f>
        <v>3005.3999999999996</v>
      </c>
      <c r="U248">
        <f>VLOOKUP(Table1[[#This Row],[Category]],REF_Cost!$A$1:$B$6,2,FALSE)*Table1[[#This Row],[Quantity]]</f>
        <v>1350</v>
      </c>
      <c r="V248">
        <f>Table1[[#This Row],[Net_Sales]]-Table1[[#This Row],[Total_Cost]]</f>
        <v>1655.3999999999996</v>
      </c>
      <c r="W248" t="str">
        <f>TEXT(Table1[[#This Row],[Order_Date]],"mmm")</f>
        <v>Feb</v>
      </c>
      <c r="X248">
        <f>ROUNDUP(MONTH(Table1[[#This Row],[Order_Date]])/3,0)</f>
        <v>1</v>
      </c>
      <c r="Y248">
        <f>YEAR(Table1[[#This Row],[Order_Date]])</f>
        <v>2024</v>
      </c>
    </row>
    <row r="249" spans="1:25" x14ac:dyDescent="0.25">
      <c r="A249" t="s">
        <v>1066</v>
      </c>
      <c r="B249" t="s">
        <v>1067</v>
      </c>
      <c r="C249" t="s">
        <v>1068</v>
      </c>
      <c r="D249" t="s">
        <v>1069</v>
      </c>
      <c r="E249" t="s">
        <v>116</v>
      </c>
      <c r="F249" t="s">
        <v>56</v>
      </c>
      <c r="G249" t="s">
        <v>95</v>
      </c>
      <c r="H249" t="s">
        <v>72</v>
      </c>
      <c r="I249" t="s">
        <v>33</v>
      </c>
      <c r="J249" t="s">
        <v>34</v>
      </c>
      <c r="K249">
        <v>3</v>
      </c>
      <c r="L249">
        <v>723.06</v>
      </c>
      <c r="M249" s="3">
        <v>0.15</v>
      </c>
      <c r="N249" t="str">
        <f>VLOOKUP(Table1[[#This Row],[Country]],REF_Country!$A$1:$D$11,2,FALSE)</f>
        <v>Southeast Asia</v>
      </c>
      <c r="O249" t="str">
        <f>VLOOKUP(Table1[[#This Row],[Country]],REF_Country!$A$1:$D$11,3,FALSE)</f>
        <v>MY</v>
      </c>
      <c r="P249">
        <f>VLOOKUP(Table1[[#This Row],[Country]],REF_Country!$A$1:$D$11,4,FALSE)</f>
        <v>0.06</v>
      </c>
      <c r="Q249">
        <f>VLOOKUP(Table1[[#This Row],[Category]],REF_Target!$A$1:$E$6,2,FALSE)</f>
        <v>50000</v>
      </c>
      <c r="R249">
        <f>Table1[[#This Row],[Quantity]]*Table1[[#This Row],[Unit_Price]]</f>
        <v>2169.1799999999998</v>
      </c>
      <c r="S249">
        <f>Table1[[#This Row],[Gross_Sales]]*Table1[[#This Row],[Discount_Rate]]</f>
        <v>325.37699999999995</v>
      </c>
      <c r="T249">
        <f>Table1[[#This Row],[Gross_Sales]]-Table1[[#This Row],[Discount_Amount]]</f>
        <v>1843.8029999999999</v>
      </c>
      <c r="U249">
        <f>VLOOKUP(Table1[[#This Row],[Category]],REF_Cost!$A$1:$B$6,2,FALSE)*Table1[[#This Row],[Quantity]]</f>
        <v>1350</v>
      </c>
      <c r="V249">
        <f>Table1[[#This Row],[Net_Sales]]-Table1[[#This Row],[Total_Cost]]</f>
        <v>493.80299999999988</v>
      </c>
      <c r="W249" t="str">
        <f>TEXT(Table1[[#This Row],[Order_Date]],"mmm")</f>
        <v>Dec</v>
      </c>
      <c r="X249">
        <f>ROUNDUP(MONTH(Table1[[#This Row],[Order_Date]])/3,0)</f>
        <v>4</v>
      </c>
      <c r="Y249">
        <f>YEAR(Table1[[#This Row],[Order_Date]])</f>
        <v>2024</v>
      </c>
    </row>
    <row r="250" spans="1:25" x14ac:dyDescent="0.25">
      <c r="A250" t="s">
        <v>1070</v>
      </c>
      <c r="B250" t="s">
        <v>1071</v>
      </c>
      <c r="C250" t="s">
        <v>1072</v>
      </c>
      <c r="D250" t="s">
        <v>1073</v>
      </c>
      <c r="E250" t="s">
        <v>116</v>
      </c>
      <c r="F250" t="s">
        <v>49</v>
      </c>
      <c r="G250" t="s">
        <v>286</v>
      </c>
      <c r="H250" t="s">
        <v>32</v>
      </c>
      <c r="I250" t="s">
        <v>51</v>
      </c>
      <c r="J250" t="s">
        <v>126</v>
      </c>
      <c r="K250">
        <v>4</v>
      </c>
      <c r="L250">
        <v>724.38</v>
      </c>
      <c r="M250" s="3">
        <v>0.1</v>
      </c>
      <c r="N250" t="str">
        <f>VLOOKUP(Table1[[#This Row],[Country]],REF_Country!$A$1:$D$11,2,FALSE)</f>
        <v>Southeast Asia</v>
      </c>
      <c r="O250" t="str">
        <f>VLOOKUP(Table1[[#This Row],[Country]],REF_Country!$A$1:$D$11,3,FALSE)</f>
        <v>MY</v>
      </c>
      <c r="P250">
        <f>VLOOKUP(Table1[[#This Row],[Country]],REF_Country!$A$1:$D$11,4,FALSE)</f>
        <v>0.06</v>
      </c>
      <c r="Q250">
        <f>VLOOKUP(Table1[[#This Row],[Category]],REF_Target!$A$1:$E$6,2,FALSE)</f>
        <v>35000</v>
      </c>
      <c r="R250">
        <f>Table1[[#This Row],[Quantity]]*Table1[[#This Row],[Unit_Price]]</f>
        <v>2897.52</v>
      </c>
      <c r="S250">
        <f>Table1[[#This Row],[Gross_Sales]]*Table1[[#This Row],[Discount_Rate]]</f>
        <v>289.75200000000001</v>
      </c>
      <c r="T250">
        <f>Table1[[#This Row],[Gross_Sales]]-Table1[[#This Row],[Discount_Amount]]</f>
        <v>2607.768</v>
      </c>
      <c r="U250">
        <f>VLOOKUP(Table1[[#This Row],[Category]],REF_Cost!$A$1:$B$6,2,FALSE)*Table1[[#This Row],[Quantity]]</f>
        <v>600</v>
      </c>
      <c r="V250">
        <f>Table1[[#This Row],[Net_Sales]]-Table1[[#This Row],[Total_Cost]]</f>
        <v>2007.768</v>
      </c>
      <c r="W250" t="str">
        <f>TEXT(Table1[[#This Row],[Order_Date]],"mmm")</f>
        <v>Jan</v>
      </c>
      <c r="X250">
        <f>ROUNDUP(MONTH(Table1[[#This Row],[Order_Date]])/3,0)</f>
        <v>1</v>
      </c>
      <c r="Y250">
        <f>YEAR(Table1[[#This Row],[Order_Date]])</f>
        <v>2024</v>
      </c>
    </row>
    <row r="251" spans="1:25" x14ac:dyDescent="0.25">
      <c r="A251" t="s">
        <v>1074</v>
      </c>
      <c r="B251" t="s">
        <v>1075</v>
      </c>
      <c r="C251" t="s">
        <v>1076</v>
      </c>
      <c r="D251" t="s">
        <v>1077</v>
      </c>
      <c r="E251" t="s">
        <v>149</v>
      </c>
      <c r="F251" t="s">
        <v>30</v>
      </c>
      <c r="G251" t="s">
        <v>31</v>
      </c>
      <c r="H251" t="s">
        <v>72</v>
      </c>
      <c r="I251" t="s">
        <v>96</v>
      </c>
      <c r="J251" t="s">
        <v>59</v>
      </c>
      <c r="K251">
        <v>10</v>
      </c>
      <c r="L251">
        <v>116.59</v>
      </c>
      <c r="M251" s="3">
        <v>0</v>
      </c>
      <c r="N251" t="str">
        <f>VLOOKUP(Table1[[#This Row],[Country]],REF_Country!$A$1:$D$11,2,FALSE)</f>
        <v>East Asia</v>
      </c>
      <c r="O251" t="str">
        <f>VLOOKUP(Table1[[#This Row],[Country]],REF_Country!$A$1:$D$11,3,FALSE)</f>
        <v>JP</v>
      </c>
      <c r="P251">
        <f>VLOOKUP(Table1[[#This Row],[Country]],REF_Country!$A$1:$D$11,4,FALSE)</f>
        <v>0.1</v>
      </c>
      <c r="Q251">
        <f>VLOOKUP(Table1[[#This Row],[Category]],REF_Target!$A$1:$E$6,2,FALSE)</f>
        <v>40000</v>
      </c>
      <c r="R251">
        <f>Table1[[#This Row],[Quantity]]*Table1[[#This Row],[Unit_Price]]</f>
        <v>1165.9000000000001</v>
      </c>
      <c r="S251">
        <f>Table1[[#This Row],[Gross_Sales]]*Table1[[#This Row],[Discount_Rate]]</f>
        <v>0</v>
      </c>
      <c r="T251">
        <f>Table1[[#This Row],[Gross_Sales]]-Table1[[#This Row],[Discount_Amount]]</f>
        <v>1165.9000000000001</v>
      </c>
      <c r="U251">
        <f>VLOOKUP(Table1[[#This Row],[Category]],REF_Cost!$A$1:$B$6,2,FALSE)*Table1[[#This Row],[Quantity]]</f>
        <v>1200</v>
      </c>
      <c r="V251">
        <f>Table1[[#This Row],[Net_Sales]]-Table1[[#This Row],[Total_Cost]]</f>
        <v>-34.099999999999909</v>
      </c>
      <c r="W251" t="str">
        <f>TEXT(Table1[[#This Row],[Order_Date]],"mmm")</f>
        <v>Jul</v>
      </c>
      <c r="X251">
        <f>ROUNDUP(MONTH(Table1[[#This Row],[Order_Date]])/3,0)</f>
        <v>3</v>
      </c>
      <c r="Y251">
        <f>YEAR(Table1[[#This Row],[Order_Date]])</f>
        <v>2024</v>
      </c>
    </row>
    <row r="252" spans="1:25" x14ac:dyDescent="0.25">
      <c r="A252" t="s">
        <v>1078</v>
      </c>
      <c r="B252" t="s">
        <v>1079</v>
      </c>
      <c r="C252" t="s">
        <v>1080</v>
      </c>
      <c r="D252" t="s">
        <v>1081</v>
      </c>
      <c r="E252" t="s">
        <v>149</v>
      </c>
      <c r="F252" t="s">
        <v>40</v>
      </c>
      <c r="G252" t="s">
        <v>565</v>
      </c>
      <c r="H252" t="s">
        <v>72</v>
      </c>
      <c r="I252" t="s">
        <v>51</v>
      </c>
      <c r="J252" t="s">
        <v>34</v>
      </c>
      <c r="K252">
        <v>2</v>
      </c>
      <c r="L252">
        <v>1292.04</v>
      </c>
      <c r="M252" s="3">
        <v>0</v>
      </c>
      <c r="N252" t="str">
        <f>VLOOKUP(Table1[[#This Row],[Country]],REF_Country!$A$1:$D$11,2,FALSE)</f>
        <v>East Asia</v>
      </c>
      <c r="O252" t="str">
        <f>VLOOKUP(Table1[[#This Row],[Country]],REF_Country!$A$1:$D$11,3,FALSE)</f>
        <v>JP</v>
      </c>
      <c r="P252">
        <f>VLOOKUP(Table1[[#This Row],[Country]],REF_Country!$A$1:$D$11,4,FALSE)</f>
        <v>0.1</v>
      </c>
      <c r="Q252">
        <f>VLOOKUP(Table1[[#This Row],[Category]],REF_Target!$A$1:$E$6,2,FALSE)</f>
        <v>45000</v>
      </c>
      <c r="R252">
        <f>Table1[[#This Row],[Quantity]]*Table1[[#This Row],[Unit_Price]]</f>
        <v>2584.08</v>
      </c>
      <c r="S252">
        <f>Table1[[#This Row],[Gross_Sales]]*Table1[[#This Row],[Discount_Rate]]</f>
        <v>0</v>
      </c>
      <c r="T252">
        <f>Table1[[#This Row],[Gross_Sales]]-Table1[[#This Row],[Discount_Amount]]</f>
        <v>2584.08</v>
      </c>
      <c r="U252">
        <f>VLOOKUP(Table1[[#This Row],[Category]],REF_Cost!$A$1:$B$6,2,FALSE)*Table1[[#This Row],[Quantity]]</f>
        <v>160</v>
      </c>
      <c r="V252">
        <f>Table1[[#This Row],[Net_Sales]]-Table1[[#This Row],[Total_Cost]]</f>
        <v>2424.08</v>
      </c>
      <c r="W252" t="str">
        <f>TEXT(Table1[[#This Row],[Order_Date]],"mmm")</f>
        <v>Nov</v>
      </c>
      <c r="X252">
        <f>ROUNDUP(MONTH(Table1[[#This Row],[Order_Date]])/3,0)</f>
        <v>4</v>
      </c>
      <c r="Y252">
        <f>YEAR(Table1[[#This Row],[Order_Date]])</f>
        <v>2024</v>
      </c>
    </row>
    <row r="253" spans="1:25" x14ac:dyDescent="0.25">
      <c r="A253" t="s">
        <v>1082</v>
      </c>
      <c r="B253" t="s">
        <v>1083</v>
      </c>
      <c r="C253" t="s">
        <v>1084</v>
      </c>
      <c r="D253" t="s">
        <v>1085</v>
      </c>
      <c r="E253" t="s">
        <v>48</v>
      </c>
      <c r="F253" t="s">
        <v>30</v>
      </c>
      <c r="G253" t="s">
        <v>65</v>
      </c>
      <c r="H253" t="s">
        <v>58</v>
      </c>
      <c r="I253" t="s">
        <v>51</v>
      </c>
      <c r="J253" t="s">
        <v>59</v>
      </c>
      <c r="K253">
        <v>4</v>
      </c>
      <c r="L253">
        <v>972.26</v>
      </c>
      <c r="M253" s="3">
        <v>0.15</v>
      </c>
      <c r="N253" t="str">
        <f>VLOOKUP(Table1[[#This Row],[Country]],REF_Country!$A$1:$D$11,2,FALSE)</f>
        <v>Southeast Asia</v>
      </c>
      <c r="O253" t="str">
        <f>VLOOKUP(Table1[[#This Row],[Country]],REF_Country!$A$1:$D$11,3,FALSE)</f>
        <v>SG</v>
      </c>
      <c r="P253">
        <f>VLOOKUP(Table1[[#This Row],[Country]],REF_Country!$A$1:$D$11,4,FALSE)</f>
        <v>7.0000000000000007E-2</v>
      </c>
      <c r="Q253">
        <f>VLOOKUP(Table1[[#This Row],[Category]],REF_Target!$A$1:$E$6,2,FALSE)</f>
        <v>40000</v>
      </c>
      <c r="R253">
        <f>Table1[[#This Row],[Quantity]]*Table1[[#This Row],[Unit_Price]]</f>
        <v>3889.04</v>
      </c>
      <c r="S253">
        <f>Table1[[#This Row],[Gross_Sales]]*Table1[[#This Row],[Discount_Rate]]</f>
        <v>583.35599999999999</v>
      </c>
      <c r="T253">
        <f>Table1[[#This Row],[Gross_Sales]]-Table1[[#This Row],[Discount_Amount]]</f>
        <v>3305.6840000000002</v>
      </c>
      <c r="U253">
        <f>VLOOKUP(Table1[[#This Row],[Category]],REF_Cost!$A$1:$B$6,2,FALSE)*Table1[[#This Row],[Quantity]]</f>
        <v>480</v>
      </c>
      <c r="V253">
        <f>Table1[[#This Row],[Net_Sales]]-Table1[[#This Row],[Total_Cost]]</f>
        <v>2825.6840000000002</v>
      </c>
      <c r="W253" t="str">
        <f>TEXT(Table1[[#This Row],[Order_Date]],"mmm")</f>
        <v>Aug</v>
      </c>
      <c r="X253">
        <f>ROUNDUP(MONTH(Table1[[#This Row],[Order_Date]])/3,0)</f>
        <v>3</v>
      </c>
      <c r="Y253">
        <f>YEAR(Table1[[#This Row],[Order_Date]])</f>
        <v>2024</v>
      </c>
    </row>
    <row r="254" spans="1:25" x14ac:dyDescent="0.25">
      <c r="A254" t="s">
        <v>1086</v>
      </c>
      <c r="B254" t="s">
        <v>1087</v>
      </c>
      <c r="C254" t="s">
        <v>1088</v>
      </c>
      <c r="D254" t="s">
        <v>1089</v>
      </c>
      <c r="E254" t="s">
        <v>39</v>
      </c>
      <c r="F254" t="s">
        <v>49</v>
      </c>
      <c r="G254" t="s">
        <v>50</v>
      </c>
      <c r="H254" t="s">
        <v>42</v>
      </c>
      <c r="I254" t="s">
        <v>51</v>
      </c>
      <c r="J254" t="s">
        <v>73</v>
      </c>
      <c r="K254">
        <v>4</v>
      </c>
      <c r="L254">
        <v>974.56</v>
      </c>
      <c r="M254" s="3">
        <v>0.1</v>
      </c>
      <c r="N254" t="str">
        <f>VLOOKUP(Table1[[#This Row],[Country]],REF_Country!$A$1:$D$11,2,FALSE)</f>
        <v>Southeast Asia</v>
      </c>
      <c r="O254" t="str">
        <f>VLOOKUP(Table1[[#This Row],[Country]],REF_Country!$A$1:$D$11,3,FALSE)</f>
        <v>TH</v>
      </c>
      <c r="P254">
        <f>VLOOKUP(Table1[[#This Row],[Country]],REF_Country!$A$1:$D$11,4,FALSE)</f>
        <v>7.0000000000000007E-2</v>
      </c>
      <c r="Q254">
        <f>VLOOKUP(Table1[[#This Row],[Category]],REF_Target!$A$1:$E$6,2,FALSE)</f>
        <v>35000</v>
      </c>
      <c r="R254">
        <f>Table1[[#This Row],[Quantity]]*Table1[[#This Row],[Unit_Price]]</f>
        <v>3898.24</v>
      </c>
      <c r="S254">
        <f>Table1[[#This Row],[Gross_Sales]]*Table1[[#This Row],[Discount_Rate]]</f>
        <v>389.82400000000001</v>
      </c>
      <c r="T254">
        <f>Table1[[#This Row],[Gross_Sales]]-Table1[[#This Row],[Discount_Amount]]</f>
        <v>3508.4159999999997</v>
      </c>
      <c r="U254">
        <f>VLOOKUP(Table1[[#This Row],[Category]],REF_Cost!$A$1:$B$6,2,FALSE)*Table1[[#This Row],[Quantity]]</f>
        <v>600</v>
      </c>
      <c r="V254">
        <f>Table1[[#This Row],[Net_Sales]]-Table1[[#This Row],[Total_Cost]]</f>
        <v>2908.4159999999997</v>
      </c>
      <c r="W254" t="str">
        <f>TEXT(Table1[[#This Row],[Order_Date]],"mmm")</f>
        <v>Sep</v>
      </c>
      <c r="X254">
        <f>ROUNDUP(MONTH(Table1[[#This Row],[Order_Date]])/3,0)</f>
        <v>3</v>
      </c>
      <c r="Y254">
        <f>YEAR(Table1[[#This Row],[Order_Date]])</f>
        <v>2024</v>
      </c>
    </row>
    <row r="255" spans="1:25" x14ac:dyDescent="0.25">
      <c r="A255" t="s">
        <v>1090</v>
      </c>
      <c r="B255" t="s">
        <v>1091</v>
      </c>
      <c r="C255" t="s">
        <v>1092</v>
      </c>
      <c r="D255" t="s">
        <v>1093</v>
      </c>
      <c r="E255" t="s">
        <v>78</v>
      </c>
      <c r="F255" t="s">
        <v>56</v>
      </c>
      <c r="G255" t="s">
        <v>190</v>
      </c>
      <c r="H255" t="s">
        <v>42</v>
      </c>
      <c r="I255" t="s">
        <v>66</v>
      </c>
      <c r="J255" t="s">
        <v>73</v>
      </c>
      <c r="K255">
        <v>3</v>
      </c>
      <c r="L255">
        <v>1401.88</v>
      </c>
      <c r="M255" s="3">
        <v>0.1</v>
      </c>
      <c r="N255" t="str">
        <f>VLOOKUP(Table1[[#This Row],[Country]],REF_Country!$A$1:$D$11,2,FALSE)</f>
        <v>Oceania</v>
      </c>
      <c r="O255" t="str">
        <f>VLOOKUP(Table1[[#This Row],[Country]],REF_Country!$A$1:$D$11,3,FALSE)</f>
        <v>AU</v>
      </c>
      <c r="P255">
        <f>VLOOKUP(Table1[[#This Row],[Country]],REF_Country!$A$1:$D$11,4,FALSE)</f>
        <v>0.1</v>
      </c>
      <c r="Q255">
        <f>VLOOKUP(Table1[[#This Row],[Category]],REF_Target!$A$1:$E$6,2,FALSE)</f>
        <v>50000</v>
      </c>
      <c r="R255">
        <f>Table1[[#This Row],[Quantity]]*Table1[[#This Row],[Unit_Price]]</f>
        <v>4205.6400000000003</v>
      </c>
      <c r="S255">
        <f>Table1[[#This Row],[Gross_Sales]]*Table1[[#This Row],[Discount_Rate]]</f>
        <v>420.56400000000008</v>
      </c>
      <c r="T255">
        <f>Table1[[#This Row],[Gross_Sales]]-Table1[[#This Row],[Discount_Amount]]</f>
        <v>3785.076</v>
      </c>
      <c r="U255">
        <f>VLOOKUP(Table1[[#This Row],[Category]],REF_Cost!$A$1:$B$6,2,FALSE)*Table1[[#This Row],[Quantity]]</f>
        <v>1350</v>
      </c>
      <c r="V255">
        <f>Table1[[#This Row],[Net_Sales]]-Table1[[#This Row],[Total_Cost]]</f>
        <v>2435.076</v>
      </c>
      <c r="W255" t="str">
        <f>TEXT(Table1[[#This Row],[Order_Date]],"mmm")</f>
        <v>Nov</v>
      </c>
      <c r="X255">
        <f>ROUNDUP(MONTH(Table1[[#This Row],[Order_Date]])/3,0)</f>
        <v>4</v>
      </c>
      <c r="Y255">
        <f>YEAR(Table1[[#This Row],[Order_Date]])</f>
        <v>2024</v>
      </c>
    </row>
    <row r="256" spans="1:25" x14ac:dyDescent="0.25">
      <c r="A256" t="s">
        <v>1094</v>
      </c>
      <c r="B256" t="s">
        <v>1095</v>
      </c>
      <c r="C256" t="s">
        <v>1096</v>
      </c>
      <c r="D256" t="s">
        <v>1097</v>
      </c>
      <c r="E256" t="s">
        <v>116</v>
      </c>
      <c r="F256" t="s">
        <v>56</v>
      </c>
      <c r="G256" t="s">
        <v>190</v>
      </c>
      <c r="H256" t="s">
        <v>58</v>
      </c>
      <c r="I256" t="s">
        <v>33</v>
      </c>
      <c r="J256" t="s">
        <v>34</v>
      </c>
      <c r="K256">
        <v>1</v>
      </c>
      <c r="L256">
        <v>335.38</v>
      </c>
      <c r="M256" s="3">
        <v>0.1</v>
      </c>
      <c r="N256" t="str">
        <f>VLOOKUP(Table1[[#This Row],[Country]],REF_Country!$A$1:$D$11,2,FALSE)</f>
        <v>Southeast Asia</v>
      </c>
      <c r="O256" t="str">
        <f>VLOOKUP(Table1[[#This Row],[Country]],REF_Country!$A$1:$D$11,3,FALSE)</f>
        <v>MY</v>
      </c>
      <c r="P256">
        <f>VLOOKUP(Table1[[#This Row],[Country]],REF_Country!$A$1:$D$11,4,FALSE)</f>
        <v>0.06</v>
      </c>
      <c r="Q256">
        <f>VLOOKUP(Table1[[#This Row],[Category]],REF_Target!$A$1:$E$6,2,FALSE)</f>
        <v>50000</v>
      </c>
      <c r="R256">
        <f>Table1[[#This Row],[Quantity]]*Table1[[#This Row],[Unit_Price]]</f>
        <v>335.38</v>
      </c>
      <c r="S256">
        <f>Table1[[#This Row],[Gross_Sales]]*Table1[[#This Row],[Discount_Rate]]</f>
        <v>33.538000000000004</v>
      </c>
      <c r="T256">
        <f>Table1[[#This Row],[Gross_Sales]]-Table1[[#This Row],[Discount_Amount]]</f>
        <v>301.84199999999998</v>
      </c>
      <c r="U256">
        <f>VLOOKUP(Table1[[#This Row],[Category]],REF_Cost!$A$1:$B$6,2,FALSE)*Table1[[#This Row],[Quantity]]</f>
        <v>450</v>
      </c>
      <c r="V256">
        <f>Table1[[#This Row],[Net_Sales]]-Table1[[#This Row],[Total_Cost]]</f>
        <v>-148.15800000000002</v>
      </c>
      <c r="W256" t="str">
        <f>TEXT(Table1[[#This Row],[Order_Date]],"mmm")</f>
        <v>Feb</v>
      </c>
      <c r="X256">
        <f>ROUNDUP(MONTH(Table1[[#This Row],[Order_Date]])/3,0)</f>
        <v>1</v>
      </c>
      <c r="Y256">
        <f>YEAR(Table1[[#This Row],[Order_Date]])</f>
        <v>2024</v>
      </c>
    </row>
    <row r="257" spans="1:25" x14ac:dyDescent="0.25">
      <c r="A257" t="s">
        <v>1098</v>
      </c>
      <c r="B257" t="s">
        <v>1099</v>
      </c>
      <c r="C257" t="s">
        <v>1100</v>
      </c>
      <c r="D257" t="s">
        <v>1101</v>
      </c>
      <c r="E257" t="s">
        <v>78</v>
      </c>
      <c r="F257" t="s">
        <v>40</v>
      </c>
      <c r="G257" t="s">
        <v>41</v>
      </c>
      <c r="H257" t="s">
        <v>32</v>
      </c>
      <c r="I257" t="s">
        <v>33</v>
      </c>
      <c r="J257" t="s">
        <v>73</v>
      </c>
      <c r="K257">
        <v>2</v>
      </c>
      <c r="L257">
        <v>241.73</v>
      </c>
      <c r="M257" s="3">
        <v>0.05</v>
      </c>
      <c r="N257" t="str">
        <f>VLOOKUP(Table1[[#This Row],[Country]],REF_Country!$A$1:$D$11,2,FALSE)</f>
        <v>Oceania</v>
      </c>
      <c r="O257" t="str">
        <f>VLOOKUP(Table1[[#This Row],[Country]],REF_Country!$A$1:$D$11,3,FALSE)</f>
        <v>AU</v>
      </c>
      <c r="P257">
        <f>VLOOKUP(Table1[[#This Row],[Country]],REF_Country!$A$1:$D$11,4,FALSE)</f>
        <v>0.1</v>
      </c>
      <c r="Q257">
        <f>VLOOKUP(Table1[[#This Row],[Category]],REF_Target!$A$1:$E$6,2,FALSE)</f>
        <v>45000</v>
      </c>
      <c r="R257">
        <f>Table1[[#This Row],[Quantity]]*Table1[[#This Row],[Unit_Price]]</f>
        <v>483.46</v>
      </c>
      <c r="S257">
        <f>Table1[[#This Row],[Gross_Sales]]*Table1[[#This Row],[Discount_Rate]]</f>
        <v>24.173000000000002</v>
      </c>
      <c r="T257">
        <f>Table1[[#This Row],[Gross_Sales]]-Table1[[#This Row],[Discount_Amount]]</f>
        <v>459.28699999999998</v>
      </c>
      <c r="U257">
        <f>VLOOKUP(Table1[[#This Row],[Category]],REF_Cost!$A$1:$B$6,2,FALSE)*Table1[[#This Row],[Quantity]]</f>
        <v>160</v>
      </c>
      <c r="V257">
        <f>Table1[[#This Row],[Net_Sales]]-Table1[[#This Row],[Total_Cost]]</f>
        <v>299.28699999999998</v>
      </c>
      <c r="W257" t="str">
        <f>TEXT(Table1[[#This Row],[Order_Date]],"mmm")</f>
        <v>Dec</v>
      </c>
      <c r="X257">
        <f>ROUNDUP(MONTH(Table1[[#This Row],[Order_Date]])/3,0)</f>
        <v>4</v>
      </c>
      <c r="Y257">
        <f>YEAR(Table1[[#This Row],[Order_Date]])</f>
        <v>2024</v>
      </c>
    </row>
    <row r="258" spans="1:25" x14ac:dyDescent="0.25">
      <c r="A258" t="s">
        <v>1102</v>
      </c>
      <c r="B258" t="s">
        <v>1103</v>
      </c>
      <c r="C258" t="s">
        <v>1104</v>
      </c>
      <c r="D258" t="s">
        <v>1105</v>
      </c>
      <c r="E258" t="s">
        <v>83</v>
      </c>
      <c r="F258" t="s">
        <v>56</v>
      </c>
      <c r="G258" t="s">
        <v>190</v>
      </c>
      <c r="H258" t="s">
        <v>72</v>
      </c>
      <c r="I258" t="s">
        <v>51</v>
      </c>
      <c r="J258" t="s">
        <v>34</v>
      </c>
      <c r="K258">
        <v>4</v>
      </c>
      <c r="L258">
        <v>1052.53</v>
      </c>
      <c r="M258" s="3">
        <v>0</v>
      </c>
      <c r="N258" t="str">
        <f>VLOOKUP(Table1[[#This Row],[Country]],REF_Country!$A$1:$D$11,2,FALSE)</f>
        <v>South Asia</v>
      </c>
      <c r="O258" t="str">
        <f>VLOOKUP(Table1[[#This Row],[Country]],REF_Country!$A$1:$D$11,3,FALSE)</f>
        <v>IN</v>
      </c>
      <c r="P258">
        <f>VLOOKUP(Table1[[#This Row],[Country]],REF_Country!$A$1:$D$11,4,FALSE)</f>
        <v>0.18</v>
      </c>
      <c r="Q258">
        <f>VLOOKUP(Table1[[#This Row],[Category]],REF_Target!$A$1:$E$6,2,FALSE)</f>
        <v>50000</v>
      </c>
      <c r="R258">
        <f>Table1[[#This Row],[Quantity]]*Table1[[#This Row],[Unit_Price]]</f>
        <v>4210.12</v>
      </c>
      <c r="S258">
        <f>Table1[[#This Row],[Gross_Sales]]*Table1[[#This Row],[Discount_Rate]]</f>
        <v>0</v>
      </c>
      <c r="T258">
        <f>Table1[[#This Row],[Gross_Sales]]-Table1[[#This Row],[Discount_Amount]]</f>
        <v>4210.12</v>
      </c>
      <c r="U258">
        <f>VLOOKUP(Table1[[#This Row],[Category]],REF_Cost!$A$1:$B$6,2,FALSE)*Table1[[#This Row],[Quantity]]</f>
        <v>1800</v>
      </c>
      <c r="V258">
        <f>Table1[[#This Row],[Net_Sales]]-Table1[[#This Row],[Total_Cost]]</f>
        <v>2410.12</v>
      </c>
      <c r="W258" t="str">
        <f>TEXT(Table1[[#This Row],[Order_Date]],"mmm")</f>
        <v>Oct</v>
      </c>
      <c r="X258">
        <f>ROUNDUP(MONTH(Table1[[#This Row],[Order_Date]])/3,0)</f>
        <v>4</v>
      </c>
      <c r="Y258">
        <f>YEAR(Table1[[#This Row],[Order_Date]])</f>
        <v>2024</v>
      </c>
    </row>
    <row r="259" spans="1:25" x14ac:dyDescent="0.25">
      <c r="A259" t="s">
        <v>1106</v>
      </c>
      <c r="B259" t="s">
        <v>1107</v>
      </c>
      <c r="C259" t="s">
        <v>1108</v>
      </c>
      <c r="D259" t="s">
        <v>1109</v>
      </c>
      <c r="E259" t="s">
        <v>64</v>
      </c>
      <c r="F259" t="s">
        <v>84</v>
      </c>
      <c r="G259" t="s">
        <v>85</v>
      </c>
      <c r="H259" t="s">
        <v>32</v>
      </c>
      <c r="I259" t="s">
        <v>43</v>
      </c>
      <c r="J259" t="s">
        <v>34</v>
      </c>
      <c r="K259">
        <v>3</v>
      </c>
      <c r="L259">
        <v>192.37</v>
      </c>
      <c r="M259" s="3">
        <v>0.2</v>
      </c>
      <c r="N259" t="str">
        <f>VLOOKUP(Table1[[#This Row],[Country]],REF_Country!$A$1:$D$11,2,FALSE)</f>
        <v>Southeast Asia</v>
      </c>
      <c r="O259" t="str">
        <f>VLOOKUP(Table1[[#This Row],[Country]],REF_Country!$A$1:$D$11,3,FALSE)</f>
        <v>ID</v>
      </c>
      <c r="P259">
        <f>VLOOKUP(Table1[[#This Row],[Country]],REF_Country!$A$1:$D$11,4,FALSE)</f>
        <v>0.11</v>
      </c>
      <c r="Q259">
        <f>VLOOKUP(Table1[[#This Row],[Category]],REF_Target!$A$1:$E$6,2,FALSE)</f>
        <v>30000</v>
      </c>
      <c r="R259">
        <f>Table1[[#This Row],[Quantity]]*Table1[[#This Row],[Unit_Price]]</f>
        <v>577.11</v>
      </c>
      <c r="S259">
        <f>Table1[[#This Row],[Gross_Sales]]*Table1[[#This Row],[Discount_Rate]]</f>
        <v>115.42200000000001</v>
      </c>
      <c r="T259">
        <f>Table1[[#This Row],[Gross_Sales]]-Table1[[#This Row],[Discount_Amount]]</f>
        <v>461.68799999999999</v>
      </c>
      <c r="U259">
        <f>VLOOKUP(Table1[[#This Row],[Category]],REF_Cost!$A$1:$B$6,2,FALSE)*Table1[[#This Row],[Quantity]]</f>
        <v>600</v>
      </c>
      <c r="V259">
        <f>Table1[[#This Row],[Net_Sales]]-Table1[[#This Row],[Total_Cost]]</f>
        <v>-138.31200000000001</v>
      </c>
      <c r="W259" t="str">
        <f>TEXT(Table1[[#This Row],[Order_Date]],"mmm")</f>
        <v>Aug</v>
      </c>
      <c r="X259">
        <f>ROUNDUP(MONTH(Table1[[#This Row],[Order_Date]])/3,0)</f>
        <v>3</v>
      </c>
      <c r="Y259">
        <f>YEAR(Table1[[#This Row],[Order_Date]])</f>
        <v>2024</v>
      </c>
    </row>
    <row r="260" spans="1:25" x14ac:dyDescent="0.25">
      <c r="A260" t="s">
        <v>1110</v>
      </c>
      <c r="B260" t="s">
        <v>1111</v>
      </c>
      <c r="C260" t="s">
        <v>1112</v>
      </c>
      <c r="D260" t="s">
        <v>1113</v>
      </c>
      <c r="E260" t="s">
        <v>29</v>
      </c>
      <c r="F260" t="s">
        <v>30</v>
      </c>
      <c r="G260" t="s">
        <v>65</v>
      </c>
      <c r="H260" t="s">
        <v>32</v>
      </c>
      <c r="I260" t="s">
        <v>51</v>
      </c>
      <c r="J260" t="s">
        <v>59</v>
      </c>
      <c r="K260">
        <v>5</v>
      </c>
      <c r="L260">
        <v>203.49</v>
      </c>
      <c r="M260" s="3">
        <v>0.2</v>
      </c>
      <c r="N260" t="str">
        <f>VLOOKUP(Table1[[#This Row],[Country]],REF_Country!$A$1:$D$11,2,FALSE)</f>
        <v>Southeast Asia</v>
      </c>
      <c r="O260" t="str">
        <f>VLOOKUP(Table1[[#This Row],[Country]],REF_Country!$A$1:$D$11,3,FALSE)</f>
        <v>VN</v>
      </c>
      <c r="P260">
        <f>VLOOKUP(Table1[[#This Row],[Country]],REF_Country!$A$1:$D$11,4,FALSE)</f>
        <v>0.1</v>
      </c>
      <c r="Q260">
        <f>VLOOKUP(Table1[[#This Row],[Category]],REF_Target!$A$1:$E$6,2,FALSE)</f>
        <v>40000</v>
      </c>
      <c r="R260">
        <f>Table1[[#This Row],[Quantity]]*Table1[[#This Row],[Unit_Price]]</f>
        <v>1017.45</v>
      </c>
      <c r="S260">
        <f>Table1[[#This Row],[Gross_Sales]]*Table1[[#This Row],[Discount_Rate]]</f>
        <v>203.49</v>
      </c>
      <c r="T260">
        <f>Table1[[#This Row],[Gross_Sales]]-Table1[[#This Row],[Discount_Amount]]</f>
        <v>813.96</v>
      </c>
      <c r="U260">
        <f>VLOOKUP(Table1[[#This Row],[Category]],REF_Cost!$A$1:$B$6,2,FALSE)*Table1[[#This Row],[Quantity]]</f>
        <v>600</v>
      </c>
      <c r="V260">
        <f>Table1[[#This Row],[Net_Sales]]-Table1[[#This Row],[Total_Cost]]</f>
        <v>213.96000000000004</v>
      </c>
      <c r="W260" t="str">
        <f>TEXT(Table1[[#This Row],[Order_Date]],"mmm")</f>
        <v>Sep</v>
      </c>
      <c r="X260">
        <f>ROUNDUP(MONTH(Table1[[#This Row],[Order_Date]])/3,0)</f>
        <v>3</v>
      </c>
      <c r="Y260">
        <f>YEAR(Table1[[#This Row],[Order_Date]])</f>
        <v>2024</v>
      </c>
    </row>
    <row r="261" spans="1:25" x14ac:dyDescent="0.25">
      <c r="A261" t="s">
        <v>1114</v>
      </c>
      <c r="B261" t="s">
        <v>1115</v>
      </c>
      <c r="C261" t="s">
        <v>1116</v>
      </c>
      <c r="D261" t="s">
        <v>1117</v>
      </c>
      <c r="E261" t="s">
        <v>29</v>
      </c>
      <c r="F261" t="s">
        <v>40</v>
      </c>
      <c r="G261" t="s">
        <v>144</v>
      </c>
      <c r="H261" t="s">
        <v>32</v>
      </c>
      <c r="I261" t="s">
        <v>96</v>
      </c>
      <c r="J261" t="s">
        <v>73</v>
      </c>
      <c r="K261">
        <v>9</v>
      </c>
      <c r="L261">
        <v>751.78</v>
      </c>
      <c r="M261" s="3">
        <v>0.05</v>
      </c>
      <c r="N261" t="str">
        <f>VLOOKUP(Table1[[#This Row],[Country]],REF_Country!$A$1:$D$11,2,FALSE)</f>
        <v>Southeast Asia</v>
      </c>
      <c r="O261" t="str">
        <f>VLOOKUP(Table1[[#This Row],[Country]],REF_Country!$A$1:$D$11,3,FALSE)</f>
        <v>VN</v>
      </c>
      <c r="P261">
        <f>VLOOKUP(Table1[[#This Row],[Country]],REF_Country!$A$1:$D$11,4,FALSE)</f>
        <v>0.1</v>
      </c>
      <c r="Q261">
        <f>VLOOKUP(Table1[[#This Row],[Category]],REF_Target!$A$1:$E$6,2,FALSE)</f>
        <v>45000</v>
      </c>
      <c r="R261">
        <f>Table1[[#This Row],[Quantity]]*Table1[[#This Row],[Unit_Price]]</f>
        <v>6766.0199999999995</v>
      </c>
      <c r="S261">
        <f>Table1[[#This Row],[Gross_Sales]]*Table1[[#This Row],[Discount_Rate]]</f>
        <v>338.30099999999999</v>
      </c>
      <c r="T261">
        <f>Table1[[#This Row],[Gross_Sales]]-Table1[[#This Row],[Discount_Amount]]</f>
        <v>6427.7189999999991</v>
      </c>
      <c r="U261">
        <f>VLOOKUP(Table1[[#This Row],[Category]],REF_Cost!$A$1:$B$6,2,FALSE)*Table1[[#This Row],[Quantity]]</f>
        <v>720</v>
      </c>
      <c r="V261">
        <f>Table1[[#This Row],[Net_Sales]]-Table1[[#This Row],[Total_Cost]]</f>
        <v>5707.7189999999991</v>
      </c>
      <c r="W261" t="str">
        <f>TEXT(Table1[[#This Row],[Order_Date]],"mmm")</f>
        <v>May</v>
      </c>
      <c r="X261">
        <f>ROUNDUP(MONTH(Table1[[#This Row],[Order_Date]])/3,0)</f>
        <v>2</v>
      </c>
      <c r="Y261">
        <f>YEAR(Table1[[#This Row],[Order_Date]])</f>
        <v>2024</v>
      </c>
    </row>
    <row r="262" spans="1:25" x14ac:dyDescent="0.25">
      <c r="A262" t="s">
        <v>1118</v>
      </c>
      <c r="B262" t="s">
        <v>1119</v>
      </c>
      <c r="C262" t="s">
        <v>1120</v>
      </c>
      <c r="D262" t="s">
        <v>1121</v>
      </c>
      <c r="E262" t="s">
        <v>116</v>
      </c>
      <c r="F262" t="s">
        <v>40</v>
      </c>
      <c r="G262" t="s">
        <v>144</v>
      </c>
      <c r="H262" t="s">
        <v>32</v>
      </c>
      <c r="I262" t="s">
        <v>51</v>
      </c>
      <c r="J262" t="s">
        <v>73</v>
      </c>
      <c r="K262">
        <v>9</v>
      </c>
      <c r="L262">
        <v>354.18</v>
      </c>
      <c r="M262" s="3">
        <v>0</v>
      </c>
      <c r="N262" t="str">
        <f>VLOOKUP(Table1[[#This Row],[Country]],REF_Country!$A$1:$D$11,2,FALSE)</f>
        <v>Southeast Asia</v>
      </c>
      <c r="O262" t="str">
        <f>VLOOKUP(Table1[[#This Row],[Country]],REF_Country!$A$1:$D$11,3,FALSE)</f>
        <v>MY</v>
      </c>
      <c r="P262">
        <f>VLOOKUP(Table1[[#This Row],[Country]],REF_Country!$A$1:$D$11,4,FALSE)</f>
        <v>0.06</v>
      </c>
      <c r="Q262">
        <f>VLOOKUP(Table1[[#This Row],[Category]],REF_Target!$A$1:$E$6,2,FALSE)</f>
        <v>45000</v>
      </c>
      <c r="R262">
        <f>Table1[[#This Row],[Quantity]]*Table1[[#This Row],[Unit_Price]]</f>
        <v>3187.62</v>
      </c>
      <c r="S262">
        <f>Table1[[#This Row],[Gross_Sales]]*Table1[[#This Row],[Discount_Rate]]</f>
        <v>0</v>
      </c>
      <c r="T262">
        <f>Table1[[#This Row],[Gross_Sales]]-Table1[[#This Row],[Discount_Amount]]</f>
        <v>3187.62</v>
      </c>
      <c r="U262">
        <f>VLOOKUP(Table1[[#This Row],[Category]],REF_Cost!$A$1:$B$6,2,FALSE)*Table1[[#This Row],[Quantity]]</f>
        <v>720</v>
      </c>
      <c r="V262">
        <f>Table1[[#This Row],[Net_Sales]]-Table1[[#This Row],[Total_Cost]]</f>
        <v>2467.62</v>
      </c>
      <c r="W262" t="str">
        <f>TEXT(Table1[[#This Row],[Order_Date]],"mmm")</f>
        <v>Mar</v>
      </c>
      <c r="X262">
        <f>ROUNDUP(MONTH(Table1[[#This Row],[Order_Date]])/3,0)</f>
        <v>1</v>
      </c>
      <c r="Y262">
        <f>YEAR(Table1[[#This Row],[Order_Date]])</f>
        <v>2024</v>
      </c>
    </row>
    <row r="263" spans="1:25" x14ac:dyDescent="0.25">
      <c r="A263" t="s">
        <v>1122</v>
      </c>
      <c r="B263" t="s">
        <v>1123</v>
      </c>
      <c r="C263" t="s">
        <v>1124</v>
      </c>
      <c r="D263" t="s">
        <v>1125</v>
      </c>
      <c r="E263" t="s">
        <v>48</v>
      </c>
      <c r="F263" t="s">
        <v>30</v>
      </c>
      <c r="G263" t="s">
        <v>269</v>
      </c>
      <c r="H263" t="s">
        <v>58</v>
      </c>
      <c r="I263" t="s">
        <v>43</v>
      </c>
      <c r="J263" t="s">
        <v>34</v>
      </c>
      <c r="K263">
        <v>7</v>
      </c>
      <c r="L263">
        <v>836</v>
      </c>
      <c r="M263" s="3">
        <v>0</v>
      </c>
      <c r="N263" t="str">
        <f>VLOOKUP(Table1[[#This Row],[Country]],REF_Country!$A$1:$D$11,2,FALSE)</f>
        <v>Southeast Asia</v>
      </c>
      <c r="O263" t="str">
        <f>VLOOKUP(Table1[[#This Row],[Country]],REF_Country!$A$1:$D$11,3,FALSE)</f>
        <v>SG</v>
      </c>
      <c r="P263">
        <f>VLOOKUP(Table1[[#This Row],[Country]],REF_Country!$A$1:$D$11,4,FALSE)</f>
        <v>7.0000000000000007E-2</v>
      </c>
      <c r="Q263">
        <f>VLOOKUP(Table1[[#This Row],[Category]],REF_Target!$A$1:$E$6,2,FALSE)</f>
        <v>40000</v>
      </c>
      <c r="R263">
        <f>Table1[[#This Row],[Quantity]]*Table1[[#This Row],[Unit_Price]]</f>
        <v>5852</v>
      </c>
      <c r="S263">
        <f>Table1[[#This Row],[Gross_Sales]]*Table1[[#This Row],[Discount_Rate]]</f>
        <v>0</v>
      </c>
      <c r="T263">
        <f>Table1[[#This Row],[Gross_Sales]]-Table1[[#This Row],[Discount_Amount]]</f>
        <v>5852</v>
      </c>
      <c r="U263">
        <f>VLOOKUP(Table1[[#This Row],[Category]],REF_Cost!$A$1:$B$6,2,FALSE)*Table1[[#This Row],[Quantity]]</f>
        <v>840</v>
      </c>
      <c r="V263">
        <f>Table1[[#This Row],[Net_Sales]]-Table1[[#This Row],[Total_Cost]]</f>
        <v>5012</v>
      </c>
      <c r="W263" t="str">
        <f>TEXT(Table1[[#This Row],[Order_Date]],"mmm")</f>
        <v>Aug</v>
      </c>
      <c r="X263">
        <f>ROUNDUP(MONTH(Table1[[#This Row],[Order_Date]])/3,0)</f>
        <v>3</v>
      </c>
      <c r="Y263">
        <f>YEAR(Table1[[#This Row],[Order_Date]])</f>
        <v>2024</v>
      </c>
    </row>
    <row r="264" spans="1:25" x14ac:dyDescent="0.25">
      <c r="A264" t="s">
        <v>1126</v>
      </c>
      <c r="B264" t="s">
        <v>1127</v>
      </c>
      <c r="C264" t="s">
        <v>1128</v>
      </c>
      <c r="D264" t="s">
        <v>1129</v>
      </c>
      <c r="E264" t="s">
        <v>71</v>
      </c>
      <c r="F264" t="s">
        <v>56</v>
      </c>
      <c r="G264" t="s">
        <v>111</v>
      </c>
      <c r="H264" t="s">
        <v>72</v>
      </c>
      <c r="I264" t="s">
        <v>33</v>
      </c>
      <c r="J264" t="s">
        <v>126</v>
      </c>
      <c r="K264">
        <v>1</v>
      </c>
      <c r="L264">
        <v>1014.89</v>
      </c>
      <c r="M264" s="3">
        <v>0</v>
      </c>
      <c r="N264" t="str">
        <f>VLOOKUP(Table1[[#This Row],[Country]],REF_Country!$A$1:$D$11,2,FALSE)</f>
        <v>Southeast Asia</v>
      </c>
      <c r="O264" t="str">
        <f>VLOOKUP(Table1[[#This Row],[Country]],REF_Country!$A$1:$D$11,3,FALSE)</f>
        <v>PH</v>
      </c>
      <c r="P264">
        <f>VLOOKUP(Table1[[#This Row],[Country]],REF_Country!$A$1:$D$11,4,FALSE)</f>
        <v>0.12</v>
      </c>
      <c r="Q264">
        <f>VLOOKUP(Table1[[#This Row],[Category]],REF_Target!$A$1:$E$6,2,FALSE)</f>
        <v>50000</v>
      </c>
      <c r="R264">
        <f>Table1[[#This Row],[Quantity]]*Table1[[#This Row],[Unit_Price]]</f>
        <v>1014.89</v>
      </c>
      <c r="S264">
        <f>Table1[[#This Row],[Gross_Sales]]*Table1[[#This Row],[Discount_Rate]]</f>
        <v>0</v>
      </c>
      <c r="T264">
        <f>Table1[[#This Row],[Gross_Sales]]-Table1[[#This Row],[Discount_Amount]]</f>
        <v>1014.89</v>
      </c>
      <c r="U264">
        <f>VLOOKUP(Table1[[#This Row],[Category]],REF_Cost!$A$1:$B$6,2,FALSE)*Table1[[#This Row],[Quantity]]</f>
        <v>450</v>
      </c>
      <c r="V264">
        <f>Table1[[#This Row],[Net_Sales]]-Table1[[#This Row],[Total_Cost]]</f>
        <v>564.89</v>
      </c>
      <c r="W264" t="str">
        <f>TEXT(Table1[[#This Row],[Order_Date]],"mmm")</f>
        <v>May</v>
      </c>
      <c r="X264">
        <f>ROUNDUP(MONTH(Table1[[#This Row],[Order_Date]])/3,0)</f>
        <v>2</v>
      </c>
      <c r="Y264">
        <f>YEAR(Table1[[#This Row],[Order_Date]])</f>
        <v>2024</v>
      </c>
    </row>
    <row r="265" spans="1:25" x14ac:dyDescent="0.25">
      <c r="A265" t="s">
        <v>1130</v>
      </c>
      <c r="B265" t="s">
        <v>1131</v>
      </c>
      <c r="C265" t="s">
        <v>1132</v>
      </c>
      <c r="D265" t="s">
        <v>1133</v>
      </c>
      <c r="E265" t="s">
        <v>29</v>
      </c>
      <c r="F265" t="s">
        <v>84</v>
      </c>
      <c r="G265" t="s">
        <v>412</v>
      </c>
      <c r="H265" t="s">
        <v>58</v>
      </c>
      <c r="I265" t="s">
        <v>43</v>
      </c>
      <c r="J265" t="s">
        <v>59</v>
      </c>
      <c r="K265">
        <v>8</v>
      </c>
      <c r="L265">
        <v>143.28</v>
      </c>
      <c r="M265" s="3">
        <v>0</v>
      </c>
      <c r="N265" t="str">
        <f>VLOOKUP(Table1[[#This Row],[Country]],REF_Country!$A$1:$D$11,2,FALSE)</f>
        <v>Southeast Asia</v>
      </c>
      <c r="O265" t="str">
        <f>VLOOKUP(Table1[[#This Row],[Country]],REF_Country!$A$1:$D$11,3,FALSE)</f>
        <v>VN</v>
      </c>
      <c r="P265">
        <f>VLOOKUP(Table1[[#This Row],[Country]],REF_Country!$A$1:$D$11,4,FALSE)</f>
        <v>0.1</v>
      </c>
      <c r="Q265">
        <f>VLOOKUP(Table1[[#This Row],[Category]],REF_Target!$A$1:$E$6,2,FALSE)</f>
        <v>30000</v>
      </c>
      <c r="R265">
        <f>Table1[[#This Row],[Quantity]]*Table1[[#This Row],[Unit_Price]]</f>
        <v>1146.24</v>
      </c>
      <c r="S265">
        <f>Table1[[#This Row],[Gross_Sales]]*Table1[[#This Row],[Discount_Rate]]</f>
        <v>0</v>
      </c>
      <c r="T265">
        <f>Table1[[#This Row],[Gross_Sales]]-Table1[[#This Row],[Discount_Amount]]</f>
        <v>1146.24</v>
      </c>
      <c r="U265">
        <f>VLOOKUP(Table1[[#This Row],[Category]],REF_Cost!$A$1:$B$6,2,FALSE)*Table1[[#This Row],[Quantity]]</f>
        <v>1600</v>
      </c>
      <c r="V265">
        <f>Table1[[#This Row],[Net_Sales]]-Table1[[#This Row],[Total_Cost]]</f>
        <v>-453.76</v>
      </c>
      <c r="W265" t="str">
        <f>TEXT(Table1[[#This Row],[Order_Date]],"mmm")</f>
        <v>Feb</v>
      </c>
      <c r="X265">
        <f>ROUNDUP(MONTH(Table1[[#This Row],[Order_Date]])/3,0)</f>
        <v>1</v>
      </c>
      <c r="Y265">
        <f>YEAR(Table1[[#This Row],[Order_Date]])</f>
        <v>2024</v>
      </c>
    </row>
    <row r="266" spans="1:25" x14ac:dyDescent="0.25">
      <c r="A266" t="s">
        <v>1134</v>
      </c>
      <c r="B266" t="s">
        <v>1135</v>
      </c>
      <c r="C266" t="s">
        <v>1136</v>
      </c>
      <c r="D266" t="s">
        <v>1137</v>
      </c>
      <c r="E266" t="s">
        <v>39</v>
      </c>
      <c r="F266" t="s">
        <v>49</v>
      </c>
      <c r="G266" t="s">
        <v>50</v>
      </c>
      <c r="H266" t="s">
        <v>72</v>
      </c>
      <c r="I266" t="s">
        <v>43</v>
      </c>
      <c r="J266" t="s">
        <v>126</v>
      </c>
      <c r="K266">
        <v>8</v>
      </c>
      <c r="L266">
        <v>893.66</v>
      </c>
      <c r="M266" s="3">
        <v>0</v>
      </c>
      <c r="N266" t="str">
        <f>VLOOKUP(Table1[[#This Row],[Country]],REF_Country!$A$1:$D$11,2,FALSE)</f>
        <v>Southeast Asia</v>
      </c>
      <c r="O266" t="str">
        <f>VLOOKUP(Table1[[#This Row],[Country]],REF_Country!$A$1:$D$11,3,FALSE)</f>
        <v>TH</v>
      </c>
      <c r="P266">
        <f>VLOOKUP(Table1[[#This Row],[Country]],REF_Country!$A$1:$D$11,4,FALSE)</f>
        <v>7.0000000000000007E-2</v>
      </c>
      <c r="Q266">
        <f>VLOOKUP(Table1[[#This Row],[Category]],REF_Target!$A$1:$E$6,2,FALSE)</f>
        <v>35000</v>
      </c>
      <c r="R266">
        <f>Table1[[#This Row],[Quantity]]*Table1[[#This Row],[Unit_Price]]</f>
        <v>7149.28</v>
      </c>
      <c r="S266">
        <f>Table1[[#This Row],[Gross_Sales]]*Table1[[#This Row],[Discount_Rate]]</f>
        <v>0</v>
      </c>
      <c r="T266">
        <f>Table1[[#This Row],[Gross_Sales]]-Table1[[#This Row],[Discount_Amount]]</f>
        <v>7149.28</v>
      </c>
      <c r="U266">
        <f>VLOOKUP(Table1[[#This Row],[Category]],REF_Cost!$A$1:$B$6,2,FALSE)*Table1[[#This Row],[Quantity]]</f>
        <v>1200</v>
      </c>
      <c r="V266">
        <f>Table1[[#This Row],[Net_Sales]]-Table1[[#This Row],[Total_Cost]]</f>
        <v>5949.28</v>
      </c>
      <c r="W266" t="str">
        <f>TEXT(Table1[[#This Row],[Order_Date]],"mmm")</f>
        <v>Jun</v>
      </c>
      <c r="X266">
        <f>ROUNDUP(MONTH(Table1[[#This Row],[Order_Date]])/3,0)</f>
        <v>2</v>
      </c>
      <c r="Y266">
        <f>YEAR(Table1[[#This Row],[Order_Date]])</f>
        <v>2024</v>
      </c>
    </row>
    <row r="267" spans="1:25" x14ac:dyDescent="0.25">
      <c r="A267" t="s">
        <v>1138</v>
      </c>
      <c r="B267" t="s">
        <v>1139</v>
      </c>
      <c r="C267" t="s">
        <v>1140</v>
      </c>
      <c r="D267" t="s">
        <v>1141</v>
      </c>
      <c r="E267" t="s">
        <v>71</v>
      </c>
      <c r="F267" t="s">
        <v>56</v>
      </c>
      <c r="G267" t="s">
        <v>190</v>
      </c>
      <c r="H267" t="s">
        <v>58</v>
      </c>
      <c r="I267" t="s">
        <v>51</v>
      </c>
      <c r="J267" t="s">
        <v>73</v>
      </c>
      <c r="K267">
        <v>7</v>
      </c>
      <c r="L267">
        <v>17.170000000000002</v>
      </c>
      <c r="M267" s="3">
        <v>0.2</v>
      </c>
      <c r="N267" t="str">
        <f>VLOOKUP(Table1[[#This Row],[Country]],REF_Country!$A$1:$D$11,2,FALSE)</f>
        <v>Southeast Asia</v>
      </c>
      <c r="O267" t="str">
        <f>VLOOKUP(Table1[[#This Row],[Country]],REF_Country!$A$1:$D$11,3,FALSE)</f>
        <v>PH</v>
      </c>
      <c r="P267">
        <f>VLOOKUP(Table1[[#This Row],[Country]],REF_Country!$A$1:$D$11,4,FALSE)</f>
        <v>0.12</v>
      </c>
      <c r="Q267">
        <f>VLOOKUP(Table1[[#This Row],[Category]],REF_Target!$A$1:$E$6,2,FALSE)</f>
        <v>50000</v>
      </c>
      <c r="R267">
        <f>Table1[[#This Row],[Quantity]]*Table1[[#This Row],[Unit_Price]]</f>
        <v>120.19000000000001</v>
      </c>
      <c r="S267">
        <f>Table1[[#This Row],[Gross_Sales]]*Table1[[#This Row],[Discount_Rate]]</f>
        <v>24.038000000000004</v>
      </c>
      <c r="T267">
        <f>Table1[[#This Row],[Gross_Sales]]-Table1[[#This Row],[Discount_Amount]]</f>
        <v>96.152000000000015</v>
      </c>
      <c r="U267">
        <f>VLOOKUP(Table1[[#This Row],[Category]],REF_Cost!$A$1:$B$6,2,FALSE)*Table1[[#This Row],[Quantity]]</f>
        <v>3150</v>
      </c>
      <c r="V267">
        <f>Table1[[#This Row],[Net_Sales]]-Table1[[#This Row],[Total_Cost]]</f>
        <v>-3053.848</v>
      </c>
      <c r="W267" t="str">
        <f>TEXT(Table1[[#This Row],[Order_Date]],"mmm")</f>
        <v>Jan</v>
      </c>
      <c r="X267">
        <f>ROUNDUP(MONTH(Table1[[#This Row],[Order_Date]])/3,0)</f>
        <v>1</v>
      </c>
      <c r="Y267">
        <f>YEAR(Table1[[#This Row],[Order_Date]])</f>
        <v>2024</v>
      </c>
    </row>
    <row r="268" spans="1:25" x14ac:dyDescent="0.25">
      <c r="A268" t="s">
        <v>1142</v>
      </c>
      <c r="B268" t="s">
        <v>1143</v>
      </c>
      <c r="C268" t="s">
        <v>1144</v>
      </c>
      <c r="D268" t="s">
        <v>1145</v>
      </c>
      <c r="E268" t="s">
        <v>64</v>
      </c>
      <c r="F268" t="s">
        <v>30</v>
      </c>
      <c r="G268" t="s">
        <v>65</v>
      </c>
      <c r="H268" t="s">
        <v>42</v>
      </c>
      <c r="I268" t="s">
        <v>66</v>
      </c>
      <c r="J268" t="s">
        <v>34</v>
      </c>
      <c r="K268">
        <v>4</v>
      </c>
      <c r="L268">
        <v>153.13999999999999</v>
      </c>
      <c r="M268" s="3">
        <v>0.15</v>
      </c>
      <c r="N268" t="str">
        <f>VLOOKUP(Table1[[#This Row],[Country]],REF_Country!$A$1:$D$11,2,FALSE)</f>
        <v>Southeast Asia</v>
      </c>
      <c r="O268" t="str">
        <f>VLOOKUP(Table1[[#This Row],[Country]],REF_Country!$A$1:$D$11,3,FALSE)</f>
        <v>ID</v>
      </c>
      <c r="P268">
        <f>VLOOKUP(Table1[[#This Row],[Country]],REF_Country!$A$1:$D$11,4,FALSE)</f>
        <v>0.11</v>
      </c>
      <c r="Q268">
        <f>VLOOKUP(Table1[[#This Row],[Category]],REF_Target!$A$1:$E$6,2,FALSE)</f>
        <v>40000</v>
      </c>
      <c r="R268">
        <f>Table1[[#This Row],[Quantity]]*Table1[[#This Row],[Unit_Price]]</f>
        <v>612.55999999999995</v>
      </c>
      <c r="S268">
        <f>Table1[[#This Row],[Gross_Sales]]*Table1[[#This Row],[Discount_Rate]]</f>
        <v>91.883999999999986</v>
      </c>
      <c r="T268">
        <f>Table1[[#This Row],[Gross_Sales]]-Table1[[#This Row],[Discount_Amount]]</f>
        <v>520.67599999999993</v>
      </c>
      <c r="U268">
        <f>VLOOKUP(Table1[[#This Row],[Category]],REF_Cost!$A$1:$B$6,2,FALSE)*Table1[[#This Row],[Quantity]]</f>
        <v>480</v>
      </c>
      <c r="V268">
        <f>Table1[[#This Row],[Net_Sales]]-Table1[[#This Row],[Total_Cost]]</f>
        <v>40.675999999999931</v>
      </c>
      <c r="W268" t="str">
        <f>TEXT(Table1[[#This Row],[Order_Date]],"mmm")</f>
        <v>May</v>
      </c>
      <c r="X268">
        <f>ROUNDUP(MONTH(Table1[[#This Row],[Order_Date]])/3,0)</f>
        <v>2</v>
      </c>
      <c r="Y268">
        <f>YEAR(Table1[[#This Row],[Order_Date]])</f>
        <v>2024</v>
      </c>
    </row>
    <row r="269" spans="1:25" x14ac:dyDescent="0.25">
      <c r="A269" t="s">
        <v>1146</v>
      </c>
      <c r="B269" t="s">
        <v>1147</v>
      </c>
      <c r="C269" t="s">
        <v>1148</v>
      </c>
      <c r="D269" t="s">
        <v>1149</v>
      </c>
      <c r="E269" t="s">
        <v>48</v>
      </c>
      <c r="F269" t="s">
        <v>49</v>
      </c>
      <c r="G269" t="s">
        <v>117</v>
      </c>
      <c r="H269" t="s">
        <v>72</v>
      </c>
      <c r="I269" t="s">
        <v>43</v>
      </c>
      <c r="J269" t="s">
        <v>59</v>
      </c>
      <c r="K269">
        <v>1</v>
      </c>
      <c r="L269">
        <v>893.97</v>
      </c>
      <c r="M269" s="3">
        <v>0.1</v>
      </c>
      <c r="N269" t="str">
        <f>VLOOKUP(Table1[[#This Row],[Country]],REF_Country!$A$1:$D$11,2,FALSE)</f>
        <v>Southeast Asia</v>
      </c>
      <c r="O269" t="str">
        <f>VLOOKUP(Table1[[#This Row],[Country]],REF_Country!$A$1:$D$11,3,FALSE)</f>
        <v>SG</v>
      </c>
      <c r="P269">
        <f>VLOOKUP(Table1[[#This Row],[Country]],REF_Country!$A$1:$D$11,4,FALSE)</f>
        <v>7.0000000000000007E-2</v>
      </c>
      <c r="Q269">
        <f>VLOOKUP(Table1[[#This Row],[Category]],REF_Target!$A$1:$E$6,2,FALSE)</f>
        <v>35000</v>
      </c>
      <c r="R269">
        <f>Table1[[#This Row],[Quantity]]*Table1[[#This Row],[Unit_Price]]</f>
        <v>893.97</v>
      </c>
      <c r="S269">
        <f>Table1[[#This Row],[Gross_Sales]]*Table1[[#This Row],[Discount_Rate]]</f>
        <v>89.397000000000006</v>
      </c>
      <c r="T269">
        <f>Table1[[#This Row],[Gross_Sales]]-Table1[[#This Row],[Discount_Amount]]</f>
        <v>804.57299999999998</v>
      </c>
      <c r="U269">
        <f>VLOOKUP(Table1[[#This Row],[Category]],REF_Cost!$A$1:$B$6,2,FALSE)*Table1[[#This Row],[Quantity]]</f>
        <v>150</v>
      </c>
      <c r="V269">
        <f>Table1[[#This Row],[Net_Sales]]-Table1[[#This Row],[Total_Cost]]</f>
        <v>654.57299999999998</v>
      </c>
      <c r="W269" t="str">
        <f>TEXT(Table1[[#This Row],[Order_Date]],"mmm")</f>
        <v>Oct</v>
      </c>
      <c r="X269">
        <f>ROUNDUP(MONTH(Table1[[#This Row],[Order_Date]])/3,0)</f>
        <v>4</v>
      </c>
      <c r="Y269">
        <f>YEAR(Table1[[#This Row],[Order_Date]])</f>
        <v>2024</v>
      </c>
    </row>
    <row r="270" spans="1:25" x14ac:dyDescent="0.25">
      <c r="A270" t="s">
        <v>1150</v>
      </c>
      <c r="B270" t="s">
        <v>1151</v>
      </c>
      <c r="C270" t="s">
        <v>1152</v>
      </c>
      <c r="D270" t="s">
        <v>1153</v>
      </c>
      <c r="E270" t="s">
        <v>71</v>
      </c>
      <c r="F270" t="s">
        <v>84</v>
      </c>
      <c r="G270" t="s">
        <v>264</v>
      </c>
      <c r="H270" t="s">
        <v>72</v>
      </c>
      <c r="I270" t="s">
        <v>33</v>
      </c>
      <c r="J270" t="s">
        <v>126</v>
      </c>
      <c r="K270">
        <v>2</v>
      </c>
      <c r="L270">
        <v>418.85</v>
      </c>
      <c r="M270" s="3">
        <v>0</v>
      </c>
      <c r="N270" t="str">
        <f>VLOOKUP(Table1[[#This Row],[Country]],REF_Country!$A$1:$D$11,2,FALSE)</f>
        <v>Southeast Asia</v>
      </c>
      <c r="O270" t="str">
        <f>VLOOKUP(Table1[[#This Row],[Country]],REF_Country!$A$1:$D$11,3,FALSE)</f>
        <v>PH</v>
      </c>
      <c r="P270">
        <f>VLOOKUP(Table1[[#This Row],[Country]],REF_Country!$A$1:$D$11,4,FALSE)</f>
        <v>0.12</v>
      </c>
      <c r="Q270">
        <f>VLOOKUP(Table1[[#This Row],[Category]],REF_Target!$A$1:$E$6,2,FALSE)</f>
        <v>30000</v>
      </c>
      <c r="R270">
        <f>Table1[[#This Row],[Quantity]]*Table1[[#This Row],[Unit_Price]]</f>
        <v>837.7</v>
      </c>
      <c r="S270">
        <f>Table1[[#This Row],[Gross_Sales]]*Table1[[#This Row],[Discount_Rate]]</f>
        <v>0</v>
      </c>
      <c r="T270">
        <f>Table1[[#This Row],[Gross_Sales]]-Table1[[#This Row],[Discount_Amount]]</f>
        <v>837.7</v>
      </c>
      <c r="U270">
        <f>VLOOKUP(Table1[[#This Row],[Category]],REF_Cost!$A$1:$B$6,2,FALSE)*Table1[[#This Row],[Quantity]]</f>
        <v>400</v>
      </c>
      <c r="V270">
        <f>Table1[[#This Row],[Net_Sales]]-Table1[[#This Row],[Total_Cost]]</f>
        <v>437.70000000000005</v>
      </c>
      <c r="W270" t="str">
        <f>TEXT(Table1[[#This Row],[Order_Date]],"mmm")</f>
        <v>Jun</v>
      </c>
      <c r="X270">
        <f>ROUNDUP(MONTH(Table1[[#This Row],[Order_Date]])/3,0)</f>
        <v>2</v>
      </c>
      <c r="Y270">
        <f>YEAR(Table1[[#This Row],[Order_Date]])</f>
        <v>2024</v>
      </c>
    </row>
    <row r="271" spans="1:25" x14ac:dyDescent="0.25">
      <c r="A271" t="s">
        <v>1154</v>
      </c>
      <c r="B271" t="s">
        <v>1155</v>
      </c>
      <c r="C271" t="s">
        <v>1156</v>
      </c>
      <c r="D271" t="s">
        <v>1157</v>
      </c>
      <c r="E271" t="s">
        <v>200</v>
      </c>
      <c r="F271" t="s">
        <v>84</v>
      </c>
      <c r="G271" t="s">
        <v>264</v>
      </c>
      <c r="H271" t="s">
        <v>42</v>
      </c>
      <c r="I271" t="s">
        <v>66</v>
      </c>
      <c r="J271" t="s">
        <v>34</v>
      </c>
      <c r="K271">
        <v>6</v>
      </c>
      <c r="L271">
        <v>194.29</v>
      </c>
      <c r="M271" s="3">
        <v>0</v>
      </c>
      <c r="N271" t="str">
        <f>VLOOKUP(Table1[[#This Row],[Country]],REF_Country!$A$1:$D$11,2,FALSE)</f>
        <v>East Asia</v>
      </c>
      <c r="O271" t="str">
        <f>VLOOKUP(Table1[[#This Row],[Country]],REF_Country!$A$1:$D$11,3,FALSE)</f>
        <v>KR</v>
      </c>
      <c r="P271">
        <f>VLOOKUP(Table1[[#This Row],[Country]],REF_Country!$A$1:$D$11,4,FALSE)</f>
        <v>0.1</v>
      </c>
      <c r="Q271">
        <f>VLOOKUP(Table1[[#This Row],[Category]],REF_Target!$A$1:$E$6,2,FALSE)</f>
        <v>30000</v>
      </c>
      <c r="R271">
        <f>Table1[[#This Row],[Quantity]]*Table1[[#This Row],[Unit_Price]]</f>
        <v>1165.74</v>
      </c>
      <c r="S271">
        <f>Table1[[#This Row],[Gross_Sales]]*Table1[[#This Row],[Discount_Rate]]</f>
        <v>0</v>
      </c>
      <c r="T271">
        <f>Table1[[#This Row],[Gross_Sales]]-Table1[[#This Row],[Discount_Amount]]</f>
        <v>1165.74</v>
      </c>
      <c r="U271">
        <f>VLOOKUP(Table1[[#This Row],[Category]],REF_Cost!$A$1:$B$6,2,FALSE)*Table1[[#This Row],[Quantity]]</f>
        <v>1200</v>
      </c>
      <c r="V271">
        <f>Table1[[#This Row],[Net_Sales]]-Table1[[#This Row],[Total_Cost]]</f>
        <v>-34.259999999999991</v>
      </c>
      <c r="W271" t="str">
        <f>TEXT(Table1[[#This Row],[Order_Date]],"mmm")</f>
        <v>Feb</v>
      </c>
      <c r="X271">
        <f>ROUNDUP(MONTH(Table1[[#This Row],[Order_Date]])/3,0)</f>
        <v>1</v>
      </c>
      <c r="Y271">
        <f>YEAR(Table1[[#This Row],[Order_Date]])</f>
        <v>2024</v>
      </c>
    </row>
    <row r="272" spans="1:25" x14ac:dyDescent="0.25">
      <c r="A272" t="s">
        <v>1158</v>
      </c>
      <c r="B272" t="s">
        <v>1159</v>
      </c>
      <c r="C272" t="s">
        <v>1160</v>
      </c>
      <c r="D272" t="s">
        <v>1161</v>
      </c>
      <c r="E272" t="s">
        <v>29</v>
      </c>
      <c r="F272" t="s">
        <v>40</v>
      </c>
      <c r="G272" t="s">
        <v>144</v>
      </c>
      <c r="H272" t="s">
        <v>32</v>
      </c>
      <c r="I272" t="s">
        <v>43</v>
      </c>
      <c r="J272" t="s">
        <v>59</v>
      </c>
      <c r="K272">
        <v>6</v>
      </c>
      <c r="L272">
        <v>334.31</v>
      </c>
      <c r="M272" s="3">
        <v>0</v>
      </c>
      <c r="N272" t="str">
        <f>VLOOKUP(Table1[[#This Row],[Country]],REF_Country!$A$1:$D$11,2,FALSE)</f>
        <v>Southeast Asia</v>
      </c>
      <c r="O272" t="str">
        <f>VLOOKUP(Table1[[#This Row],[Country]],REF_Country!$A$1:$D$11,3,FALSE)</f>
        <v>VN</v>
      </c>
      <c r="P272">
        <f>VLOOKUP(Table1[[#This Row],[Country]],REF_Country!$A$1:$D$11,4,FALSE)</f>
        <v>0.1</v>
      </c>
      <c r="Q272">
        <f>VLOOKUP(Table1[[#This Row],[Category]],REF_Target!$A$1:$E$6,2,FALSE)</f>
        <v>45000</v>
      </c>
      <c r="R272">
        <f>Table1[[#This Row],[Quantity]]*Table1[[#This Row],[Unit_Price]]</f>
        <v>2005.8600000000001</v>
      </c>
      <c r="S272">
        <f>Table1[[#This Row],[Gross_Sales]]*Table1[[#This Row],[Discount_Rate]]</f>
        <v>0</v>
      </c>
      <c r="T272">
        <f>Table1[[#This Row],[Gross_Sales]]-Table1[[#This Row],[Discount_Amount]]</f>
        <v>2005.8600000000001</v>
      </c>
      <c r="U272">
        <f>VLOOKUP(Table1[[#This Row],[Category]],REF_Cost!$A$1:$B$6,2,FALSE)*Table1[[#This Row],[Quantity]]</f>
        <v>480</v>
      </c>
      <c r="V272">
        <f>Table1[[#This Row],[Net_Sales]]-Table1[[#This Row],[Total_Cost]]</f>
        <v>1525.8600000000001</v>
      </c>
      <c r="W272" t="str">
        <f>TEXT(Table1[[#This Row],[Order_Date]],"mmm")</f>
        <v>Mar</v>
      </c>
      <c r="X272">
        <f>ROUNDUP(MONTH(Table1[[#This Row],[Order_Date]])/3,0)</f>
        <v>1</v>
      </c>
      <c r="Y272">
        <f>YEAR(Table1[[#This Row],[Order_Date]])</f>
        <v>2024</v>
      </c>
    </row>
    <row r="273" spans="1:25" x14ac:dyDescent="0.25">
      <c r="A273" t="s">
        <v>1162</v>
      </c>
      <c r="B273" t="s">
        <v>1163</v>
      </c>
      <c r="C273" t="s">
        <v>1164</v>
      </c>
      <c r="D273" t="s">
        <v>1165</v>
      </c>
      <c r="E273" t="s">
        <v>29</v>
      </c>
      <c r="F273" t="s">
        <v>84</v>
      </c>
      <c r="G273" t="s">
        <v>85</v>
      </c>
      <c r="H273" t="s">
        <v>72</v>
      </c>
      <c r="I273" t="s">
        <v>51</v>
      </c>
      <c r="J273" t="s">
        <v>34</v>
      </c>
      <c r="K273">
        <v>7</v>
      </c>
      <c r="L273">
        <v>61.16</v>
      </c>
      <c r="M273" s="3">
        <v>0.1</v>
      </c>
      <c r="N273" t="str">
        <f>VLOOKUP(Table1[[#This Row],[Country]],REF_Country!$A$1:$D$11,2,FALSE)</f>
        <v>Southeast Asia</v>
      </c>
      <c r="O273" t="str">
        <f>VLOOKUP(Table1[[#This Row],[Country]],REF_Country!$A$1:$D$11,3,FALSE)</f>
        <v>VN</v>
      </c>
      <c r="P273">
        <f>VLOOKUP(Table1[[#This Row],[Country]],REF_Country!$A$1:$D$11,4,FALSE)</f>
        <v>0.1</v>
      </c>
      <c r="Q273">
        <f>VLOOKUP(Table1[[#This Row],[Category]],REF_Target!$A$1:$E$6,2,FALSE)</f>
        <v>30000</v>
      </c>
      <c r="R273">
        <f>Table1[[#This Row],[Quantity]]*Table1[[#This Row],[Unit_Price]]</f>
        <v>428.12</v>
      </c>
      <c r="S273">
        <f>Table1[[#This Row],[Gross_Sales]]*Table1[[#This Row],[Discount_Rate]]</f>
        <v>42.812000000000005</v>
      </c>
      <c r="T273">
        <f>Table1[[#This Row],[Gross_Sales]]-Table1[[#This Row],[Discount_Amount]]</f>
        <v>385.30799999999999</v>
      </c>
      <c r="U273">
        <f>VLOOKUP(Table1[[#This Row],[Category]],REF_Cost!$A$1:$B$6,2,FALSE)*Table1[[#This Row],[Quantity]]</f>
        <v>1400</v>
      </c>
      <c r="V273">
        <f>Table1[[#This Row],[Net_Sales]]-Table1[[#This Row],[Total_Cost]]</f>
        <v>-1014.692</v>
      </c>
      <c r="W273" t="str">
        <f>TEXT(Table1[[#This Row],[Order_Date]],"mmm")</f>
        <v>Sep</v>
      </c>
      <c r="X273">
        <f>ROUNDUP(MONTH(Table1[[#This Row],[Order_Date]])/3,0)</f>
        <v>3</v>
      </c>
      <c r="Y273">
        <f>YEAR(Table1[[#This Row],[Order_Date]])</f>
        <v>2024</v>
      </c>
    </row>
    <row r="274" spans="1:25" x14ac:dyDescent="0.25">
      <c r="A274" t="s">
        <v>1166</v>
      </c>
      <c r="B274" t="s">
        <v>1167</v>
      </c>
      <c r="C274" t="s">
        <v>1168</v>
      </c>
      <c r="D274" t="s">
        <v>1169</v>
      </c>
      <c r="E274" t="s">
        <v>64</v>
      </c>
      <c r="F274" t="s">
        <v>30</v>
      </c>
      <c r="G274" t="s">
        <v>31</v>
      </c>
      <c r="H274" t="s">
        <v>32</v>
      </c>
      <c r="I274" t="s">
        <v>33</v>
      </c>
      <c r="J274" t="s">
        <v>59</v>
      </c>
      <c r="K274">
        <v>7</v>
      </c>
      <c r="L274">
        <v>309.23</v>
      </c>
      <c r="M274" s="3">
        <v>0.05</v>
      </c>
      <c r="N274" t="str">
        <f>VLOOKUP(Table1[[#This Row],[Country]],REF_Country!$A$1:$D$11,2,FALSE)</f>
        <v>Southeast Asia</v>
      </c>
      <c r="O274" t="str">
        <f>VLOOKUP(Table1[[#This Row],[Country]],REF_Country!$A$1:$D$11,3,FALSE)</f>
        <v>ID</v>
      </c>
      <c r="P274">
        <f>VLOOKUP(Table1[[#This Row],[Country]],REF_Country!$A$1:$D$11,4,FALSE)</f>
        <v>0.11</v>
      </c>
      <c r="Q274">
        <f>VLOOKUP(Table1[[#This Row],[Category]],REF_Target!$A$1:$E$6,2,FALSE)</f>
        <v>40000</v>
      </c>
      <c r="R274">
        <f>Table1[[#This Row],[Quantity]]*Table1[[#This Row],[Unit_Price]]</f>
        <v>2164.61</v>
      </c>
      <c r="S274">
        <f>Table1[[#This Row],[Gross_Sales]]*Table1[[#This Row],[Discount_Rate]]</f>
        <v>108.23050000000001</v>
      </c>
      <c r="T274">
        <f>Table1[[#This Row],[Gross_Sales]]-Table1[[#This Row],[Discount_Amount]]</f>
        <v>2056.3795</v>
      </c>
      <c r="U274">
        <f>VLOOKUP(Table1[[#This Row],[Category]],REF_Cost!$A$1:$B$6,2,FALSE)*Table1[[#This Row],[Quantity]]</f>
        <v>840</v>
      </c>
      <c r="V274">
        <f>Table1[[#This Row],[Net_Sales]]-Table1[[#This Row],[Total_Cost]]</f>
        <v>1216.3795</v>
      </c>
      <c r="W274" t="str">
        <f>TEXT(Table1[[#This Row],[Order_Date]],"mmm")</f>
        <v>Mar</v>
      </c>
      <c r="X274">
        <f>ROUNDUP(MONTH(Table1[[#This Row],[Order_Date]])/3,0)</f>
        <v>1</v>
      </c>
      <c r="Y274">
        <f>YEAR(Table1[[#This Row],[Order_Date]])</f>
        <v>2024</v>
      </c>
    </row>
    <row r="275" spans="1:25" x14ac:dyDescent="0.25">
      <c r="A275" t="s">
        <v>1170</v>
      </c>
      <c r="B275" t="s">
        <v>1171</v>
      </c>
      <c r="C275" t="s">
        <v>1172</v>
      </c>
      <c r="D275" t="s">
        <v>1173</v>
      </c>
      <c r="E275" t="s">
        <v>200</v>
      </c>
      <c r="F275" t="s">
        <v>30</v>
      </c>
      <c r="G275" t="s">
        <v>269</v>
      </c>
      <c r="H275" t="s">
        <v>32</v>
      </c>
      <c r="I275" t="s">
        <v>96</v>
      </c>
      <c r="J275" t="s">
        <v>126</v>
      </c>
      <c r="K275">
        <v>6</v>
      </c>
      <c r="L275">
        <v>1359.04</v>
      </c>
      <c r="M275" s="3">
        <v>0</v>
      </c>
      <c r="N275" t="str">
        <f>VLOOKUP(Table1[[#This Row],[Country]],REF_Country!$A$1:$D$11,2,FALSE)</f>
        <v>East Asia</v>
      </c>
      <c r="O275" t="str">
        <f>VLOOKUP(Table1[[#This Row],[Country]],REF_Country!$A$1:$D$11,3,FALSE)</f>
        <v>KR</v>
      </c>
      <c r="P275">
        <f>VLOOKUP(Table1[[#This Row],[Country]],REF_Country!$A$1:$D$11,4,FALSE)</f>
        <v>0.1</v>
      </c>
      <c r="Q275">
        <f>VLOOKUP(Table1[[#This Row],[Category]],REF_Target!$A$1:$E$6,2,FALSE)</f>
        <v>40000</v>
      </c>
      <c r="R275">
        <f>Table1[[#This Row],[Quantity]]*Table1[[#This Row],[Unit_Price]]</f>
        <v>8154.24</v>
      </c>
      <c r="S275">
        <f>Table1[[#This Row],[Gross_Sales]]*Table1[[#This Row],[Discount_Rate]]</f>
        <v>0</v>
      </c>
      <c r="T275">
        <f>Table1[[#This Row],[Gross_Sales]]-Table1[[#This Row],[Discount_Amount]]</f>
        <v>8154.24</v>
      </c>
      <c r="U275">
        <f>VLOOKUP(Table1[[#This Row],[Category]],REF_Cost!$A$1:$B$6,2,FALSE)*Table1[[#This Row],[Quantity]]</f>
        <v>720</v>
      </c>
      <c r="V275">
        <f>Table1[[#This Row],[Net_Sales]]-Table1[[#This Row],[Total_Cost]]</f>
        <v>7434.24</v>
      </c>
      <c r="W275" t="str">
        <f>TEXT(Table1[[#This Row],[Order_Date]],"mmm")</f>
        <v>Jan</v>
      </c>
      <c r="X275">
        <f>ROUNDUP(MONTH(Table1[[#This Row],[Order_Date]])/3,0)</f>
        <v>1</v>
      </c>
      <c r="Y275">
        <f>YEAR(Table1[[#This Row],[Order_Date]])</f>
        <v>2024</v>
      </c>
    </row>
    <row r="276" spans="1:25" x14ac:dyDescent="0.25">
      <c r="A276" t="s">
        <v>1174</v>
      </c>
      <c r="B276" t="s">
        <v>1175</v>
      </c>
      <c r="C276" t="s">
        <v>1176</v>
      </c>
      <c r="D276" t="s">
        <v>1177</v>
      </c>
      <c r="E276" t="s">
        <v>149</v>
      </c>
      <c r="F276" t="s">
        <v>49</v>
      </c>
      <c r="G276" t="s">
        <v>117</v>
      </c>
      <c r="H276" t="s">
        <v>58</v>
      </c>
      <c r="I276" t="s">
        <v>43</v>
      </c>
      <c r="J276" t="s">
        <v>73</v>
      </c>
      <c r="K276">
        <v>7</v>
      </c>
      <c r="L276">
        <v>583.35</v>
      </c>
      <c r="M276" s="3">
        <v>0</v>
      </c>
      <c r="N276" t="str">
        <f>VLOOKUP(Table1[[#This Row],[Country]],REF_Country!$A$1:$D$11,2,FALSE)</f>
        <v>East Asia</v>
      </c>
      <c r="O276" t="str">
        <f>VLOOKUP(Table1[[#This Row],[Country]],REF_Country!$A$1:$D$11,3,FALSE)</f>
        <v>JP</v>
      </c>
      <c r="P276">
        <f>VLOOKUP(Table1[[#This Row],[Country]],REF_Country!$A$1:$D$11,4,FALSE)</f>
        <v>0.1</v>
      </c>
      <c r="Q276">
        <f>VLOOKUP(Table1[[#This Row],[Category]],REF_Target!$A$1:$E$6,2,FALSE)</f>
        <v>35000</v>
      </c>
      <c r="R276">
        <f>Table1[[#This Row],[Quantity]]*Table1[[#This Row],[Unit_Price]]</f>
        <v>4083.4500000000003</v>
      </c>
      <c r="S276">
        <f>Table1[[#This Row],[Gross_Sales]]*Table1[[#This Row],[Discount_Rate]]</f>
        <v>0</v>
      </c>
      <c r="T276">
        <f>Table1[[#This Row],[Gross_Sales]]-Table1[[#This Row],[Discount_Amount]]</f>
        <v>4083.4500000000003</v>
      </c>
      <c r="U276">
        <f>VLOOKUP(Table1[[#This Row],[Category]],REF_Cost!$A$1:$B$6,2,FALSE)*Table1[[#This Row],[Quantity]]</f>
        <v>1050</v>
      </c>
      <c r="V276">
        <f>Table1[[#This Row],[Net_Sales]]-Table1[[#This Row],[Total_Cost]]</f>
        <v>3033.4500000000003</v>
      </c>
      <c r="W276" t="str">
        <f>TEXT(Table1[[#This Row],[Order_Date]],"mmm")</f>
        <v>Oct</v>
      </c>
      <c r="X276">
        <f>ROUNDUP(MONTH(Table1[[#This Row],[Order_Date]])/3,0)</f>
        <v>4</v>
      </c>
      <c r="Y276">
        <f>YEAR(Table1[[#This Row],[Order_Date]])</f>
        <v>2024</v>
      </c>
    </row>
    <row r="277" spans="1:25" x14ac:dyDescent="0.25">
      <c r="A277" t="s">
        <v>1178</v>
      </c>
      <c r="B277" t="s">
        <v>1179</v>
      </c>
      <c r="C277" t="s">
        <v>1180</v>
      </c>
      <c r="D277" t="s">
        <v>1181</v>
      </c>
      <c r="E277" t="s">
        <v>48</v>
      </c>
      <c r="F277" t="s">
        <v>56</v>
      </c>
      <c r="G277" t="s">
        <v>111</v>
      </c>
      <c r="H277" t="s">
        <v>58</v>
      </c>
      <c r="I277" t="s">
        <v>96</v>
      </c>
      <c r="J277" t="s">
        <v>34</v>
      </c>
      <c r="K277">
        <v>4</v>
      </c>
      <c r="L277">
        <v>934.48</v>
      </c>
      <c r="M277" s="3">
        <v>0.2</v>
      </c>
      <c r="N277" t="str">
        <f>VLOOKUP(Table1[[#This Row],[Country]],REF_Country!$A$1:$D$11,2,FALSE)</f>
        <v>Southeast Asia</v>
      </c>
      <c r="O277" t="str">
        <f>VLOOKUP(Table1[[#This Row],[Country]],REF_Country!$A$1:$D$11,3,FALSE)</f>
        <v>SG</v>
      </c>
      <c r="P277">
        <f>VLOOKUP(Table1[[#This Row],[Country]],REF_Country!$A$1:$D$11,4,FALSE)</f>
        <v>7.0000000000000007E-2</v>
      </c>
      <c r="Q277">
        <f>VLOOKUP(Table1[[#This Row],[Category]],REF_Target!$A$1:$E$6,2,FALSE)</f>
        <v>50000</v>
      </c>
      <c r="R277">
        <f>Table1[[#This Row],[Quantity]]*Table1[[#This Row],[Unit_Price]]</f>
        <v>3737.92</v>
      </c>
      <c r="S277">
        <f>Table1[[#This Row],[Gross_Sales]]*Table1[[#This Row],[Discount_Rate]]</f>
        <v>747.58400000000006</v>
      </c>
      <c r="T277">
        <f>Table1[[#This Row],[Gross_Sales]]-Table1[[#This Row],[Discount_Amount]]</f>
        <v>2990.3360000000002</v>
      </c>
      <c r="U277">
        <f>VLOOKUP(Table1[[#This Row],[Category]],REF_Cost!$A$1:$B$6,2,FALSE)*Table1[[#This Row],[Quantity]]</f>
        <v>1800</v>
      </c>
      <c r="V277">
        <f>Table1[[#This Row],[Net_Sales]]-Table1[[#This Row],[Total_Cost]]</f>
        <v>1190.3360000000002</v>
      </c>
      <c r="W277" t="str">
        <f>TEXT(Table1[[#This Row],[Order_Date]],"mmm")</f>
        <v>May</v>
      </c>
      <c r="X277">
        <f>ROUNDUP(MONTH(Table1[[#This Row],[Order_Date]])/3,0)</f>
        <v>2</v>
      </c>
      <c r="Y277">
        <f>YEAR(Table1[[#This Row],[Order_Date]])</f>
        <v>2024</v>
      </c>
    </row>
    <row r="278" spans="1:25" x14ac:dyDescent="0.25">
      <c r="A278" t="s">
        <v>1182</v>
      </c>
      <c r="B278" t="s">
        <v>1183</v>
      </c>
      <c r="C278" t="s">
        <v>1184</v>
      </c>
      <c r="D278" t="s">
        <v>1185</v>
      </c>
      <c r="E278" t="s">
        <v>29</v>
      </c>
      <c r="F278" t="s">
        <v>49</v>
      </c>
      <c r="G278" t="s">
        <v>286</v>
      </c>
      <c r="H278" t="s">
        <v>32</v>
      </c>
      <c r="I278" t="s">
        <v>96</v>
      </c>
      <c r="J278" t="s">
        <v>59</v>
      </c>
      <c r="K278">
        <v>9</v>
      </c>
      <c r="L278">
        <v>637.55999999999995</v>
      </c>
      <c r="M278" s="3">
        <v>0</v>
      </c>
      <c r="N278" t="str">
        <f>VLOOKUP(Table1[[#This Row],[Country]],REF_Country!$A$1:$D$11,2,FALSE)</f>
        <v>Southeast Asia</v>
      </c>
      <c r="O278" t="str">
        <f>VLOOKUP(Table1[[#This Row],[Country]],REF_Country!$A$1:$D$11,3,FALSE)</f>
        <v>VN</v>
      </c>
      <c r="P278">
        <f>VLOOKUP(Table1[[#This Row],[Country]],REF_Country!$A$1:$D$11,4,FALSE)</f>
        <v>0.1</v>
      </c>
      <c r="Q278">
        <f>VLOOKUP(Table1[[#This Row],[Category]],REF_Target!$A$1:$E$6,2,FALSE)</f>
        <v>35000</v>
      </c>
      <c r="R278">
        <f>Table1[[#This Row],[Quantity]]*Table1[[#This Row],[Unit_Price]]</f>
        <v>5738.0399999999991</v>
      </c>
      <c r="S278">
        <f>Table1[[#This Row],[Gross_Sales]]*Table1[[#This Row],[Discount_Rate]]</f>
        <v>0</v>
      </c>
      <c r="T278">
        <f>Table1[[#This Row],[Gross_Sales]]-Table1[[#This Row],[Discount_Amount]]</f>
        <v>5738.0399999999991</v>
      </c>
      <c r="U278">
        <f>VLOOKUP(Table1[[#This Row],[Category]],REF_Cost!$A$1:$B$6,2,FALSE)*Table1[[#This Row],[Quantity]]</f>
        <v>1350</v>
      </c>
      <c r="V278">
        <f>Table1[[#This Row],[Net_Sales]]-Table1[[#This Row],[Total_Cost]]</f>
        <v>4388.0399999999991</v>
      </c>
      <c r="W278" t="str">
        <f>TEXT(Table1[[#This Row],[Order_Date]],"mmm")</f>
        <v>Sep</v>
      </c>
      <c r="X278">
        <f>ROUNDUP(MONTH(Table1[[#This Row],[Order_Date]])/3,0)</f>
        <v>3</v>
      </c>
      <c r="Y278">
        <f>YEAR(Table1[[#This Row],[Order_Date]])</f>
        <v>2024</v>
      </c>
    </row>
    <row r="279" spans="1:25" x14ac:dyDescent="0.25">
      <c r="A279" t="s">
        <v>1186</v>
      </c>
      <c r="B279" t="s">
        <v>1187</v>
      </c>
      <c r="C279" t="s">
        <v>1188</v>
      </c>
      <c r="D279" t="s">
        <v>1189</v>
      </c>
      <c r="E279" t="s">
        <v>83</v>
      </c>
      <c r="F279" t="s">
        <v>40</v>
      </c>
      <c r="G279" t="s">
        <v>315</v>
      </c>
      <c r="H279" t="s">
        <v>58</v>
      </c>
      <c r="I279" t="s">
        <v>33</v>
      </c>
      <c r="J279" t="s">
        <v>73</v>
      </c>
      <c r="K279">
        <v>3</v>
      </c>
      <c r="L279">
        <v>591.75</v>
      </c>
      <c r="M279" s="3">
        <v>0</v>
      </c>
      <c r="N279" t="str">
        <f>VLOOKUP(Table1[[#This Row],[Country]],REF_Country!$A$1:$D$11,2,FALSE)</f>
        <v>South Asia</v>
      </c>
      <c r="O279" t="str">
        <f>VLOOKUP(Table1[[#This Row],[Country]],REF_Country!$A$1:$D$11,3,FALSE)</f>
        <v>IN</v>
      </c>
      <c r="P279">
        <f>VLOOKUP(Table1[[#This Row],[Country]],REF_Country!$A$1:$D$11,4,FALSE)</f>
        <v>0.18</v>
      </c>
      <c r="Q279">
        <f>VLOOKUP(Table1[[#This Row],[Category]],REF_Target!$A$1:$E$6,2,FALSE)</f>
        <v>45000</v>
      </c>
      <c r="R279">
        <f>Table1[[#This Row],[Quantity]]*Table1[[#This Row],[Unit_Price]]</f>
        <v>1775.25</v>
      </c>
      <c r="S279">
        <f>Table1[[#This Row],[Gross_Sales]]*Table1[[#This Row],[Discount_Rate]]</f>
        <v>0</v>
      </c>
      <c r="T279">
        <f>Table1[[#This Row],[Gross_Sales]]-Table1[[#This Row],[Discount_Amount]]</f>
        <v>1775.25</v>
      </c>
      <c r="U279">
        <f>VLOOKUP(Table1[[#This Row],[Category]],REF_Cost!$A$1:$B$6,2,FALSE)*Table1[[#This Row],[Quantity]]</f>
        <v>240</v>
      </c>
      <c r="V279">
        <f>Table1[[#This Row],[Net_Sales]]-Table1[[#This Row],[Total_Cost]]</f>
        <v>1535.25</v>
      </c>
      <c r="W279" t="str">
        <f>TEXT(Table1[[#This Row],[Order_Date]],"mmm")</f>
        <v>Oct</v>
      </c>
      <c r="X279">
        <f>ROUNDUP(MONTH(Table1[[#This Row],[Order_Date]])/3,0)</f>
        <v>4</v>
      </c>
      <c r="Y279">
        <f>YEAR(Table1[[#This Row],[Order_Date]])</f>
        <v>2024</v>
      </c>
    </row>
    <row r="280" spans="1:25" x14ac:dyDescent="0.25">
      <c r="A280" t="s">
        <v>1190</v>
      </c>
      <c r="B280" t="s">
        <v>1191</v>
      </c>
      <c r="C280" t="s">
        <v>1192</v>
      </c>
      <c r="D280" t="s">
        <v>1193</v>
      </c>
      <c r="E280" t="s">
        <v>200</v>
      </c>
      <c r="F280" t="s">
        <v>40</v>
      </c>
      <c r="G280" t="s">
        <v>315</v>
      </c>
      <c r="H280" t="s">
        <v>32</v>
      </c>
      <c r="I280" t="s">
        <v>43</v>
      </c>
      <c r="J280" t="s">
        <v>73</v>
      </c>
      <c r="K280">
        <v>4</v>
      </c>
      <c r="L280">
        <v>1153.76</v>
      </c>
      <c r="M280" s="3">
        <v>0</v>
      </c>
      <c r="N280" t="str">
        <f>VLOOKUP(Table1[[#This Row],[Country]],REF_Country!$A$1:$D$11,2,FALSE)</f>
        <v>East Asia</v>
      </c>
      <c r="O280" t="str">
        <f>VLOOKUP(Table1[[#This Row],[Country]],REF_Country!$A$1:$D$11,3,FALSE)</f>
        <v>KR</v>
      </c>
      <c r="P280">
        <f>VLOOKUP(Table1[[#This Row],[Country]],REF_Country!$A$1:$D$11,4,FALSE)</f>
        <v>0.1</v>
      </c>
      <c r="Q280">
        <f>VLOOKUP(Table1[[#This Row],[Category]],REF_Target!$A$1:$E$6,2,FALSE)</f>
        <v>45000</v>
      </c>
      <c r="R280">
        <f>Table1[[#This Row],[Quantity]]*Table1[[#This Row],[Unit_Price]]</f>
        <v>4615.04</v>
      </c>
      <c r="S280">
        <f>Table1[[#This Row],[Gross_Sales]]*Table1[[#This Row],[Discount_Rate]]</f>
        <v>0</v>
      </c>
      <c r="T280">
        <f>Table1[[#This Row],[Gross_Sales]]-Table1[[#This Row],[Discount_Amount]]</f>
        <v>4615.04</v>
      </c>
      <c r="U280">
        <f>VLOOKUP(Table1[[#This Row],[Category]],REF_Cost!$A$1:$B$6,2,FALSE)*Table1[[#This Row],[Quantity]]</f>
        <v>320</v>
      </c>
      <c r="V280">
        <f>Table1[[#This Row],[Net_Sales]]-Table1[[#This Row],[Total_Cost]]</f>
        <v>4295.04</v>
      </c>
      <c r="W280" t="str">
        <f>TEXT(Table1[[#This Row],[Order_Date]],"mmm")</f>
        <v>May</v>
      </c>
      <c r="X280">
        <f>ROUNDUP(MONTH(Table1[[#This Row],[Order_Date]])/3,0)</f>
        <v>2</v>
      </c>
      <c r="Y280">
        <f>YEAR(Table1[[#This Row],[Order_Date]])</f>
        <v>2024</v>
      </c>
    </row>
    <row r="281" spans="1:25" x14ac:dyDescent="0.25">
      <c r="A281" t="s">
        <v>1194</v>
      </c>
      <c r="B281" t="s">
        <v>1195</v>
      </c>
      <c r="C281" t="s">
        <v>1196</v>
      </c>
      <c r="D281" t="s">
        <v>1197</v>
      </c>
      <c r="E281" t="s">
        <v>39</v>
      </c>
      <c r="F281" t="s">
        <v>40</v>
      </c>
      <c r="G281" t="s">
        <v>565</v>
      </c>
      <c r="H281" t="s">
        <v>72</v>
      </c>
      <c r="I281" t="s">
        <v>33</v>
      </c>
      <c r="J281" t="s">
        <v>59</v>
      </c>
      <c r="K281">
        <v>3</v>
      </c>
      <c r="L281">
        <v>541.88</v>
      </c>
      <c r="M281" s="3">
        <v>0</v>
      </c>
      <c r="N281" t="str">
        <f>VLOOKUP(Table1[[#This Row],[Country]],REF_Country!$A$1:$D$11,2,FALSE)</f>
        <v>Southeast Asia</v>
      </c>
      <c r="O281" t="str">
        <f>VLOOKUP(Table1[[#This Row],[Country]],REF_Country!$A$1:$D$11,3,FALSE)</f>
        <v>TH</v>
      </c>
      <c r="P281">
        <f>VLOOKUP(Table1[[#This Row],[Country]],REF_Country!$A$1:$D$11,4,FALSE)</f>
        <v>7.0000000000000007E-2</v>
      </c>
      <c r="Q281">
        <f>VLOOKUP(Table1[[#This Row],[Category]],REF_Target!$A$1:$E$6,2,FALSE)</f>
        <v>45000</v>
      </c>
      <c r="R281">
        <f>Table1[[#This Row],[Quantity]]*Table1[[#This Row],[Unit_Price]]</f>
        <v>1625.6399999999999</v>
      </c>
      <c r="S281">
        <f>Table1[[#This Row],[Gross_Sales]]*Table1[[#This Row],[Discount_Rate]]</f>
        <v>0</v>
      </c>
      <c r="T281">
        <f>Table1[[#This Row],[Gross_Sales]]-Table1[[#This Row],[Discount_Amount]]</f>
        <v>1625.6399999999999</v>
      </c>
      <c r="U281">
        <f>VLOOKUP(Table1[[#This Row],[Category]],REF_Cost!$A$1:$B$6,2,FALSE)*Table1[[#This Row],[Quantity]]</f>
        <v>240</v>
      </c>
      <c r="V281">
        <f>Table1[[#This Row],[Net_Sales]]-Table1[[#This Row],[Total_Cost]]</f>
        <v>1385.6399999999999</v>
      </c>
      <c r="W281" t="str">
        <f>TEXT(Table1[[#This Row],[Order_Date]],"mmm")</f>
        <v>Sep</v>
      </c>
      <c r="X281">
        <f>ROUNDUP(MONTH(Table1[[#This Row],[Order_Date]])/3,0)</f>
        <v>3</v>
      </c>
      <c r="Y281">
        <f>YEAR(Table1[[#This Row],[Order_Date]])</f>
        <v>2024</v>
      </c>
    </row>
    <row r="282" spans="1:25" x14ac:dyDescent="0.25">
      <c r="A282" t="s">
        <v>1198</v>
      </c>
      <c r="B282" t="s">
        <v>1199</v>
      </c>
      <c r="C282" t="s">
        <v>1200</v>
      </c>
      <c r="D282" t="s">
        <v>1201</v>
      </c>
      <c r="E282" t="s">
        <v>71</v>
      </c>
      <c r="F282" t="s">
        <v>40</v>
      </c>
      <c r="G282" t="s">
        <v>41</v>
      </c>
      <c r="H282" t="s">
        <v>58</v>
      </c>
      <c r="I282" t="s">
        <v>43</v>
      </c>
      <c r="J282" t="s">
        <v>34</v>
      </c>
      <c r="K282">
        <v>4</v>
      </c>
      <c r="L282">
        <v>226.02</v>
      </c>
      <c r="M282" s="3">
        <v>0.1</v>
      </c>
      <c r="N282" t="str">
        <f>VLOOKUP(Table1[[#This Row],[Country]],REF_Country!$A$1:$D$11,2,FALSE)</f>
        <v>Southeast Asia</v>
      </c>
      <c r="O282" t="str">
        <f>VLOOKUP(Table1[[#This Row],[Country]],REF_Country!$A$1:$D$11,3,FALSE)</f>
        <v>PH</v>
      </c>
      <c r="P282">
        <f>VLOOKUP(Table1[[#This Row],[Country]],REF_Country!$A$1:$D$11,4,FALSE)</f>
        <v>0.12</v>
      </c>
      <c r="Q282">
        <f>VLOOKUP(Table1[[#This Row],[Category]],REF_Target!$A$1:$E$6,2,FALSE)</f>
        <v>45000</v>
      </c>
      <c r="R282">
        <f>Table1[[#This Row],[Quantity]]*Table1[[#This Row],[Unit_Price]]</f>
        <v>904.08</v>
      </c>
      <c r="S282">
        <f>Table1[[#This Row],[Gross_Sales]]*Table1[[#This Row],[Discount_Rate]]</f>
        <v>90.408000000000015</v>
      </c>
      <c r="T282">
        <f>Table1[[#This Row],[Gross_Sales]]-Table1[[#This Row],[Discount_Amount]]</f>
        <v>813.67200000000003</v>
      </c>
      <c r="U282">
        <f>VLOOKUP(Table1[[#This Row],[Category]],REF_Cost!$A$1:$B$6,2,FALSE)*Table1[[#This Row],[Quantity]]</f>
        <v>320</v>
      </c>
      <c r="V282">
        <f>Table1[[#This Row],[Net_Sales]]-Table1[[#This Row],[Total_Cost]]</f>
        <v>493.67200000000003</v>
      </c>
      <c r="W282" t="str">
        <f>TEXT(Table1[[#This Row],[Order_Date]],"mmm")</f>
        <v>Oct</v>
      </c>
      <c r="X282">
        <f>ROUNDUP(MONTH(Table1[[#This Row],[Order_Date]])/3,0)</f>
        <v>4</v>
      </c>
      <c r="Y282">
        <f>YEAR(Table1[[#This Row],[Order_Date]])</f>
        <v>2024</v>
      </c>
    </row>
    <row r="283" spans="1:25" x14ac:dyDescent="0.25">
      <c r="A283" t="s">
        <v>1202</v>
      </c>
      <c r="B283" t="s">
        <v>1203</v>
      </c>
      <c r="C283" t="s">
        <v>1204</v>
      </c>
      <c r="D283" t="s">
        <v>1205</v>
      </c>
      <c r="E283" t="s">
        <v>83</v>
      </c>
      <c r="F283" t="s">
        <v>30</v>
      </c>
      <c r="G283" t="s">
        <v>269</v>
      </c>
      <c r="H283" t="s">
        <v>72</v>
      </c>
      <c r="I283" t="s">
        <v>43</v>
      </c>
      <c r="J283" t="s">
        <v>59</v>
      </c>
      <c r="K283">
        <v>1</v>
      </c>
      <c r="L283">
        <v>796.78</v>
      </c>
      <c r="M283" s="3">
        <v>0.05</v>
      </c>
      <c r="N283" t="str">
        <f>VLOOKUP(Table1[[#This Row],[Country]],REF_Country!$A$1:$D$11,2,FALSE)</f>
        <v>South Asia</v>
      </c>
      <c r="O283" t="str">
        <f>VLOOKUP(Table1[[#This Row],[Country]],REF_Country!$A$1:$D$11,3,FALSE)</f>
        <v>IN</v>
      </c>
      <c r="P283">
        <f>VLOOKUP(Table1[[#This Row],[Country]],REF_Country!$A$1:$D$11,4,FALSE)</f>
        <v>0.18</v>
      </c>
      <c r="Q283">
        <f>VLOOKUP(Table1[[#This Row],[Category]],REF_Target!$A$1:$E$6,2,FALSE)</f>
        <v>40000</v>
      </c>
      <c r="R283">
        <f>Table1[[#This Row],[Quantity]]*Table1[[#This Row],[Unit_Price]]</f>
        <v>796.78</v>
      </c>
      <c r="S283">
        <f>Table1[[#This Row],[Gross_Sales]]*Table1[[#This Row],[Discount_Rate]]</f>
        <v>39.838999999999999</v>
      </c>
      <c r="T283">
        <f>Table1[[#This Row],[Gross_Sales]]-Table1[[#This Row],[Discount_Amount]]</f>
        <v>756.94100000000003</v>
      </c>
      <c r="U283">
        <f>VLOOKUP(Table1[[#This Row],[Category]],REF_Cost!$A$1:$B$6,2,FALSE)*Table1[[#This Row],[Quantity]]</f>
        <v>120</v>
      </c>
      <c r="V283">
        <f>Table1[[#This Row],[Net_Sales]]-Table1[[#This Row],[Total_Cost]]</f>
        <v>636.94100000000003</v>
      </c>
      <c r="W283" t="str">
        <f>TEXT(Table1[[#This Row],[Order_Date]],"mmm")</f>
        <v>Feb</v>
      </c>
      <c r="X283">
        <f>ROUNDUP(MONTH(Table1[[#This Row],[Order_Date]])/3,0)</f>
        <v>1</v>
      </c>
      <c r="Y283">
        <f>YEAR(Table1[[#This Row],[Order_Date]])</f>
        <v>2024</v>
      </c>
    </row>
    <row r="284" spans="1:25" x14ac:dyDescent="0.25">
      <c r="A284" t="s">
        <v>1206</v>
      </c>
      <c r="B284" t="s">
        <v>1207</v>
      </c>
      <c r="C284" t="s">
        <v>1208</v>
      </c>
      <c r="D284" t="s">
        <v>1209</v>
      </c>
      <c r="E284" t="s">
        <v>48</v>
      </c>
      <c r="F284" t="s">
        <v>40</v>
      </c>
      <c r="G284" t="s">
        <v>106</v>
      </c>
      <c r="H284" t="s">
        <v>32</v>
      </c>
      <c r="I284" t="s">
        <v>66</v>
      </c>
      <c r="J284" t="s">
        <v>34</v>
      </c>
      <c r="K284">
        <v>9</v>
      </c>
      <c r="L284">
        <v>1164.93</v>
      </c>
      <c r="M284" s="3">
        <v>0.05</v>
      </c>
      <c r="N284" t="str">
        <f>VLOOKUP(Table1[[#This Row],[Country]],REF_Country!$A$1:$D$11,2,FALSE)</f>
        <v>Southeast Asia</v>
      </c>
      <c r="O284" t="str">
        <f>VLOOKUP(Table1[[#This Row],[Country]],REF_Country!$A$1:$D$11,3,FALSE)</f>
        <v>SG</v>
      </c>
      <c r="P284">
        <f>VLOOKUP(Table1[[#This Row],[Country]],REF_Country!$A$1:$D$11,4,FALSE)</f>
        <v>7.0000000000000007E-2</v>
      </c>
      <c r="Q284">
        <f>VLOOKUP(Table1[[#This Row],[Category]],REF_Target!$A$1:$E$6,2,FALSE)</f>
        <v>45000</v>
      </c>
      <c r="R284">
        <f>Table1[[#This Row],[Quantity]]*Table1[[#This Row],[Unit_Price]]</f>
        <v>10484.370000000001</v>
      </c>
      <c r="S284">
        <f>Table1[[#This Row],[Gross_Sales]]*Table1[[#This Row],[Discount_Rate]]</f>
        <v>524.21850000000006</v>
      </c>
      <c r="T284">
        <f>Table1[[#This Row],[Gross_Sales]]-Table1[[#This Row],[Discount_Amount]]</f>
        <v>9960.1514999999999</v>
      </c>
      <c r="U284">
        <f>VLOOKUP(Table1[[#This Row],[Category]],REF_Cost!$A$1:$B$6,2,FALSE)*Table1[[#This Row],[Quantity]]</f>
        <v>720</v>
      </c>
      <c r="V284">
        <f>Table1[[#This Row],[Net_Sales]]-Table1[[#This Row],[Total_Cost]]</f>
        <v>9240.1514999999999</v>
      </c>
      <c r="W284" t="str">
        <f>TEXT(Table1[[#This Row],[Order_Date]],"mmm")</f>
        <v>Jun</v>
      </c>
      <c r="X284">
        <f>ROUNDUP(MONTH(Table1[[#This Row],[Order_Date]])/3,0)</f>
        <v>2</v>
      </c>
      <c r="Y284">
        <f>YEAR(Table1[[#This Row],[Order_Date]])</f>
        <v>2024</v>
      </c>
    </row>
    <row r="285" spans="1:25" x14ac:dyDescent="0.25">
      <c r="A285" t="s">
        <v>1210</v>
      </c>
      <c r="B285" t="s">
        <v>1211</v>
      </c>
      <c r="C285" t="s">
        <v>1212</v>
      </c>
      <c r="D285" t="s">
        <v>1213</v>
      </c>
      <c r="E285" t="s">
        <v>71</v>
      </c>
      <c r="F285" t="s">
        <v>30</v>
      </c>
      <c r="G285" t="s">
        <v>31</v>
      </c>
      <c r="H285" t="s">
        <v>42</v>
      </c>
      <c r="I285" t="s">
        <v>66</v>
      </c>
      <c r="J285" t="s">
        <v>73</v>
      </c>
      <c r="K285">
        <v>7</v>
      </c>
      <c r="L285">
        <v>1102.54</v>
      </c>
      <c r="M285" s="3">
        <v>0.2</v>
      </c>
      <c r="N285" t="str">
        <f>VLOOKUP(Table1[[#This Row],[Country]],REF_Country!$A$1:$D$11,2,FALSE)</f>
        <v>Southeast Asia</v>
      </c>
      <c r="O285" t="str">
        <f>VLOOKUP(Table1[[#This Row],[Country]],REF_Country!$A$1:$D$11,3,FALSE)</f>
        <v>PH</v>
      </c>
      <c r="P285">
        <f>VLOOKUP(Table1[[#This Row],[Country]],REF_Country!$A$1:$D$11,4,FALSE)</f>
        <v>0.12</v>
      </c>
      <c r="Q285">
        <f>VLOOKUP(Table1[[#This Row],[Category]],REF_Target!$A$1:$E$6,2,FALSE)</f>
        <v>40000</v>
      </c>
      <c r="R285">
        <f>Table1[[#This Row],[Quantity]]*Table1[[#This Row],[Unit_Price]]</f>
        <v>7717.78</v>
      </c>
      <c r="S285">
        <f>Table1[[#This Row],[Gross_Sales]]*Table1[[#This Row],[Discount_Rate]]</f>
        <v>1543.556</v>
      </c>
      <c r="T285">
        <f>Table1[[#This Row],[Gross_Sales]]-Table1[[#This Row],[Discount_Amount]]</f>
        <v>6174.2240000000002</v>
      </c>
      <c r="U285">
        <f>VLOOKUP(Table1[[#This Row],[Category]],REF_Cost!$A$1:$B$6,2,FALSE)*Table1[[#This Row],[Quantity]]</f>
        <v>840</v>
      </c>
      <c r="V285">
        <f>Table1[[#This Row],[Net_Sales]]-Table1[[#This Row],[Total_Cost]]</f>
        <v>5334.2240000000002</v>
      </c>
      <c r="W285" t="str">
        <f>TEXT(Table1[[#This Row],[Order_Date]],"mmm")</f>
        <v>Feb</v>
      </c>
      <c r="X285">
        <f>ROUNDUP(MONTH(Table1[[#This Row],[Order_Date]])/3,0)</f>
        <v>1</v>
      </c>
      <c r="Y285">
        <f>YEAR(Table1[[#This Row],[Order_Date]])</f>
        <v>2024</v>
      </c>
    </row>
    <row r="286" spans="1:25" x14ac:dyDescent="0.25">
      <c r="A286" t="s">
        <v>1214</v>
      </c>
      <c r="B286" t="s">
        <v>1215</v>
      </c>
      <c r="C286" t="s">
        <v>1216</v>
      </c>
      <c r="D286" t="s">
        <v>1217</v>
      </c>
      <c r="E286" t="s">
        <v>71</v>
      </c>
      <c r="F286" t="s">
        <v>30</v>
      </c>
      <c r="G286" t="s">
        <v>139</v>
      </c>
      <c r="H286" t="s">
        <v>58</v>
      </c>
      <c r="I286" t="s">
        <v>43</v>
      </c>
      <c r="J286" t="s">
        <v>73</v>
      </c>
      <c r="K286">
        <v>7</v>
      </c>
      <c r="L286">
        <v>1224.46</v>
      </c>
      <c r="M286" s="3">
        <v>0.05</v>
      </c>
      <c r="N286" t="str">
        <f>VLOOKUP(Table1[[#This Row],[Country]],REF_Country!$A$1:$D$11,2,FALSE)</f>
        <v>Southeast Asia</v>
      </c>
      <c r="O286" t="str">
        <f>VLOOKUP(Table1[[#This Row],[Country]],REF_Country!$A$1:$D$11,3,FALSE)</f>
        <v>PH</v>
      </c>
      <c r="P286">
        <f>VLOOKUP(Table1[[#This Row],[Country]],REF_Country!$A$1:$D$11,4,FALSE)</f>
        <v>0.12</v>
      </c>
      <c r="Q286">
        <f>VLOOKUP(Table1[[#This Row],[Category]],REF_Target!$A$1:$E$6,2,FALSE)</f>
        <v>40000</v>
      </c>
      <c r="R286">
        <f>Table1[[#This Row],[Quantity]]*Table1[[#This Row],[Unit_Price]]</f>
        <v>8571.2200000000012</v>
      </c>
      <c r="S286">
        <f>Table1[[#This Row],[Gross_Sales]]*Table1[[#This Row],[Discount_Rate]]</f>
        <v>428.56100000000009</v>
      </c>
      <c r="T286">
        <f>Table1[[#This Row],[Gross_Sales]]-Table1[[#This Row],[Discount_Amount]]</f>
        <v>8142.6590000000015</v>
      </c>
      <c r="U286">
        <f>VLOOKUP(Table1[[#This Row],[Category]],REF_Cost!$A$1:$B$6,2,FALSE)*Table1[[#This Row],[Quantity]]</f>
        <v>840</v>
      </c>
      <c r="V286">
        <f>Table1[[#This Row],[Net_Sales]]-Table1[[#This Row],[Total_Cost]]</f>
        <v>7302.6590000000015</v>
      </c>
      <c r="W286" t="str">
        <f>TEXT(Table1[[#This Row],[Order_Date]],"mmm")</f>
        <v>Dec</v>
      </c>
      <c r="X286">
        <f>ROUNDUP(MONTH(Table1[[#This Row],[Order_Date]])/3,0)</f>
        <v>4</v>
      </c>
      <c r="Y286">
        <f>YEAR(Table1[[#This Row],[Order_Date]])</f>
        <v>2024</v>
      </c>
    </row>
    <row r="287" spans="1:25" x14ac:dyDescent="0.25">
      <c r="A287" t="s">
        <v>1218</v>
      </c>
      <c r="B287" t="s">
        <v>1219</v>
      </c>
      <c r="C287" t="s">
        <v>1220</v>
      </c>
      <c r="D287" t="s">
        <v>1221</v>
      </c>
      <c r="E287" t="s">
        <v>83</v>
      </c>
      <c r="F287" t="s">
        <v>56</v>
      </c>
      <c r="G287" t="s">
        <v>95</v>
      </c>
      <c r="H287" t="s">
        <v>32</v>
      </c>
      <c r="I287" t="s">
        <v>96</v>
      </c>
      <c r="J287" t="s">
        <v>73</v>
      </c>
      <c r="K287">
        <v>10</v>
      </c>
      <c r="L287">
        <v>909.55</v>
      </c>
      <c r="M287" s="3">
        <v>0</v>
      </c>
      <c r="N287" t="str">
        <f>VLOOKUP(Table1[[#This Row],[Country]],REF_Country!$A$1:$D$11,2,FALSE)</f>
        <v>South Asia</v>
      </c>
      <c r="O287" t="str">
        <f>VLOOKUP(Table1[[#This Row],[Country]],REF_Country!$A$1:$D$11,3,FALSE)</f>
        <v>IN</v>
      </c>
      <c r="P287">
        <f>VLOOKUP(Table1[[#This Row],[Country]],REF_Country!$A$1:$D$11,4,FALSE)</f>
        <v>0.18</v>
      </c>
      <c r="Q287">
        <f>VLOOKUP(Table1[[#This Row],[Category]],REF_Target!$A$1:$E$6,2,FALSE)</f>
        <v>50000</v>
      </c>
      <c r="R287">
        <f>Table1[[#This Row],[Quantity]]*Table1[[#This Row],[Unit_Price]]</f>
        <v>9095.5</v>
      </c>
      <c r="S287">
        <f>Table1[[#This Row],[Gross_Sales]]*Table1[[#This Row],[Discount_Rate]]</f>
        <v>0</v>
      </c>
      <c r="T287">
        <f>Table1[[#This Row],[Gross_Sales]]-Table1[[#This Row],[Discount_Amount]]</f>
        <v>9095.5</v>
      </c>
      <c r="U287">
        <f>VLOOKUP(Table1[[#This Row],[Category]],REF_Cost!$A$1:$B$6,2,FALSE)*Table1[[#This Row],[Quantity]]</f>
        <v>4500</v>
      </c>
      <c r="V287">
        <f>Table1[[#This Row],[Net_Sales]]-Table1[[#This Row],[Total_Cost]]</f>
        <v>4595.5</v>
      </c>
      <c r="W287" t="str">
        <f>TEXT(Table1[[#This Row],[Order_Date]],"mmm")</f>
        <v>Dec</v>
      </c>
      <c r="X287">
        <f>ROUNDUP(MONTH(Table1[[#This Row],[Order_Date]])/3,0)</f>
        <v>4</v>
      </c>
      <c r="Y287">
        <f>YEAR(Table1[[#This Row],[Order_Date]])</f>
        <v>2024</v>
      </c>
    </row>
    <row r="288" spans="1:25" x14ac:dyDescent="0.25">
      <c r="A288" t="s">
        <v>1222</v>
      </c>
      <c r="B288" t="s">
        <v>1223</v>
      </c>
      <c r="C288" t="s">
        <v>1224</v>
      </c>
      <c r="D288" t="s">
        <v>1225</v>
      </c>
      <c r="E288" t="s">
        <v>71</v>
      </c>
      <c r="F288" t="s">
        <v>30</v>
      </c>
      <c r="G288" t="s">
        <v>269</v>
      </c>
      <c r="H288" t="s">
        <v>32</v>
      </c>
      <c r="I288" t="s">
        <v>66</v>
      </c>
      <c r="J288" t="s">
        <v>73</v>
      </c>
      <c r="K288">
        <v>6</v>
      </c>
      <c r="L288">
        <v>1235.17</v>
      </c>
      <c r="M288" s="3">
        <v>0.1</v>
      </c>
      <c r="N288" t="str">
        <f>VLOOKUP(Table1[[#This Row],[Country]],REF_Country!$A$1:$D$11,2,FALSE)</f>
        <v>Southeast Asia</v>
      </c>
      <c r="O288" t="str">
        <f>VLOOKUP(Table1[[#This Row],[Country]],REF_Country!$A$1:$D$11,3,FALSE)</f>
        <v>PH</v>
      </c>
      <c r="P288">
        <f>VLOOKUP(Table1[[#This Row],[Country]],REF_Country!$A$1:$D$11,4,FALSE)</f>
        <v>0.12</v>
      </c>
      <c r="Q288">
        <f>VLOOKUP(Table1[[#This Row],[Category]],REF_Target!$A$1:$E$6,2,FALSE)</f>
        <v>40000</v>
      </c>
      <c r="R288">
        <f>Table1[[#This Row],[Quantity]]*Table1[[#This Row],[Unit_Price]]</f>
        <v>7411.02</v>
      </c>
      <c r="S288">
        <f>Table1[[#This Row],[Gross_Sales]]*Table1[[#This Row],[Discount_Rate]]</f>
        <v>741.10200000000009</v>
      </c>
      <c r="T288">
        <f>Table1[[#This Row],[Gross_Sales]]-Table1[[#This Row],[Discount_Amount]]</f>
        <v>6669.9180000000006</v>
      </c>
      <c r="U288">
        <f>VLOOKUP(Table1[[#This Row],[Category]],REF_Cost!$A$1:$B$6,2,FALSE)*Table1[[#This Row],[Quantity]]</f>
        <v>720</v>
      </c>
      <c r="V288">
        <f>Table1[[#This Row],[Net_Sales]]-Table1[[#This Row],[Total_Cost]]</f>
        <v>5949.9180000000006</v>
      </c>
      <c r="W288" t="str">
        <f>TEXT(Table1[[#This Row],[Order_Date]],"mmm")</f>
        <v>Feb</v>
      </c>
      <c r="X288">
        <f>ROUNDUP(MONTH(Table1[[#This Row],[Order_Date]])/3,0)</f>
        <v>1</v>
      </c>
      <c r="Y288">
        <f>YEAR(Table1[[#This Row],[Order_Date]])</f>
        <v>2024</v>
      </c>
    </row>
    <row r="289" spans="1:25" x14ac:dyDescent="0.25">
      <c r="A289" t="s">
        <v>1226</v>
      </c>
      <c r="B289" t="s">
        <v>1227</v>
      </c>
      <c r="C289" t="s">
        <v>1228</v>
      </c>
      <c r="D289" t="s">
        <v>1229</v>
      </c>
      <c r="E289" t="s">
        <v>29</v>
      </c>
      <c r="F289" t="s">
        <v>56</v>
      </c>
      <c r="G289" t="s">
        <v>101</v>
      </c>
      <c r="H289" t="s">
        <v>42</v>
      </c>
      <c r="I289" t="s">
        <v>43</v>
      </c>
      <c r="J289" t="s">
        <v>34</v>
      </c>
      <c r="K289">
        <v>8</v>
      </c>
      <c r="L289">
        <v>86.5</v>
      </c>
      <c r="M289" s="3">
        <v>0.2</v>
      </c>
      <c r="N289" t="str">
        <f>VLOOKUP(Table1[[#This Row],[Country]],REF_Country!$A$1:$D$11,2,FALSE)</f>
        <v>Southeast Asia</v>
      </c>
      <c r="O289" t="str">
        <f>VLOOKUP(Table1[[#This Row],[Country]],REF_Country!$A$1:$D$11,3,FALSE)</f>
        <v>VN</v>
      </c>
      <c r="P289">
        <f>VLOOKUP(Table1[[#This Row],[Country]],REF_Country!$A$1:$D$11,4,FALSE)</f>
        <v>0.1</v>
      </c>
      <c r="Q289">
        <f>VLOOKUP(Table1[[#This Row],[Category]],REF_Target!$A$1:$E$6,2,FALSE)</f>
        <v>50000</v>
      </c>
      <c r="R289">
        <f>Table1[[#This Row],[Quantity]]*Table1[[#This Row],[Unit_Price]]</f>
        <v>692</v>
      </c>
      <c r="S289">
        <f>Table1[[#This Row],[Gross_Sales]]*Table1[[#This Row],[Discount_Rate]]</f>
        <v>138.4</v>
      </c>
      <c r="T289">
        <f>Table1[[#This Row],[Gross_Sales]]-Table1[[#This Row],[Discount_Amount]]</f>
        <v>553.6</v>
      </c>
      <c r="U289">
        <f>VLOOKUP(Table1[[#This Row],[Category]],REF_Cost!$A$1:$B$6,2,FALSE)*Table1[[#This Row],[Quantity]]</f>
        <v>3600</v>
      </c>
      <c r="V289">
        <f>Table1[[#This Row],[Net_Sales]]-Table1[[#This Row],[Total_Cost]]</f>
        <v>-3046.4</v>
      </c>
      <c r="W289" t="str">
        <f>TEXT(Table1[[#This Row],[Order_Date]],"mmm")</f>
        <v>Dec</v>
      </c>
      <c r="X289">
        <f>ROUNDUP(MONTH(Table1[[#This Row],[Order_Date]])/3,0)</f>
        <v>4</v>
      </c>
      <c r="Y289">
        <f>YEAR(Table1[[#This Row],[Order_Date]])</f>
        <v>2024</v>
      </c>
    </row>
    <row r="290" spans="1:25" x14ac:dyDescent="0.25">
      <c r="A290" t="s">
        <v>1230</v>
      </c>
      <c r="B290" t="s">
        <v>1231</v>
      </c>
      <c r="C290" t="s">
        <v>1232</v>
      </c>
      <c r="D290" t="s">
        <v>1233</v>
      </c>
      <c r="E290" t="s">
        <v>149</v>
      </c>
      <c r="F290" t="s">
        <v>56</v>
      </c>
      <c r="G290" t="s">
        <v>57</v>
      </c>
      <c r="H290" t="s">
        <v>72</v>
      </c>
      <c r="I290" t="s">
        <v>43</v>
      </c>
      <c r="J290" t="s">
        <v>34</v>
      </c>
      <c r="K290">
        <v>10</v>
      </c>
      <c r="L290">
        <v>1186.26</v>
      </c>
      <c r="M290" s="3">
        <v>0.2</v>
      </c>
      <c r="N290" t="str">
        <f>VLOOKUP(Table1[[#This Row],[Country]],REF_Country!$A$1:$D$11,2,FALSE)</f>
        <v>East Asia</v>
      </c>
      <c r="O290" t="str">
        <f>VLOOKUP(Table1[[#This Row],[Country]],REF_Country!$A$1:$D$11,3,FALSE)</f>
        <v>JP</v>
      </c>
      <c r="P290">
        <f>VLOOKUP(Table1[[#This Row],[Country]],REF_Country!$A$1:$D$11,4,FALSE)</f>
        <v>0.1</v>
      </c>
      <c r="Q290">
        <f>VLOOKUP(Table1[[#This Row],[Category]],REF_Target!$A$1:$E$6,2,FALSE)</f>
        <v>50000</v>
      </c>
      <c r="R290">
        <f>Table1[[#This Row],[Quantity]]*Table1[[#This Row],[Unit_Price]]</f>
        <v>11862.6</v>
      </c>
      <c r="S290">
        <f>Table1[[#This Row],[Gross_Sales]]*Table1[[#This Row],[Discount_Rate]]</f>
        <v>2372.52</v>
      </c>
      <c r="T290">
        <f>Table1[[#This Row],[Gross_Sales]]-Table1[[#This Row],[Discount_Amount]]</f>
        <v>9490.08</v>
      </c>
      <c r="U290">
        <f>VLOOKUP(Table1[[#This Row],[Category]],REF_Cost!$A$1:$B$6,2,FALSE)*Table1[[#This Row],[Quantity]]</f>
        <v>4500</v>
      </c>
      <c r="V290">
        <f>Table1[[#This Row],[Net_Sales]]-Table1[[#This Row],[Total_Cost]]</f>
        <v>4990.08</v>
      </c>
      <c r="W290" t="str">
        <f>TEXT(Table1[[#This Row],[Order_Date]],"mmm")</f>
        <v>Jul</v>
      </c>
      <c r="X290">
        <f>ROUNDUP(MONTH(Table1[[#This Row],[Order_Date]])/3,0)</f>
        <v>3</v>
      </c>
      <c r="Y290">
        <f>YEAR(Table1[[#This Row],[Order_Date]])</f>
        <v>2024</v>
      </c>
    </row>
    <row r="291" spans="1:25" x14ac:dyDescent="0.25">
      <c r="A291" t="s">
        <v>1234</v>
      </c>
      <c r="B291" t="s">
        <v>1235</v>
      </c>
      <c r="C291" t="s">
        <v>1236</v>
      </c>
      <c r="D291" t="s">
        <v>1237</v>
      </c>
      <c r="E291" t="s">
        <v>71</v>
      </c>
      <c r="F291" t="s">
        <v>84</v>
      </c>
      <c r="G291" t="s">
        <v>205</v>
      </c>
      <c r="H291" t="s">
        <v>72</v>
      </c>
      <c r="I291" t="s">
        <v>51</v>
      </c>
      <c r="J291" t="s">
        <v>126</v>
      </c>
      <c r="K291">
        <v>3</v>
      </c>
      <c r="L291">
        <v>125.19</v>
      </c>
      <c r="M291" s="3">
        <v>0.1</v>
      </c>
      <c r="N291" t="str">
        <f>VLOOKUP(Table1[[#This Row],[Country]],REF_Country!$A$1:$D$11,2,FALSE)</f>
        <v>Southeast Asia</v>
      </c>
      <c r="O291" t="str">
        <f>VLOOKUP(Table1[[#This Row],[Country]],REF_Country!$A$1:$D$11,3,FALSE)</f>
        <v>PH</v>
      </c>
      <c r="P291">
        <f>VLOOKUP(Table1[[#This Row],[Country]],REF_Country!$A$1:$D$11,4,FALSE)</f>
        <v>0.12</v>
      </c>
      <c r="Q291">
        <f>VLOOKUP(Table1[[#This Row],[Category]],REF_Target!$A$1:$E$6,2,FALSE)</f>
        <v>30000</v>
      </c>
      <c r="R291">
        <f>Table1[[#This Row],[Quantity]]*Table1[[#This Row],[Unit_Price]]</f>
        <v>375.57</v>
      </c>
      <c r="S291">
        <f>Table1[[#This Row],[Gross_Sales]]*Table1[[#This Row],[Discount_Rate]]</f>
        <v>37.557000000000002</v>
      </c>
      <c r="T291">
        <f>Table1[[#This Row],[Gross_Sales]]-Table1[[#This Row],[Discount_Amount]]</f>
        <v>338.01299999999998</v>
      </c>
      <c r="U291">
        <f>VLOOKUP(Table1[[#This Row],[Category]],REF_Cost!$A$1:$B$6,2,FALSE)*Table1[[#This Row],[Quantity]]</f>
        <v>600</v>
      </c>
      <c r="V291">
        <f>Table1[[#This Row],[Net_Sales]]-Table1[[#This Row],[Total_Cost]]</f>
        <v>-261.98700000000002</v>
      </c>
      <c r="W291" t="str">
        <f>TEXT(Table1[[#This Row],[Order_Date]],"mmm")</f>
        <v>Jan</v>
      </c>
      <c r="X291">
        <f>ROUNDUP(MONTH(Table1[[#This Row],[Order_Date]])/3,0)</f>
        <v>1</v>
      </c>
      <c r="Y291">
        <f>YEAR(Table1[[#This Row],[Order_Date]])</f>
        <v>2024</v>
      </c>
    </row>
    <row r="292" spans="1:25" x14ac:dyDescent="0.25">
      <c r="A292" t="s">
        <v>1238</v>
      </c>
      <c r="B292" t="s">
        <v>1239</v>
      </c>
      <c r="C292" t="s">
        <v>1240</v>
      </c>
      <c r="D292" t="s">
        <v>1241</v>
      </c>
      <c r="E292" t="s">
        <v>200</v>
      </c>
      <c r="F292" t="s">
        <v>56</v>
      </c>
      <c r="G292" t="s">
        <v>57</v>
      </c>
      <c r="H292" t="s">
        <v>42</v>
      </c>
      <c r="I292" t="s">
        <v>43</v>
      </c>
      <c r="J292" t="s">
        <v>126</v>
      </c>
      <c r="K292">
        <v>3</v>
      </c>
      <c r="L292">
        <v>1414.53</v>
      </c>
      <c r="M292" s="3">
        <v>0.15</v>
      </c>
      <c r="N292" t="str">
        <f>VLOOKUP(Table1[[#This Row],[Country]],REF_Country!$A$1:$D$11,2,FALSE)</f>
        <v>East Asia</v>
      </c>
      <c r="O292" t="str">
        <f>VLOOKUP(Table1[[#This Row],[Country]],REF_Country!$A$1:$D$11,3,FALSE)</f>
        <v>KR</v>
      </c>
      <c r="P292">
        <f>VLOOKUP(Table1[[#This Row],[Country]],REF_Country!$A$1:$D$11,4,FALSE)</f>
        <v>0.1</v>
      </c>
      <c r="Q292">
        <f>VLOOKUP(Table1[[#This Row],[Category]],REF_Target!$A$1:$E$6,2,FALSE)</f>
        <v>50000</v>
      </c>
      <c r="R292">
        <f>Table1[[#This Row],[Quantity]]*Table1[[#This Row],[Unit_Price]]</f>
        <v>4243.59</v>
      </c>
      <c r="S292">
        <f>Table1[[#This Row],[Gross_Sales]]*Table1[[#This Row],[Discount_Rate]]</f>
        <v>636.5385</v>
      </c>
      <c r="T292">
        <f>Table1[[#This Row],[Gross_Sales]]-Table1[[#This Row],[Discount_Amount]]</f>
        <v>3607.0515</v>
      </c>
      <c r="U292">
        <f>VLOOKUP(Table1[[#This Row],[Category]],REF_Cost!$A$1:$B$6,2,FALSE)*Table1[[#This Row],[Quantity]]</f>
        <v>1350</v>
      </c>
      <c r="V292">
        <f>Table1[[#This Row],[Net_Sales]]-Table1[[#This Row],[Total_Cost]]</f>
        <v>2257.0515</v>
      </c>
      <c r="W292" t="str">
        <f>TEXT(Table1[[#This Row],[Order_Date]],"mmm")</f>
        <v>Oct</v>
      </c>
      <c r="X292">
        <f>ROUNDUP(MONTH(Table1[[#This Row],[Order_Date]])/3,0)</f>
        <v>4</v>
      </c>
      <c r="Y292">
        <f>YEAR(Table1[[#This Row],[Order_Date]])</f>
        <v>2024</v>
      </c>
    </row>
    <row r="293" spans="1:25" x14ac:dyDescent="0.25">
      <c r="A293" t="s">
        <v>1242</v>
      </c>
      <c r="B293" t="s">
        <v>1243</v>
      </c>
      <c r="C293" t="s">
        <v>1244</v>
      </c>
      <c r="D293" t="s">
        <v>1245</v>
      </c>
      <c r="E293" t="s">
        <v>149</v>
      </c>
      <c r="F293" t="s">
        <v>40</v>
      </c>
      <c r="G293" t="s">
        <v>41</v>
      </c>
      <c r="H293" t="s">
        <v>72</v>
      </c>
      <c r="I293" t="s">
        <v>51</v>
      </c>
      <c r="J293" t="s">
        <v>126</v>
      </c>
      <c r="K293">
        <v>5</v>
      </c>
      <c r="L293">
        <v>408.92</v>
      </c>
      <c r="M293" s="3">
        <v>0.05</v>
      </c>
      <c r="N293" t="str">
        <f>VLOOKUP(Table1[[#This Row],[Country]],REF_Country!$A$1:$D$11,2,FALSE)</f>
        <v>East Asia</v>
      </c>
      <c r="O293" t="str">
        <f>VLOOKUP(Table1[[#This Row],[Country]],REF_Country!$A$1:$D$11,3,FALSE)</f>
        <v>JP</v>
      </c>
      <c r="P293">
        <f>VLOOKUP(Table1[[#This Row],[Country]],REF_Country!$A$1:$D$11,4,FALSE)</f>
        <v>0.1</v>
      </c>
      <c r="Q293">
        <f>VLOOKUP(Table1[[#This Row],[Category]],REF_Target!$A$1:$E$6,2,FALSE)</f>
        <v>45000</v>
      </c>
      <c r="R293">
        <f>Table1[[#This Row],[Quantity]]*Table1[[#This Row],[Unit_Price]]</f>
        <v>2044.6000000000001</v>
      </c>
      <c r="S293">
        <f>Table1[[#This Row],[Gross_Sales]]*Table1[[#This Row],[Discount_Rate]]</f>
        <v>102.23000000000002</v>
      </c>
      <c r="T293">
        <f>Table1[[#This Row],[Gross_Sales]]-Table1[[#This Row],[Discount_Amount]]</f>
        <v>1942.3700000000001</v>
      </c>
      <c r="U293">
        <f>VLOOKUP(Table1[[#This Row],[Category]],REF_Cost!$A$1:$B$6,2,FALSE)*Table1[[#This Row],[Quantity]]</f>
        <v>400</v>
      </c>
      <c r="V293">
        <f>Table1[[#This Row],[Net_Sales]]-Table1[[#This Row],[Total_Cost]]</f>
        <v>1542.3700000000001</v>
      </c>
      <c r="W293" t="str">
        <f>TEXT(Table1[[#This Row],[Order_Date]],"mmm")</f>
        <v>Jun</v>
      </c>
      <c r="X293">
        <f>ROUNDUP(MONTH(Table1[[#This Row],[Order_Date]])/3,0)</f>
        <v>2</v>
      </c>
      <c r="Y293">
        <f>YEAR(Table1[[#This Row],[Order_Date]])</f>
        <v>2024</v>
      </c>
    </row>
    <row r="294" spans="1:25" x14ac:dyDescent="0.25">
      <c r="A294" t="s">
        <v>1246</v>
      </c>
      <c r="B294" t="s">
        <v>1247</v>
      </c>
      <c r="C294" t="s">
        <v>1248</v>
      </c>
      <c r="D294" t="s">
        <v>1249</v>
      </c>
      <c r="E294" t="s">
        <v>200</v>
      </c>
      <c r="F294" t="s">
        <v>30</v>
      </c>
      <c r="G294" t="s">
        <v>269</v>
      </c>
      <c r="H294" t="s">
        <v>58</v>
      </c>
      <c r="I294" t="s">
        <v>33</v>
      </c>
      <c r="J294" t="s">
        <v>34</v>
      </c>
      <c r="K294">
        <v>7</v>
      </c>
      <c r="L294">
        <v>550.83000000000004</v>
      </c>
      <c r="M294" s="3">
        <v>0</v>
      </c>
      <c r="N294" t="str">
        <f>VLOOKUP(Table1[[#This Row],[Country]],REF_Country!$A$1:$D$11,2,FALSE)</f>
        <v>East Asia</v>
      </c>
      <c r="O294" t="str">
        <f>VLOOKUP(Table1[[#This Row],[Country]],REF_Country!$A$1:$D$11,3,FALSE)</f>
        <v>KR</v>
      </c>
      <c r="P294">
        <f>VLOOKUP(Table1[[#This Row],[Country]],REF_Country!$A$1:$D$11,4,FALSE)</f>
        <v>0.1</v>
      </c>
      <c r="Q294">
        <f>VLOOKUP(Table1[[#This Row],[Category]],REF_Target!$A$1:$E$6,2,FALSE)</f>
        <v>40000</v>
      </c>
      <c r="R294">
        <f>Table1[[#This Row],[Quantity]]*Table1[[#This Row],[Unit_Price]]</f>
        <v>3855.8100000000004</v>
      </c>
      <c r="S294">
        <f>Table1[[#This Row],[Gross_Sales]]*Table1[[#This Row],[Discount_Rate]]</f>
        <v>0</v>
      </c>
      <c r="T294">
        <f>Table1[[#This Row],[Gross_Sales]]-Table1[[#This Row],[Discount_Amount]]</f>
        <v>3855.8100000000004</v>
      </c>
      <c r="U294">
        <f>VLOOKUP(Table1[[#This Row],[Category]],REF_Cost!$A$1:$B$6,2,FALSE)*Table1[[#This Row],[Quantity]]</f>
        <v>840</v>
      </c>
      <c r="V294">
        <f>Table1[[#This Row],[Net_Sales]]-Table1[[#This Row],[Total_Cost]]</f>
        <v>3015.8100000000004</v>
      </c>
      <c r="W294" t="str">
        <f>TEXT(Table1[[#This Row],[Order_Date]],"mmm")</f>
        <v>Oct</v>
      </c>
      <c r="X294">
        <f>ROUNDUP(MONTH(Table1[[#This Row],[Order_Date]])/3,0)</f>
        <v>4</v>
      </c>
      <c r="Y294">
        <f>YEAR(Table1[[#This Row],[Order_Date]])</f>
        <v>2024</v>
      </c>
    </row>
    <row r="295" spans="1:25" x14ac:dyDescent="0.25">
      <c r="A295" t="s">
        <v>1250</v>
      </c>
      <c r="B295" t="s">
        <v>1251</v>
      </c>
      <c r="C295" t="s">
        <v>1252</v>
      </c>
      <c r="D295" t="s">
        <v>1253</v>
      </c>
      <c r="E295" t="s">
        <v>48</v>
      </c>
      <c r="F295" t="s">
        <v>84</v>
      </c>
      <c r="G295" t="s">
        <v>205</v>
      </c>
      <c r="H295" t="s">
        <v>42</v>
      </c>
      <c r="I295" t="s">
        <v>96</v>
      </c>
      <c r="J295" t="s">
        <v>34</v>
      </c>
      <c r="K295">
        <v>2</v>
      </c>
      <c r="L295">
        <v>718.25</v>
      </c>
      <c r="M295" s="3">
        <v>0.05</v>
      </c>
      <c r="N295" t="str">
        <f>VLOOKUP(Table1[[#This Row],[Country]],REF_Country!$A$1:$D$11,2,FALSE)</f>
        <v>Southeast Asia</v>
      </c>
      <c r="O295" t="str">
        <f>VLOOKUP(Table1[[#This Row],[Country]],REF_Country!$A$1:$D$11,3,FALSE)</f>
        <v>SG</v>
      </c>
      <c r="P295">
        <f>VLOOKUP(Table1[[#This Row],[Country]],REF_Country!$A$1:$D$11,4,FALSE)</f>
        <v>7.0000000000000007E-2</v>
      </c>
      <c r="Q295">
        <f>VLOOKUP(Table1[[#This Row],[Category]],REF_Target!$A$1:$E$6,2,FALSE)</f>
        <v>30000</v>
      </c>
      <c r="R295">
        <f>Table1[[#This Row],[Quantity]]*Table1[[#This Row],[Unit_Price]]</f>
        <v>1436.5</v>
      </c>
      <c r="S295">
        <f>Table1[[#This Row],[Gross_Sales]]*Table1[[#This Row],[Discount_Rate]]</f>
        <v>71.825000000000003</v>
      </c>
      <c r="T295">
        <f>Table1[[#This Row],[Gross_Sales]]-Table1[[#This Row],[Discount_Amount]]</f>
        <v>1364.675</v>
      </c>
      <c r="U295">
        <f>VLOOKUP(Table1[[#This Row],[Category]],REF_Cost!$A$1:$B$6,2,FALSE)*Table1[[#This Row],[Quantity]]</f>
        <v>400</v>
      </c>
      <c r="V295">
        <f>Table1[[#This Row],[Net_Sales]]-Table1[[#This Row],[Total_Cost]]</f>
        <v>964.67499999999995</v>
      </c>
      <c r="W295" t="str">
        <f>TEXT(Table1[[#This Row],[Order_Date]],"mmm")</f>
        <v>Feb</v>
      </c>
      <c r="X295">
        <f>ROUNDUP(MONTH(Table1[[#This Row],[Order_Date]])/3,0)</f>
        <v>1</v>
      </c>
      <c r="Y295">
        <f>YEAR(Table1[[#This Row],[Order_Date]])</f>
        <v>2024</v>
      </c>
    </row>
    <row r="296" spans="1:25" x14ac:dyDescent="0.25">
      <c r="A296" t="s">
        <v>1254</v>
      </c>
      <c r="B296" t="s">
        <v>1255</v>
      </c>
      <c r="C296" t="s">
        <v>1256</v>
      </c>
      <c r="D296" t="s">
        <v>1257</v>
      </c>
      <c r="E296" t="s">
        <v>78</v>
      </c>
      <c r="F296" t="s">
        <v>49</v>
      </c>
      <c r="G296" t="s">
        <v>286</v>
      </c>
      <c r="H296" t="s">
        <v>72</v>
      </c>
      <c r="I296" t="s">
        <v>96</v>
      </c>
      <c r="J296" t="s">
        <v>126</v>
      </c>
      <c r="K296">
        <v>7</v>
      </c>
      <c r="L296">
        <v>565.97</v>
      </c>
      <c r="M296" s="3">
        <v>0.05</v>
      </c>
      <c r="N296" t="str">
        <f>VLOOKUP(Table1[[#This Row],[Country]],REF_Country!$A$1:$D$11,2,FALSE)</f>
        <v>Oceania</v>
      </c>
      <c r="O296" t="str">
        <f>VLOOKUP(Table1[[#This Row],[Country]],REF_Country!$A$1:$D$11,3,FALSE)</f>
        <v>AU</v>
      </c>
      <c r="P296">
        <f>VLOOKUP(Table1[[#This Row],[Country]],REF_Country!$A$1:$D$11,4,FALSE)</f>
        <v>0.1</v>
      </c>
      <c r="Q296">
        <f>VLOOKUP(Table1[[#This Row],[Category]],REF_Target!$A$1:$E$6,2,FALSE)</f>
        <v>35000</v>
      </c>
      <c r="R296">
        <f>Table1[[#This Row],[Quantity]]*Table1[[#This Row],[Unit_Price]]</f>
        <v>3961.79</v>
      </c>
      <c r="S296">
        <f>Table1[[#This Row],[Gross_Sales]]*Table1[[#This Row],[Discount_Rate]]</f>
        <v>198.08950000000002</v>
      </c>
      <c r="T296">
        <f>Table1[[#This Row],[Gross_Sales]]-Table1[[#This Row],[Discount_Amount]]</f>
        <v>3763.7004999999999</v>
      </c>
      <c r="U296">
        <f>VLOOKUP(Table1[[#This Row],[Category]],REF_Cost!$A$1:$B$6,2,FALSE)*Table1[[#This Row],[Quantity]]</f>
        <v>1050</v>
      </c>
      <c r="V296">
        <f>Table1[[#This Row],[Net_Sales]]-Table1[[#This Row],[Total_Cost]]</f>
        <v>2713.7004999999999</v>
      </c>
      <c r="W296" t="str">
        <f>TEXT(Table1[[#This Row],[Order_Date]],"mmm")</f>
        <v>May</v>
      </c>
      <c r="X296">
        <f>ROUNDUP(MONTH(Table1[[#This Row],[Order_Date]])/3,0)</f>
        <v>2</v>
      </c>
      <c r="Y296">
        <f>YEAR(Table1[[#This Row],[Order_Date]])</f>
        <v>2024</v>
      </c>
    </row>
    <row r="297" spans="1:25" x14ac:dyDescent="0.25">
      <c r="A297" t="s">
        <v>1258</v>
      </c>
      <c r="B297" t="s">
        <v>1259</v>
      </c>
      <c r="C297" t="s">
        <v>1260</v>
      </c>
      <c r="D297" t="s">
        <v>1261</v>
      </c>
      <c r="E297" t="s">
        <v>39</v>
      </c>
      <c r="F297" t="s">
        <v>84</v>
      </c>
      <c r="G297" t="s">
        <v>90</v>
      </c>
      <c r="H297" t="s">
        <v>58</v>
      </c>
      <c r="I297" t="s">
        <v>33</v>
      </c>
      <c r="J297" t="s">
        <v>34</v>
      </c>
      <c r="K297">
        <v>2</v>
      </c>
      <c r="L297">
        <v>106.53</v>
      </c>
      <c r="M297" s="3">
        <v>0</v>
      </c>
      <c r="N297" t="str">
        <f>VLOOKUP(Table1[[#This Row],[Country]],REF_Country!$A$1:$D$11,2,FALSE)</f>
        <v>Southeast Asia</v>
      </c>
      <c r="O297" t="str">
        <f>VLOOKUP(Table1[[#This Row],[Country]],REF_Country!$A$1:$D$11,3,FALSE)</f>
        <v>TH</v>
      </c>
      <c r="P297">
        <f>VLOOKUP(Table1[[#This Row],[Country]],REF_Country!$A$1:$D$11,4,FALSE)</f>
        <v>7.0000000000000007E-2</v>
      </c>
      <c r="Q297">
        <f>VLOOKUP(Table1[[#This Row],[Category]],REF_Target!$A$1:$E$6,2,FALSE)</f>
        <v>30000</v>
      </c>
      <c r="R297">
        <f>Table1[[#This Row],[Quantity]]*Table1[[#This Row],[Unit_Price]]</f>
        <v>213.06</v>
      </c>
      <c r="S297">
        <f>Table1[[#This Row],[Gross_Sales]]*Table1[[#This Row],[Discount_Rate]]</f>
        <v>0</v>
      </c>
      <c r="T297">
        <f>Table1[[#This Row],[Gross_Sales]]-Table1[[#This Row],[Discount_Amount]]</f>
        <v>213.06</v>
      </c>
      <c r="U297">
        <f>VLOOKUP(Table1[[#This Row],[Category]],REF_Cost!$A$1:$B$6,2,FALSE)*Table1[[#This Row],[Quantity]]</f>
        <v>400</v>
      </c>
      <c r="V297">
        <f>Table1[[#This Row],[Net_Sales]]-Table1[[#This Row],[Total_Cost]]</f>
        <v>-186.94</v>
      </c>
      <c r="W297" t="str">
        <f>TEXT(Table1[[#This Row],[Order_Date]],"mmm")</f>
        <v>Aug</v>
      </c>
      <c r="X297">
        <f>ROUNDUP(MONTH(Table1[[#This Row],[Order_Date]])/3,0)</f>
        <v>3</v>
      </c>
      <c r="Y297">
        <f>YEAR(Table1[[#This Row],[Order_Date]])</f>
        <v>2024</v>
      </c>
    </row>
    <row r="298" spans="1:25" x14ac:dyDescent="0.25">
      <c r="A298" t="s">
        <v>1262</v>
      </c>
      <c r="B298" t="s">
        <v>1263</v>
      </c>
      <c r="C298" t="s">
        <v>1264</v>
      </c>
      <c r="D298" t="s">
        <v>1265</v>
      </c>
      <c r="E298" t="s">
        <v>149</v>
      </c>
      <c r="F298" t="s">
        <v>40</v>
      </c>
      <c r="G298" t="s">
        <v>565</v>
      </c>
      <c r="H298" t="s">
        <v>72</v>
      </c>
      <c r="I298" t="s">
        <v>96</v>
      </c>
      <c r="J298" t="s">
        <v>59</v>
      </c>
      <c r="K298">
        <v>8</v>
      </c>
      <c r="L298">
        <v>1448.96</v>
      </c>
      <c r="M298" s="3">
        <v>0.15</v>
      </c>
      <c r="N298" t="str">
        <f>VLOOKUP(Table1[[#This Row],[Country]],REF_Country!$A$1:$D$11,2,FALSE)</f>
        <v>East Asia</v>
      </c>
      <c r="O298" t="str">
        <f>VLOOKUP(Table1[[#This Row],[Country]],REF_Country!$A$1:$D$11,3,FALSE)</f>
        <v>JP</v>
      </c>
      <c r="P298">
        <f>VLOOKUP(Table1[[#This Row],[Country]],REF_Country!$A$1:$D$11,4,FALSE)</f>
        <v>0.1</v>
      </c>
      <c r="Q298">
        <f>VLOOKUP(Table1[[#This Row],[Category]],REF_Target!$A$1:$E$6,2,FALSE)</f>
        <v>45000</v>
      </c>
      <c r="R298">
        <f>Table1[[#This Row],[Quantity]]*Table1[[#This Row],[Unit_Price]]</f>
        <v>11591.68</v>
      </c>
      <c r="S298">
        <f>Table1[[#This Row],[Gross_Sales]]*Table1[[#This Row],[Discount_Rate]]</f>
        <v>1738.752</v>
      </c>
      <c r="T298">
        <f>Table1[[#This Row],[Gross_Sales]]-Table1[[#This Row],[Discount_Amount]]</f>
        <v>9852.9279999999999</v>
      </c>
      <c r="U298">
        <f>VLOOKUP(Table1[[#This Row],[Category]],REF_Cost!$A$1:$B$6,2,FALSE)*Table1[[#This Row],[Quantity]]</f>
        <v>640</v>
      </c>
      <c r="V298">
        <f>Table1[[#This Row],[Net_Sales]]-Table1[[#This Row],[Total_Cost]]</f>
        <v>9212.9279999999999</v>
      </c>
      <c r="W298" t="str">
        <f>TEXT(Table1[[#This Row],[Order_Date]],"mmm")</f>
        <v>Apr</v>
      </c>
      <c r="X298">
        <f>ROUNDUP(MONTH(Table1[[#This Row],[Order_Date]])/3,0)</f>
        <v>2</v>
      </c>
      <c r="Y298">
        <f>YEAR(Table1[[#This Row],[Order_Date]])</f>
        <v>2024</v>
      </c>
    </row>
    <row r="299" spans="1:25" x14ac:dyDescent="0.25">
      <c r="A299" t="s">
        <v>1266</v>
      </c>
      <c r="B299" t="s">
        <v>1267</v>
      </c>
      <c r="C299" t="s">
        <v>1268</v>
      </c>
      <c r="D299" t="s">
        <v>1269</v>
      </c>
      <c r="E299" t="s">
        <v>78</v>
      </c>
      <c r="F299" t="s">
        <v>40</v>
      </c>
      <c r="G299" t="s">
        <v>41</v>
      </c>
      <c r="H299" t="s">
        <v>32</v>
      </c>
      <c r="I299" t="s">
        <v>96</v>
      </c>
      <c r="J299" t="s">
        <v>73</v>
      </c>
      <c r="K299">
        <v>10</v>
      </c>
      <c r="L299">
        <v>1203.67</v>
      </c>
      <c r="M299" s="3">
        <v>0</v>
      </c>
      <c r="N299" t="str">
        <f>VLOOKUP(Table1[[#This Row],[Country]],REF_Country!$A$1:$D$11,2,FALSE)</f>
        <v>Oceania</v>
      </c>
      <c r="O299" t="str">
        <f>VLOOKUP(Table1[[#This Row],[Country]],REF_Country!$A$1:$D$11,3,FALSE)</f>
        <v>AU</v>
      </c>
      <c r="P299">
        <f>VLOOKUP(Table1[[#This Row],[Country]],REF_Country!$A$1:$D$11,4,FALSE)</f>
        <v>0.1</v>
      </c>
      <c r="Q299">
        <f>VLOOKUP(Table1[[#This Row],[Category]],REF_Target!$A$1:$E$6,2,FALSE)</f>
        <v>45000</v>
      </c>
      <c r="R299">
        <f>Table1[[#This Row],[Quantity]]*Table1[[#This Row],[Unit_Price]]</f>
        <v>12036.7</v>
      </c>
      <c r="S299">
        <f>Table1[[#This Row],[Gross_Sales]]*Table1[[#This Row],[Discount_Rate]]</f>
        <v>0</v>
      </c>
      <c r="T299">
        <f>Table1[[#This Row],[Gross_Sales]]-Table1[[#This Row],[Discount_Amount]]</f>
        <v>12036.7</v>
      </c>
      <c r="U299">
        <f>VLOOKUP(Table1[[#This Row],[Category]],REF_Cost!$A$1:$B$6,2,FALSE)*Table1[[#This Row],[Quantity]]</f>
        <v>800</v>
      </c>
      <c r="V299">
        <f>Table1[[#This Row],[Net_Sales]]-Table1[[#This Row],[Total_Cost]]</f>
        <v>11236.7</v>
      </c>
      <c r="W299" t="str">
        <f>TEXT(Table1[[#This Row],[Order_Date]],"mmm")</f>
        <v>Jul</v>
      </c>
      <c r="X299">
        <f>ROUNDUP(MONTH(Table1[[#This Row],[Order_Date]])/3,0)</f>
        <v>3</v>
      </c>
      <c r="Y299">
        <f>YEAR(Table1[[#This Row],[Order_Date]])</f>
        <v>2024</v>
      </c>
    </row>
    <row r="300" spans="1:25" x14ac:dyDescent="0.25">
      <c r="A300" t="s">
        <v>1270</v>
      </c>
      <c r="B300" t="s">
        <v>1271</v>
      </c>
      <c r="C300" t="s">
        <v>1272</v>
      </c>
      <c r="D300" t="s">
        <v>1273</v>
      </c>
      <c r="E300" t="s">
        <v>64</v>
      </c>
      <c r="F300" t="s">
        <v>49</v>
      </c>
      <c r="G300" t="s">
        <v>117</v>
      </c>
      <c r="H300" t="s">
        <v>72</v>
      </c>
      <c r="I300" t="s">
        <v>33</v>
      </c>
      <c r="J300" t="s">
        <v>59</v>
      </c>
      <c r="K300">
        <v>7</v>
      </c>
      <c r="L300">
        <v>1482.6</v>
      </c>
      <c r="M300" s="3">
        <v>0</v>
      </c>
      <c r="N300" t="str">
        <f>VLOOKUP(Table1[[#This Row],[Country]],REF_Country!$A$1:$D$11,2,FALSE)</f>
        <v>Southeast Asia</v>
      </c>
      <c r="O300" t="str">
        <f>VLOOKUP(Table1[[#This Row],[Country]],REF_Country!$A$1:$D$11,3,FALSE)</f>
        <v>ID</v>
      </c>
      <c r="P300">
        <f>VLOOKUP(Table1[[#This Row],[Country]],REF_Country!$A$1:$D$11,4,FALSE)</f>
        <v>0.11</v>
      </c>
      <c r="Q300">
        <f>VLOOKUP(Table1[[#This Row],[Category]],REF_Target!$A$1:$E$6,2,FALSE)</f>
        <v>35000</v>
      </c>
      <c r="R300">
        <f>Table1[[#This Row],[Quantity]]*Table1[[#This Row],[Unit_Price]]</f>
        <v>10378.199999999999</v>
      </c>
      <c r="S300">
        <f>Table1[[#This Row],[Gross_Sales]]*Table1[[#This Row],[Discount_Rate]]</f>
        <v>0</v>
      </c>
      <c r="T300">
        <f>Table1[[#This Row],[Gross_Sales]]-Table1[[#This Row],[Discount_Amount]]</f>
        <v>10378.199999999999</v>
      </c>
      <c r="U300">
        <f>VLOOKUP(Table1[[#This Row],[Category]],REF_Cost!$A$1:$B$6,2,FALSE)*Table1[[#This Row],[Quantity]]</f>
        <v>1050</v>
      </c>
      <c r="V300">
        <f>Table1[[#This Row],[Net_Sales]]-Table1[[#This Row],[Total_Cost]]</f>
        <v>9328.1999999999989</v>
      </c>
      <c r="W300" t="str">
        <f>TEXT(Table1[[#This Row],[Order_Date]],"mmm")</f>
        <v>Apr</v>
      </c>
      <c r="X300">
        <f>ROUNDUP(MONTH(Table1[[#This Row],[Order_Date]])/3,0)</f>
        <v>2</v>
      </c>
      <c r="Y300">
        <f>YEAR(Table1[[#This Row],[Order_Date]])</f>
        <v>2024</v>
      </c>
    </row>
    <row r="301" spans="1:25" x14ac:dyDescent="0.25">
      <c r="A301" t="s">
        <v>1274</v>
      </c>
      <c r="B301" t="s">
        <v>1275</v>
      </c>
      <c r="C301" t="s">
        <v>1276</v>
      </c>
      <c r="D301" t="s">
        <v>1277</v>
      </c>
      <c r="E301" t="s">
        <v>78</v>
      </c>
      <c r="F301" t="s">
        <v>49</v>
      </c>
      <c r="G301" t="s">
        <v>259</v>
      </c>
      <c r="H301" t="s">
        <v>42</v>
      </c>
      <c r="I301" t="s">
        <v>51</v>
      </c>
      <c r="J301" t="s">
        <v>34</v>
      </c>
      <c r="K301">
        <v>5</v>
      </c>
      <c r="L301">
        <v>499.3</v>
      </c>
      <c r="M301" s="3">
        <v>0.15</v>
      </c>
      <c r="N301" t="str">
        <f>VLOOKUP(Table1[[#This Row],[Country]],REF_Country!$A$1:$D$11,2,FALSE)</f>
        <v>Oceania</v>
      </c>
      <c r="O301" t="str">
        <f>VLOOKUP(Table1[[#This Row],[Country]],REF_Country!$A$1:$D$11,3,FALSE)</f>
        <v>AU</v>
      </c>
      <c r="P301">
        <f>VLOOKUP(Table1[[#This Row],[Country]],REF_Country!$A$1:$D$11,4,FALSE)</f>
        <v>0.1</v>
      </c>
      <c r="Q301">
        <f>VLOOKUP(Table1[[#This Row],[Category]],REF_Target!$A$1:$E$6,2,FALSE)</f>
        <v>35000</v>
      </c>
      <c r="R301">
        <f>Table1[[#This Row],[Quantity]]*Table1[[#This Row],[Unit_Price]]</f>
        <v>2496.5</v>
      </c>
      <c r="S301">
        <f>Table1[[#This Row],[Gross_Sales]]*Table1[[#This Row],[Discount_Rate]]</f>
        <v>374.47499999999997</v>
      </c>
      <c r="T301">
        <f>Table1[[#This Row],[Gross_Sales]]-Table1[[#This Row],[Discount_Amount]]</f>
        <v>2122.0250000000001</v>
      </c>
      <c r="U301">
        <f>VLOOKUP(Table1[[#This Row],[Category]],REF_Cost!$A$1:$B$6,2,FALSE)*Table1[[#This Row],[Quantity]]</f>
        <v>750</v>
      </c>
      <c r="V301">
        <f>Table1[[#This Row],[Net_Sales]]-Table1[[#This Row],[Total_Cost]]</f>
        <v>1372.0250000000001</v>
      </c>
      <c r="W301" t="str">
        <f>TEXT(Table1[[#This Row],[Order_Date]],"mmm")</f>
        <v>Feb</v>
      </c>
      <c r="X301">
        <f>ROUNDUP(MONTH(Table1[[#This Row],[Order_Date]])/3,0)</f>
        <v>1</v>
      </c>
      <c r="Y301">
        <f>YEAR(Table1[[#This Row],[Order_Date]])</f>
        <v>2024</v>
      </c>
    </row>
    <row r="302" spans="1:25" x14ac:dyDescent="0.25">
      <c r="A302" t="s">
        <v>1278</v>
      </c>
      <c r="B302" t="s">
        <v>1279</v>
      </c>
      <c r="C302" t="s">
        <v>1280</v>
      </c>
      <c r="D302" t="s">
        <v>1281</v>
      </c>
      <c r="E302" t="s">
        <v>83</v>
      </c>
      <c r="F302" t="s">
        <v>40</v>
      </c>
      <c r="G302" t="s">
        <v>41</v>
      </c>
      <c r="H302" t="s">
        <v>32</v>
      </c>
      <c r="I302" t="s">
        <v>66</v>
      </c>
      <c r="J302" t="s">
        <v>59</v>
      </c>
      <c r="K302">
        <v>2</v>
      </c>
      <c r="L302">
        <v>1141.19</v>
      </c>
      <c r="M302" s="3">
        <v>0</v>
      </c>
      <c r="N302" t="str">
        <f>VLOOKUP(Table1[[#This Row],[Country]],REF_Country!$A$1:$D$11,2,FALSE)</f>
        <v>South Asia</v>
      </c>
      <c r="O302" t="str">
        <f>VLOOKUP(Table1[[#This Row],[Country]],REF_Country!$A$1:$D$11,3,FALSE)</f>
        <v>IN</v>
      </c>
      <c r="P302">
        <f>VLOOKUP(Table1[[#This Row],[Country]],REF_Country!$A$1:$D$11,4,FALSE)</f>
        <v>0.18</v>
      </c>
      <c r="Q302">
        <f>VLOOKUP(Table1[[#This Row],[Category]],REF_Target!$A$1:$E$6,2,FALSE)</f>
        <v>45000</v>
      </c>
      <c r="R302">
        <f>Table1[[#This Row],[Quantity]]*Table1[[#This Row],[Unit_Price]]</f>
        <v>2282.38</v>
      </c>
      <c r="S302">
        <f>Table1[[#This Row],[Gross_Sales]]*Table1[[#This Row],[Discount_Rate]]</f>
        <v>0</v>
      </c>
      <c r="T302">
        <f>Table1[[#This Row],[Gross_Sales]]-Table1[[#This Row],[Discount_Amount]]</f>
        <v>2282.38</v>
      </c>
      <c r="U302">
        <f>VLOOKUP(Table1[[#This Row],[Category]],REF_Cost!$A$1:$B$6,2,FALSE)*Table1[[#This Row],[Quantity]]</f>
        <v>160</v>
      </c>
      <c r="V302">
        <f>Table1[[#This Row],[Net_Sales]]-Table1[[#This Row],[Total_Cost]]</f>
        <v>2122.38</v>
      </c>
      <c r="W302" t="str">
        <f>TEXT(Table1[[#This Row],[Order_Date]],"mmm")</f>
        <v>Jul</v>
      </c>
      <c r="X302">
        <f>ROUNDUP(MONTH(Table1[[#This Row],[Order_Date]])/3,0)</f>
        <v>3</v>
      </c>
      <c r="Y302">
        <f>YEAR(Table1[[#This Row],[Order_Date]])</f>
        <v>2024</v>
      </c>
    </row>
    <row r="303" spans="1:25" x14ac:dyDescent="0.25">
      <c r="A303" t="s">
        <v>1282</v>
      </c>
      <c r="B303" t="s">
        <v>1283</v>
      </c>
      <c r="C303" t="s">
        <v>1284</v>
      </c>
      <c r="D303" t="s">
        <v>1285</v>
      </c>
      <c r="E303" t="s">
        <v>200</v>
      </c>
      <c r="F303" t="s">
        <v>40</v>
      </c>
      <c r="G303" t="s">
        <v>41</v>
      </c>
      <c r="H303" t="s">
        <v>42</v>
      </c>
      <c r="I303" t="s">
        <v>43</v>
      </c>
      <c r="J303" t="s">
        <v>34</v>
      </c>
      <c r="K303">
        <v>3</v>
      </c>
      <c r="L303">
        <v>717.47</v>
      </c>
      <c r="M303" s="3">
        <v>0.05</v>
      </c>
      <c r="N303" t="str">
        <f>VLOOKUP(Table1[[#This Row],[Country]],REF_Country!$A$1:$D$11,2,FALSE)</f>
        <v>East Asia</v>
      </c>
      <c r="O303" t="str">
        <f>VLOOKUP(Table1[[#This Row],[Country]],REF_Country!$A$1:$D$11,3,FALSE)</f>
        <v>KR</v>
      </c>
      <c r="P303">
        <f>VLOOKUP(Table1[[#This Row],[Country]],REF_Country!$A$1:$D$11,4,FALSE)</f>
        <v>0.1</v>
      </c>
      <c r="Q303">
        <f>VLOOKUP(Table1[[#This Row],[Category]],REF_Target!$A$1:$E$6,2,FALSE)</f>
        <v>45000</v>
      </c>
      <c r="R303">
        <f>Table1[[#This Row],[Quantity]]*Table1[[#This Row],[Unit_Price]]</f>
        <v>2152.41</v>
      </c>
      <c r="S303">
        <f>Table1[[#This Row],[Gross_Sales]]*Table1[[#This Row],[Discount_Rate]]</f>
        <v>107.62049999999999</v>
      </c>
      <c r="T303">
        <f>Table1[[#This Row],[Gross_Sales]]-Table1[[#This Row],[Discount_Amount]]</f>
        <v>2044.7894999999999</v>
      </c>
      <c r="U303">
        <f>VLOOKUP(Table1[[#This Row],[Category]],REF_Cost!$A$1:$B$6,2,FALSE)*Table1[[#This Row],[Quantity]]</f>
        <v>240</v>
      </c>
      <c r="V303">
        <f>Table1[[#This Row],[Net_Sales]]-Table1[[#This Row],[Total_Cost]]</f>
        <v>1804.7894999999999</v>
      </c>
      <c r="W303" t="str">
        <f>TEXT(Table1[[#This Row],[Order_Date]],"mmm")</f>
        <v>May</v>
      </c>
      <c r="X303">
        <f>ROUNDUP(MONTH(Table1[[#This Row],[Order_Date]])/3,0)</f>
        <v>2</v>
      </c>
      <c r="Y303">
        <f>YEAR(Table1[[#This Row],[Order_Date]])</f>
        <v>2024</v>
      </c>
    </row>
    <row r="304" spans="1:25" x14ac:dyDescent="0.25">
      <c r="A304" t="s">
        <v>1286</v>
      </c>
      <c r="B304" t="s">
        <v>1287</v>
      </c>
      <c r="C304" t="s">
        <v>1288</v>
      </c>
      <c r="D304" t="s">
        <v>1289</v>
      </c>
      <c r="E304" t="s">
        <v>39</v>
      </c>
      <c r="F304" t="s">
        <v>56</v>
      </c>
      <c r="G304" t="s">
        <v>57</v>
      </c>
      <c r="H304" t="s">
        <v>58</v>
      </c>
      <c r="I304" t="s">
        <v>66</v>
      </c>
      <c r="J304" t="s">
        <v>59</v>
      </c>
      <c r="K304">
        <v>6</v>
      </c>
      <c r="L304">
        <v>1382.44</v>
      </c>
      <c r="M304" s="3">
        <v>0</v>
      </c>
      <c r="N304" t="str">
        <f>VLOOKUP(Table1[[#This Row],[Country]],REF_Country!$A$1:$D$11,2,FALSE)</f>
        <v>Southeast Asia</v>
      </c>
      <c r="O304" t="str">
        <f>VLOOKUP(Table1[[#This Row],[Country]],REF_Country!$A$1:$D$11,3,FALSE)</f>
        <v>TH</v>
      </c>
      <c r="P304">
        <f>VLOOKUP(Table1[[#This Row],[Country]],REF_Country!$A$1:$D$11,4,FALSE)</f>
        <v>7.0000000000000007E-2</v>
      </c>
      <c r="Q304">
        <f>VLOOKUP(Table1[[#This Row],[Category]],REF_Target!$A$1:$E$6,2,FALSE)</f>
        <v>50000</v>
      </c>
      <c r="R304">
        <f>Table1[[#This Row],[Quantity]]*Table1[[#This Row],[Unit_Price]]</f>
        <v>8294.64</v>
      </c>
      <c r="S304">
        <f>Table1[[#This Row],[Gross_Sales]]*Table1[[#This Row],[Discount_Rate]]</f>
        <v>0</v>
      </c>
      <c r="T304">
        <f>Table1[[#This Row],[Gross_Sales]]-Table1[[#This Row],[Discount_Amount]]</f>
        <v>8294.64</v>
      </c>
      <c r="U304">
        <f>VLOOKUP(Table1[[#This Row],[Category]],REF_Cost!$A$1:$B$6,2,FALSE)*Table1[[#This Row],[Quantity]]</f>
        <v>2700</v>
      </c>
      <c r="V304">
        <f>Table1[[#This Row],[Net_Sales]]-Table1[[#This Row],[Total_Cost]]</f>
        <v>5594.6399999999994</v>
      </c>
      <c r="W304" t="str">
        <f>TEXT(Table1[[#This Row],[Order_Date]],"mmm")</f>
        <v>Jul</v>
      </c>
      <c r="X304">
        <f>ROUNDUP(MONTH(Table1[[#This Row],[Order_Date]])/3,0)</f>
        <v>3</v>
      </c>
      <c r="Y304">
        <f>YEAR(Table1[[#This Row],[Order_Date]])</f>
        <v>2024</v>
      </c>
    </row>
    <row r="305" spans="1:25" x14ac:dyDescent="0.25">
      <c r="A305" t="s">
        <v>1290</v>
      </c>
      <c r="B305" t="s">
        <v>1291</v>
      </c>
      <c r="C305" t="s">
        <v>1292</v>
      </c>
      <c r="D305" t="s">
        <v>1293</v>
      </c>
      <c r="E305" t="s">
        <v>116</v>
      </c>
      <c r="F305" t="s">
        <v>30</v>
      </c>
      <c r="G305" t="s">
        <v>31</v>
      </c>
      <c r="H305" t="s">
        <v>58</v>
      </c>
      <c r="I305" t="s">
        <v>96</v>
      </c>
      <c r="J305" t="s">
        <v>126</v>
      </c>
      <c r="K305">
        <v>8</v>
      </c>
      <c r="L305">
        <v>461.21</v>
      </c>
      <c r="M305" s="3">
        <v>0.05</v>
      </c>
      <c r="N305" t="str">
        <f>VLOOKUP(Table1[[#This Row],[Country]],REF_Country!$A$1:$D$11,2,FALSE)</f>
        <v>Southeast Asia</v>
      </c>
      <c r="O305" t="str">
        <f>VLOOKUP(Table1[[#This Row],[Country]],REF_Country!$A$1:$D$11,3,FALSE)</f>
        <v>MY</v>
      </c>
      <c r="P305">
        <f>VLOOKUP(Table1[[#This Row],[Country]],REF_Country!$A$1:$D$11,4,FALSE)</f>
        <v>0.06</v>
      </c>
      <c r="Q305">
        <f>VLOOKUP(Table1[[#This Row],[Category]],REF_Target!$A$1:$E$6,2,FALSE)</f>
        <v>40000</v>
      </c>
      <c r="R305">
        <f>Table1[[#This Row],[Quantity]]*Table1[[#This Row],[Unit_Price]]</f>
        <v>3689.68</v>
      </c>
      <c r="S305">
        <f>Table1[[#This Row],[Gross_Sales]]*Table1[[#This Row],[Discount_Rate]]</f>
        <v>184.48400000000001</v>
      </c>
      <c r="T305">
        <f>Table1[[#This Row],[Gross_Sales]]-Table1[[#This Row],[Discount_Amount]]</f>
        <v>3505.1959999999999</v>
      </c>
      <c r="U305">
        <f>VLOOKUP(Table1[[#This Row],[Category]],REF_Cost!$A$1:$B$6,2,FALSE)*Table1[[#This Row],[Quantity]]</f>
        <v>960</v>
      </c>
      <c r="V305">
        <f>Table1[[#This Row],[Net_Sales]]-Table1[[#This Row],[Total_Cost]]</f>
        <v>2545.1959999999999</v>
      </c>
      <c r="W305" t="str">
        <f>TEXT(Table1[[#This Row],[Order_Date]],"mmm")</f>
        <v>Sep</v>
      </c>
      <c r="X305">
        <f>ROUNDUP(MONTH(Table1[[#This Row],[Order_Date]])/3,0)</f>
        <v>3</v>
      </c>
      <c r="Y305">
        <f>YEAR(Table1[[#This Row],[Order_Date]])</f>
        <v>2024</v>
      </c>
    </row>
    <row r="306" spans="1:25" x14ac:dyDescent="0.25">
      <c r="A306" t="s">
        <v>1294</v>
      </c>
      <c r="B306" t="s">
        <v>1295</v>
      </c>
      <c r="C306" t="s">
        <v>1296</v>
      </c>
      <c r="D306" t="s">
        <v>1297</v>
      </c>
      <c r="E306" t="s">
        <v>149</v>
      </c>
      <c r="F306" t="s">
        <v>49</v>
      </c>
      <c r="G306" t="s">
        <v>259</v>
      </c>
      <c r="H306" t="s">
        <v>72</v>
      </c>
      <c r="I306" t="s">
        <v>51</v>
      </c>
      <c r="J306" t="s">
        <v>59</v>
      </c>
      <c r="K306">
        <v>1</v>
      </c>
      <c r="L306">
        <v>1302.78</v>
      </c>
      <c r="M306" s="3">
        <v>0.15</v>
      </c>
      <c r="N306" t="str">
        <f>VLOOKUP(Table1[[#This Row],[Country]],REF_Country!$A$1:$D$11,2,FALSE)</f>
        <v>East Asia</v>
      </c>
      <c r="O306" t="str">
        <f>VLOOKUP(Table1[[#This Row],[Country]],REF_Country!$A$1:$D$11,3,FALSE)</f>
        <v>JP</v>
      </c>
      <c r="P306">
        <f>VLOOKUP(Table1[[#This Row],[Country]],REF_Country!$A$1:$D$11,4,FALSE)</f>
        <v>0.1</v>
      </c>
      <c r="Q306">
        <f>VLOOKUP(Table1[[#This Row],[Category]],REF_Target!$A$1:$E$6,2,FALSE)</f>
        <v>35000</v>
      </c>
      <c r="R306">
        <f>Table1[[#This Row],[Quantity]]*Table1[[#This Row],[Unit_Price]]</f>
        <v>1302.78</v>
      </c>
      <c r="S306">
        <f>Table1[[#This Row],[Gross_Sales]]*Table1[[#This Row],[Discount_Rate]]</f>
        <v>195.417</v>
      </c>
      <c r="T306">
        <f>Table1[[#This Row],[Gross_Sales]]-Table1[[#This Row],[Discount_Amount]]</f>
        <v>1107.3630000000001</v>
      </c>
      <c r="U306">
        <f>VLOOKUP(Table1[[#This Row],[Category]],REF_Cost!$A$1:$B$6,2,FALSE)*Table1[[#This Row],[Quantity]]</f>
        <v>150</v>
      </c>
      <c r="V306">
        <f>Table1[[#This Row],[Net_Sales]]-Table1[[#This Row],[Total_Cost]]</f>
        <v>957.36300000000006</v>
      </c>
      <c r="W306" t="str">
        <f>TEXT(Table1[[#This Row],[Order_Date]],"mmm")</f>
        <v>Aug</v>
      </c>
      <c r="X306">
        <f>ROUNDUP(MONTH(Table1[[#This Row],[Order_Date]])/3,0)</f>
        <v>3</v>
      </c>
      <c r="Y306">
        <f>YEAR(Table1[[#This Row],[Order_Date]])</f>
        <v>2024</v>
      </c>
    </row>
    <row r="307" spans="1:25" x14ac:dyDescent="0.25">
      <c r="A307" t="s">
        <v>1298</v>
      </c>
      <c r="B307" t="s">
        <v>1299</v>
      </c>
      <c r="C307" t="s">
        <v>1300</v>
      </c>
      <c r="D307" t="s">
        <v>1301</v>
      </c>
      <c r="E307" t="s">
        <v>78</v>
      </c>
      <c r="F307" t="s">
        <v>40</v>
      </c>
      <c r="G307" t="s">
        <v>144</v>
      </c>
      <c r="H307" t="s">
        <v>72</v>
      </c>
      <c r="I307" t="s">
        <v>51</v>
      </c>
      <c r="J307" t="s">
        <v>34</v>
      </c>
      <c r="K307">
        <v>4</v>
      </c>
      <c r="L307">
        <v>273</v>
      </c>
      <c r="M307" s="3">
        <v>0</v>
      </c>
      <c r="N307" t="str">
        <f>VLOOKUP(Table1[[#This Row],[Country]],REF_Country!$A$1:$D$11,2,FALSE)</f>
        <v>Oceania</v>
      </c>
      <c r="O307" t="str">
        <f>VLOOKUP(Table1[[#This Row],[Country]],REF_Country!$A$1:$D$11,3,FALSE)</f>
        <v>AU</v>
      </c>
      <c r="P307">
        <f>VLOOKUP(Table1[[#This Row],[Country]],REF_Country!$A$1:$D$11,4,FALSE)</f>
        <v>0.1</v>
      </c>
      <c r="Q307">
        <f>VLOOKUP(Table1[[#This Row],[Category]],REF_Target!$A$1:$E$6,2,FALSE)</f>
        <v>45000</v>
      </c>
      <c r="R307">
        <f>Table1[[#This Row],[Quantity]]*Table1[[#This Row],[Unit_Price]]</f>
        <v>1092</v>
      </c>
      <c r="S307">
        <f>Table1[[#This Row],[Gross_Sales]]*Table1[[#This Row],[Discount_Rate]]</f>
        <v>0</v>
      </c>
      <c r="T307">
        <f>Table1[[#This Row],[Gross_Sales]]-Table1[[#This Row],[Discount_Amount]]</f>
        <v>1092</v>
      </c>
      <c r="U307">
        <f>VLOOKUP(Table1[[#This Row],[Category]],REF_Cost!$A$1:$B$6,2,FALSE)*Table1[[#This Row],[Quantity]]</f>
        <v>320</v>
      </c>
      <c r="V307">
        <f>Table1[[#This Row],[Net_Sales]]-Table1[[#This Row],[Total_Cost]]</f>
        <v>772</v>
      </c>
      <c r="W307" t="str">
        <f>TEXT(Table1[[#This Row],[Order_Date]],"mmm")</f>
        <v>Jul</v>
      </c>
      <c r="X307">
        <f>ROUNDUP(MONTH(Table1[[#This Row],[Order_Date]])/3,0)</f>
        <v>3</v>
      </c>
      <c r="Y307">
        <f>YEAR(Table1[[#This Row],[Order_Date]])</f>
        <v>2024</v>
      </c>
    </row>
    <row r="308" spans="1:25" x14ac:dyDescent="0.25">
      <c r="A308" t="s">
        <v>1302</v>
      </c>
      <c r="B308" t="s">
        <v>1303</v>
      </c>
      <c r="C308" t="s">
        <v>1304</v>
      </c>
      <c r="D308" t="s">
        <v>1305</v>
      </c>
      <c r="E308" t="s">
        <v>29</v>
      </c>
      <c r="F308" t="s">
        <v>84</v>
      </c>
      <c r="G308" t="s">
        <v>264</v>
      </c>
      <c r="H308" t="s">
        <v>32</v>
      </c>
      <c r="I308" t="s">
        <v>43</v>
      </c>
      <c r="J308" t="s">
        <v>59</v>
      </c>
      <c r="K308">
        <v>2</v>
      </c>
      <c r="L308">
        <v>765.11</v>
      </c>
      <c r="M308" s="3">
        <v>0.2</v>
      </c>
      <c r="N308" t="str">
        <f>VLOOKUP(Table1[[#This Row],[Country]],REF_Country!$A$1:$D$11,2,FALSE)</f>
        <v>Southeast Asia</v>
      </c>
      <c r="O308" t="str">
        <f>VLOOKUP(Table1[[#This Row],[Country]],REF_Country!$A$1:$D$11,3,FALSE)</f>
        <v>VN</v>
      </c>
      <c r="P308">
        <f>VLOOKUP(Table1[[#This Row],[Country]],REF_Country!$A$1:$D$11,4,FALSE)</f>
        <v>0.1</v>
      </c>
      <c r="Q308">
        <f>VLOOKUP(Table1[[#This Row],[Category]],REF_Target!$A$1:$E$6,2,FALSE)</f>
        <v>30000</v>
      </c>
      <c r="R308">
        <f>Table1[[#This Row],[Quantity]]*Table1[[#This Row],[Unit_Price]]</f>
        <v>1530.22</v>
      </c>
      <c r="S308">
        <f>Table1[[#This Row],[Gross_Sales]]*Table1[[#This Row],[Discount_Rate]]</f>
        <v>306.04400000000004</v>
      </c>
      <c r="T308">
        <f>Table1[[#This Row],[Gross_Sales]]-Table1[[#This Row],[Discount_Amount]]</f>
        <v>1224.1759999999999</v>
      </c>
      <c r="U308">
        <f>VLOOKUP(Table1[[#This Row],[Category]],REF_Cost!$A$1:$B$6,2,FALSE)*Table1[[#This Row],[Quantity]]</f>
        <v>400</v>
      </c>
      <c r="V308">
        <f>Table1[[#This Row],[Net_Sales]]-Table1[[#This Row],[Total_Cost]]</f>
        <v>824.17599999999993</v>
      </c>
      <c r="W308" t="str">
        <f>TEXT(Table1[[#This Row],[Order_Date]],"mmm")</f>
        <v>Jul</v>
      </c>
      <c r="X308">
        <f>ROUNDUP(MONTH(Table1[[#This Row],[Order_Date]])/3,0)</f>
        <v>3</v>
      </c>
      <c r="Y308">
        <f>YEAR(Table1[[#This Row],[Order_Date]])</f>
        <v>2024</v>
      </c>
    </row>
    <row r="309" spans="1:25" x14ac:dyDescent="0.25">
      <c r="A309" t="s">
        <v>1306</v>
      </c>
      <c r="B309" t="s">
        <v>1307</v>
      </c>
      <c r="C309" t="s">
        <v>1308</v>
      </c>
      <c r="D309" t="s">
        <v>1309</v>
      </c>
      <c r="E309" t="s">
        <v>200</v>
      </c>
      <c r="F309" t="s">
        <v>40</v>
      </c>
      <c r="G309" t="s">
        <v>41</v>
      </c>
      <c r="H309" t="s">
        <v>32</v>
      </c>
      <c r="I309" t="s">
        <v>66</v>
      </c>
      <c r="J309" t="s">
        <v>126</v>
      </c>
      <c r="K309">
        <v>3</v>
      </c>
      <c r="L309">
        <v>534.39</v>
      </c>
      <c r="M309" s="3">
        <v>0.05</v>
      </c>
      <c r="N309" t="str">
        <f>VLOOKUP(Table1[[#This Row],[Country]],REF_Country!$A$1:$D$11,2,FALSE)</f>
        <v>East Asia</v>
      </c>
      <c r="O309" t="str">
        <f>VLOOKUP(Table1[[#This Row],[Country]],REF_Country!$A$1:$D$11,3,FALSE)</f>
        <v>KR</v>
      </c>
      <c r="P309">
        <f>VLOOKUP(Table1[[#This Row],[Country]],REF_Country!$A$1:$D$11,4,FALSE)</f>
        <v>0.1</v>
      </c>
      <c r="Q309">
        <f>VLOOKUP(Table1[[#This Row],[Category]],REF_Target!$A$1:$E$6,2,FALSE)</f>
        <v>45000</v>
      </c>
      <c r="R309">
        <f>Table1[[#This Row],[Quantity]]*Table1[[#This Row],[Unit_Price]]</f>
        <v>1603.17</v>
      </c>
      <c r="S309">
        <f>Table1[[#This Row],[Gross_Sales]]*Table1[[#This Row],[Discount_Rate]]</f>
        <v>80.158500000000004</v>
      </c>
      <c r="T309">
        <f>Table1[[#This Row],[Gross_Sales]]-Table1[[#This Row],[Discount_Amount]]</f>
        <v>1523.0115000000001</v>
      </c>
      <c r="U309">
        <f>VLOOKUP(Table1[[#This Row],[Category]],REF_Cost!$A$1:$B$6,2,FALSE)*Table1[[#This Row],[Quantity]]</f>
        <v>240</v>
      </c>
      <c r="V309">
        <f>Table1[[#This Row],[Net_Sales]]-Table1[[#This Row],[Total_Cost]]</f>
        <v>1283.0115000000001</v>
      </c>
      <c r="W309" t="str">
        <f>TEXT(Table1[[#This Row],[Order_Date]],"mmm")</f>
        <v>Oct</v>
      </c>
      <c r="X309">
        <f>ROUNDUP(MONTH(Table1[[#This Row],[Order_Date]])/3,0)</f>
        <v>4</v>
      </c>
      <c r="Y309">
        <f>YEAR(Table1[[#This Row],[Order_Date]])</f>
        <v>2024</v>
      </c>
    </row>
    <row r="310" spans="1:25" x14ac:dyDescent="0.25">
      <c r="A310" t="s">
        <v>1310</v>
      </c>
      <c r="B310" t="s">
        <v>1311</v>
      </c>
      <c r="C310" t="s">
        <v>1312</v>
      </c>
      <c r="D310" t="s">
        <v>1313</v>
      </c>
      <c r="E310" t="s">
        <v>83</v>
      </c>
      <c r="F310" t="s">
        <v>30</v>
      </c>
      <c r="G310" t="s">
        <v>31</v>
      </c>
      <c r="H310" t="s">
        <v>42</v>
      </c>
      <c r="I310" t="s">
        <v>33</v>
      </c>
      <c r="J310" t="s">
        <v>126</v>
      </c>
      <c r="K310">
        <v>4</v>
      </c>
      <c r="L310">
        <v>976.36</v>
      </c>
      <c r="M310" s="3">
        <v>0.05</v>
      </c>
      <c r="N310" t="str">
        <f>VLOOKUP(Table1[[#This Row],[Country]],REF_Country!$A$1:$D$11,2,FALSE)</f>
        <v>South Asia</v>
      </c>
      <c r="O310" t="str">
        <f>VLOOKUP(Table1[[#This Row],[Country]],REF_Country!$A$1:$D$11,3,FALSE)</f>
        <v>IN</v>
      </c>
      <c r="P310">
        <f>VLOOKUP(Table1[[#This Row],[Country]],REF_Country!$A$1:$D$11,4,FALSE)</f>
        <v>0.18</v>
      </c>
      <c r="Q310">
        <f>VLOOKUP(Table1[[#This Row],[Category]],REF_Target!$A$1:$E$6,2,FALSE)</f>
        <v>40000</v>
      </c>
      <c r="R310">
        <f>Table1[[#This Row],[Quantity]]*Table1[[#This Row],[Unit_Price]]</f>
        <v>3905.44</v>
      </c>
      <c r="S310">
        <f>Table1[[#This Row],[Gross_Sales]]*Table1[[#This Row],[Discount_Rate]]</f>
        <v>195.27200000000002</v>
      </c>
      <c r="T310">
        <f>Table1[[#This Row],[Gross_Sales]]-Table1[[#This Row],[Discount_Amount]]</f>
        <v>3710.1680000000001</v>
      </c>
      <c r="U310">
        <f>VLOOKUP(Table1[[#This Row],[Category]],REF_Cost!$A$1:$B$6,2,FALSE)*Table1[[#This Row],[Quantity]]</f>
        <v>480</v>
      </c>
      <c r="V310">
        <f>Table1[[#This Row],[Net_Sales]]-Table1[[#This Row],[Total_Cost]]</f>
        <v>3230.1680000000001</v>
      </c>
      <c r="W310" t="str">
        <f>TEXT(Table1[[#This Row],[Order_Date]],"mmm")</f>
        <v>Jan</v>
      </c>
      <c r="X310">
        <f>ROUNDUP(MONTH(Table1[[#This Row],[Order_Date]])/3,0)</f>
        <v>1</v>
      </c>
      <c r="Y310">
        <f>YEAR(Table1[[#This Row],[Order_Date]])</f>
        <v>2024</v>
      </c>
    </row>
    <row r="311" spans="1:25" x14ac:dyDescent="0.25">
      <c r="A311" t="s">
        <v>1314</v>
      </c>
      <c r="B311" t="s">
        <v>1315</v>
      </c>
      <c r="C311" t="s">
        <v>1316</v>
      </c>
      <c r="D311" t="s">
        <v>1317</v>
      </c>
      <c r="E311" t="s">
        <v>48</v>
      </c>
      <c r="F311" t="s">
        <v>30</v>
      </c>
      <c r="G311" t="s">
        <v>139</v>
      </c>
      <c r="H311" t="s">
        <v>58</v>
      </c>
      <c r="I311" t="s">
        <v>66</v>
      </c>
      <c r="J311" t="s">
        <v>34</v>
      </c>
      <c r="K311">
        <v>4</v>
      </c>
      <c r="L311">
        <v>1204.28</v>
      </c>
      <c r="M311" s="3">
        <v>0.05</v>
      </c>
      <c r="N311" t="str">
        <f>VLOOKUP(Table1[[#This Row],[Country]],REF_Country!$A$1:$D$11,2,FALSE)</f>
        <v>Southeast Asia</v>
      </c>
      <c r="O311" t="str">
        <f>VLOOKUP(Table1[[#This Row],[Country]],REF_Country!$A$1:$D$11,3,FALSE)</f>
        <v>SG</v>
      </c>
      <c r="P311">
        <f>VLOOKUP(Table1[[#This Row],[Country]],REF_Country!$A$1:$D$11,4,FALSE)</f>
        <v>7.0000000000000007E-2</v>
      </c>
      <c r="Q311">
        <f>VLOOKUP(Table1[[#This Row],[Category]],REF_Target!$A$1:$E$6,2,FALSE)</f>
        <v>40000</v>
      </c>
      <c r="R311">
        <f>Table1[[#This Row],[Quantity]]*Table1[[#This Row],[Unit_Price]]</f>
        <v>4817.12</v>
      </c>
      <c r="S311">
        <f>Table1[[#This Row],[Gross_Sales]]*Table1[[#This Row],[Discount_Rate]]</f>
        <v>240.85599999999999</v>
      </c>
      <c r="T311">
        <f>Table1[[#This Row],[Gross_Sales]]-Table1[[#This Row],[Discount_Amount]]</f>
        <v>4576.2640000000001</v>
      </c>
      <c r="U311">
        <f>VLOOKUP(Table1[[#This Row],[Category]],REF_Cost!$A$1:$B$6,2,FALSE)*Table1[[#This Row],[Quantity]]</f>
        <v>480</v>
      </c>
      <c r="V311">
        <f>Table1[[#This Row],[Net_Sales]]-Table1[[#This Row],[Total_Cost]]</f>
        <v>4096.2640000000001</v>
      </c>
      <c r="W311" t="str">
        <f>TEXT(Table1[[#This Row],[Order_Date]],"mmm")</f>
        <v>Jan</v>
      </c>
      <c r="X311">
        <f>ROUNDUP(MONTH(Table1[[#This Row],[Order_Date]])/3,0)</f>
        <v>1</v>
      </c>
      <c r="Y311">
        <f>YEAR(Table1[[#This Row],[Order_Date]])</f>
        <v>2024</v>
      </c>
    </row>
    <row r="312" spans="1:25" x14ac:dyDescent="0.25">
      <c r="A312" t="s">
        <v>1318</v>
      </c>
      <c r="B312" t="s">
        <v>1319</v>
      </c>
      <c r="C312" t="s">
        <v>1320</v>
      </c>
      <c r="D312" t="s">
        <v>1321</v>
      </c>
      <c r="E312" t="s">
        <v>39</v>
      </c>
      <c r="F312" t="s">
        <v>49</v>
      </c>
      <c r="G312" t="s">
        <v>50</v>
      </c>
      <c r="H312" t="s">
        <v>32</v>
      </c>
      <c r="I312" t="s">
        <v>51</v>
      </c>
      <c r="J312" t="s">
        <v>59</v>
      </c>
      <c r="K312">
        <v>10</v>
      </c>
      <c r="L312">
        <v>1020.64</v>
      </c>
      <c r="M312" s="3">
        <v>0.1</v>
      </c>
      <c r="N312" t="str">
        <f>VLOOKUP(Table1[[#This Row],[Country]],REF_Country!$A$1:$D$11,2,FALSE)</f>
        <v>Southeast Asia</v>
      </c>
      <c r="O312" t="str">
        <f>VLOOKUP(Table1[[#This Row],[Country]],REF_Country!$A$1:$D$11,3,FALSE)</f>
        <v>TH</v>
      </c>
      <c r="P312">
        <f>VLOOKUP(Table1[[#This Row],[Country]],REF_Country!$A$1:$D$11,4,FALSE)</f>
        <v>7.0000000000000007E-2</v>
      </c>
      <c r="Q312">
        <f>VLOOKUP(Table1[[#This Row],[Category]],REF_Target!$A$1:$E$6,2,FALSE)</f>
        <v>35000</v>
      </c>
      <c r="R312">
        <f>Table1[[#This Row],[Quantity]]*Table1[[#This Row],[Unit_Price]]</f>
        <v>10206.4</v>
      </c>
      <c r="S312">
        <f>Table1[[#This Row],[Gross_Sales]]*Table1[[#This Row],[Discount_Rate]]</f>
        <v>1020.64</v>
      </c>
      <c r="T312">
        <f>Table1[[#This Row],[Gross_Sales]]-Table1[[#This Row],[Discount_Amount]]</f>
        <v>9185.76</v>
      </c>
      <c r="U312">
        <f>VLOOKUP(Table1[[#This Row],[Category]],REF_Cost!$A$1:$B$6,2,FALSE)*Table1[[#This Row],[Quantity]]</f>
        <v>1500</v>
      </c>
      <c r="V312">
        <f>Table1[[#This Row],[Net_Sales]]-Table1[[#This Row],[Total_Cost]]</f>
        <v>7685.76</v>
      </c>
      <c r="W312" t="str">
        <f>TEXT(Table1[[#This Row],[Order_Date]],"mmm")</f>
        <v>Jun</v>
      </c>
      <c r="X312">
        <f>ROUNDUP(MONTH(Table1[[#This Row],[Order_Date]])/3,0)</f>
        <v>2</v>
      </c>
      <c r="Y312">
        <f>YEAR(Table1[[#This Row],[Order_Date]])</f>
        <v>2024</v>
      </c>
    </row>
    <row r="313" spans="1:25" x14ac:dyDescent="0.25">
      <c r="A313" t="s">
        <v>1322</v>
      </c>
      <c r="B313" t="s">
        <v>1323</v>
      </c>
      <c r="C313" t="s">
        <v>1324</v>
      </c>
      <c r="D313" t="s">
        <v>1325</v>
      </c>
      <c r="E313" t="s">
        <v>29</v>
      </c>
      <c r="F313" t="s">
        <v>84</v>
      </c>
      <c r="G313" t="s">
        <v>205</v>
      </c>
      <c r="H313" t="s">
        <v>58</v>
      </c>
      <c r="I313" t="s">
        <v>66</v>
      </c>
      <c r="J313" t="s">
        <v>59</v>
      </c>
      <c r="K313">
        <v>6</v>
      </c>
      <c r="L313">
        <v>730.38</v>
      </c>
      <c r="M313" s="3">
        <v>0.05</v>
      </c>
      <c r="N313" t="str">
        <f>VLOOKUP(Table1[[#This Row],[Country]],REF_Country!$A$1:$D$11,2,FALSE)</f>
        <v>Southeast Asia</v>
      </c>
      <c r="O313" t="str">
        <f>VLOOKUP(Table1[[#This Row],[Country]],REF_Country!$A$1:$D$11,3,FALSE)</f>
        <v>VN</v>
      </c>
      <c r="P313">
        <f>VLOOKUP(Table1[[#This Row],[Country]],REF_Country!$A$1:$D$11,4,FALSE)</f>
        <v>0.1</v>
      </c>
      <c r="Q313">
        <f>VLOOKUP(Table1[[#This Row],[Category]],REF_Target!$A$1:$E$6,2,FALSE)</f>
        <v>30000</v>
      </c>
      <c r="R313">
        <f>Table1[[#This Row],[Quantity]]*Table1[[#This Row],[Unit_Price]]</f>
        <v>4382.28</v>
      </c>
      <c r="S313">
        <f>Table1[[#This Row],[Gross_Sales]]*Table1[[#This Row],[Discount_Rate]]</f>
        <v>219.114</v>
      </c>
      <c r="T313">
        <f>Table1[[#This Row],[Gross_Sales]]-Table1[[#This Row],[Discount_Amount]]</f>
        <v>4163.1660000000002</v>
      </c>
      <c r="U313">
        <f>VLOOKUP(Table1[[#This Row],[Category]],REF_Cost!$A$1:$B$6,2,FALSE)*Table1[[#This Row],[Quantity]]</f>
        <v>1200</v>
      </c>
      <c r="V313">
        <f>Table1[[#This Row],[Net_Sales]]-Table1[[#This Row],[Total_Cost]]</f>
        <v>2963.1660000000002</v>
      </c>
      <c r="W313" t="str">
        <f>TEXT(Table1[[#This Row],[Order_Date]],"mmm")</f>
        <v>Nov</v>
      </c>
      <c r="X313">
        <f>ROUNDUP(MONTH(Table1[[#This Row],[Order_Date]])/3,0)</f>
        <v>4</v>
      </c>
      <c r="Y313">
        <f>YEAR(Table1[[#This Row],[Order_Date]])</f>
        <v>2024</v>
      </c>
    </row>
    <row r="314" spans="1:25" x14ac:dyDescent="0.25">
      <c r="A314" t="s">
        <v>1326</v>
      </c>
      <c r="B314" t="s">
        <v>1327</v>
      </c>
      <c r="C314" t="s">
        <v>1328</v>
      </c>
      <c r="D314" t="s">
        <v>1329</v>
      </c>
      <c r="E314" t="s">
        <v>39</v>
      </c>
      <c r="F314" t="s">
        <v>30</v>
      </c>
      <c r="G314" t="s">
        <v>139</v>
      </c>
      <c r="H314" t="s">
        <v>42</v>
      </c>
      <c r="I314" t="s">
        <v>66</v>
      </c>
      <c r="J314" t="s">
        <v>73</v>
      </c>
      <c r="K314">
        <v>1</v>
      </c>
      <c r="L314">
        <v>1151.73</v>
      </c>
      <c r="M314" s="3">
        <v>0.15</v>
      </c>
      <c r="N314" t="str">
        <f>VLOOKUP(Table1[[#This Row],[Country]],REF_Country!$A$1:$D$11,2,FALSE)</f>
        <v>Southeast Asia</v>
      </c>
      <c r="O314" t="str">
        <f>VLOOKUP(Table1[[#This Row],[Country]],REF_Country!$A$1:$D$11,3,FALSE)</f>
        <v>TH</v>
      </c>
      <c r="P314">
        <f>VLOOKUP(Table1[[#This Row],[Country]],REF_Country!$A$1:$D$11,4,FALSE)</f>
        <v>7.0000000000000007E-2</v>
      </c>
      <c r="Q314">
        <f>VLOOKUP(Table1[[#This Row],[Category]],REF_Target!$A$1:$E$6,2,FALSE)</f>
        <v>40000</v>
      </c>
      <c r="R314">
        <f>Table1[[#This Row],[Quantity]]*Table1[[#This Row],[Unit_Price]]</f>
        <v>1151.73</v>
      </c>
      <c r="S314">
        <f>Table1[[#This Row],[Gross_Sales]]*Table1[[#This Row],[Discount_Rate]]</f>
        <v>172.7595</v>
      </c>
      <c r="T314">
        <f>Table1[[#This Row],[Gross_Sales]]-Table1[[#This Row],[Discount_Amount]]</f>
        <v>978.97050000000002</v>
      </c>
      <c r="U314">
        <f>VLOOKUP(Table1[[#This Row],[Category]],REF_Cost!$A$1:$B$6,2,FALSE)*Table1[[#This Row],[Quantity]]</f>
        <v>120</v>
      </c>
      <c r="V314">
        <f>Table1[[#This Row],[Net_Sales]]-Table1[[#This Row],[Total_Cost]]</f>
        <v>858.97050000000002</v>
      </c>
      <c r="W314" t="str">
        <f>TEXT(Table1[[#This Row],[Order_Date]],"mmm")</f>
        <v>Dec</v>
      </c>
      <c r="X314">
        <f>ROUNDUP(MONTH(Table1[[#This Row],[Order_Date]])/3,0)</f>
        <v>4</v>
      </c>
      <c r="Y314">
        <f>YEAR(Table1[[#This Row],[Order_Date]])</f>
        <v>2024</v>
      </c>
    </row>
    <row r="315" spans="1:25" x14ac:dyDescent="0.25">
      <c r="A315" t="s">
        <v>1330</v>
      </c>
      <c r="B315" t="s">
        <v>1331</v>
      </c>
      <c r="C315" t="s">
        <v>1332</v>
      </c>
      <c r="D315" t="s">
        <v>1333</v>
      </c>
      <c r="E315" t="s">
        <v>29</v>
      </c>
      <c r="F315" t="s">
        <v>49</v>
      </c>
      <c r="G315" t="s">
        <v>226</v>
      </c>
      <c r="H315" t="s">
        <v>72</v>
      </c>
      <c r="I315" t="s">
        <v>66</v>
      </c>
      <c r="J315" t="s">
        <v>73</v>
      </c>
      <c r="K315">
        <v>1</v>
      </c>
      <c r="L315">
        <v>591.59</v>
      </c>
      <c r="M315" s="3">
        <v>0.15</v>
      </c>
      <c r="N315" t="str">
        <f>VLOOKUP(Table1[[#This Row],[Country]],REF_Country!$A$1:$D$11,2,FALSE)</f>
        <v>Southeast Asia</v>
      </c>
      <c r="O315" t="str">
        <f>VLOOKUP(Table1[[#This Row],[Country]],REF_Country!$A$1:$D$11,3,FALSE)</f>
        <v>VN</v>
      </c>
      <c r="P315">
        <f>VLOOKUP(Table1[[#This Row],[Country]],REF_Country!$A$1:$D$11,4,FALSE)</f>
        <v>0.1</v>
      </c>
      <c r="Q315">
        <f>VLOOKUP(Table1[[#This Row],[Category]],REF_Target!$A$1:$E$6,2,FALSE)</f>
        <v>35000</v>
      </c>
      <c r="R315">
        <f>Table1[[#This Row],[Quantity]]*Table1[[#This Row],[Unit_Price]]</f>
        <v>591.59</v>
      </c>
      <c r="S315">
        <f>Table1[[#This Row],[Gross_Sales]]*Table1[[#This Row],[Discount_Rate]]</f>
        <v>88.738500000000002</v>
      </c>
      <c r="T315">
        <f>Table1[[#This Row],[Gross_Sales]]-Table1[[#This Row],[Discount_Amount]]</f>
        <v>502.85150000000004</v>
      </c>
      <c r="U315">
        <f>VLOOKUP(Table1[[#This Row],[Category]],REF_Cost!$A$1:$B$6,2,FALSE)*Table1[[#This Row],[Quantity]]</f>
        <v>150</v>
      </c>
      <c r="V315">
        <f>Table1[[#This Row],[Net_Sales]]-Table1[[#This Row],[Total_Cost]]</f>
        <v>352.85150000000004</v>
      </c>
      <c r="W315" t="str">
        <f>TEXT(Table1[[#This Row],[Order_Date]],"mmm")</f>
        <v>Dec</v>
      </c>
      <c r="X315">
        <f>ROUNDUP(MONTH(Table1[[#This Row],[Order_Date]])/3,0)</f>
        <v>4</v>
      </c>
      <c r="Y315">
        <f>YEAR(Table1[[#This Row],[Order_Date]])</f>
        <v>2024</v>
      </c>
    </row>
    <row r="316" spans="1:25" x14ac:dyDescent="0.25">
      <c r="A316" t="s">
        <v>1334</v>
      </c>
      <c r="B316" t="s">
        <v>1335</v>
      </c>
      <c r="C316" t="s">
        <v>1336</v>
      </c>
      <c r="D316" t="s">
        <v>1337</v>
      </c>
      <c r="E316" t="s">
        <v>200</v>
      </c>
      <c r="F316" t="s">
        <v>84</v>
      </c>
      <c r="G316" t="s">
        <v>90</v>
      </c>
      <c r="H316" t="s">
        <v>72</v>
      </c>
      <c r="I316" t="s">
        <v>66</v>
      </c>
      <c r="J316" t="s">
        <v>126</v>
      </c>
      <c r="K316">
        <v>3</v>
      </c>
      <c r="L316">
        <v>460.79</v>
      </c>
      <c r="M316" s="3">
        <v>0.2</v>
      </c>
      <c r="N316" t="str">
        <f>VLOOKUP(Table1[[#This Row],[Country]],REF_Country!$A$1:$D$11,2,FALSE)</f>
        <v>East Asia</v>
      </c>
      <c r="O316" t="str">
        <f>VLOOKUP(Table1[[#This Row],[Country]],REF_Country!$A$1:$D$11,3,FALSE)</f>
        <v>KR</v>
      </c>
      <c r="P316">
        <f>VLOOKUP(Table1[[#This Row],[Country]],REF_Country!$A$1:$D$11,4,FALSE)</f>
        <v>0.1</v>
      </c>
      <c r="Q316">
        <f>VLOOKUP(Table1[[#This Row],[Category]],REF_Target!$A$1:$E$6,2,FALSE)</f>
        <v>30000</v>
      </c>
      <c r="R316">
        <f>Table1[[#This Row],[Quantity]]*Table1[[#This Row],[Unit_Price]]</f>
        <v>1382.3700000000001</v>
      </c>
      <c r="S316">
        <f>Table1[[#This Row],[Gross_Sales]]*Table1[[#This Row],[Discount_Rate]]</f>
        <v>276.47400000000005</v>
      </c>
      <c r="T316">
        <f>Table1[[#This Row],[Gross_Sales]]-Table1[[#This Row],[Discount_Amount]]</f>
        <v>1105.8960000000002</v>
      </c>
      <c r="U316">
        <f>VLOOKUP(Table1[[#This Row],[Category]],REF_Cost!$A$1:$B$6,2,FALSE)*Table1[[#This Row],[Quantity]]</f>
        <v>600</v>
      </c>
      <c r="V316">
        <f>Table1[[#This Row],[Net_Sales]]-Table1[[#This Row],[Total_Cost]]</f>
        <v>505.89600000000019</v>
      </c>
      <c r="W316" t="str">
        <f>TEXT(Table1[[#This Row],[Order_Date]],"mmm")</f>
        <v>Sep</v>
      </c>
      <c r="X316">
        <f>ROUNDUP(MONTH(Table1[[#This Row],[Order_Date]])/3,0)</f>
        <v>3</v>
      </c>
      <c r="Y316">
        <f>YEAR(Table1[[#This Row],[Order_Date]])</f>
        <v>2024</v>
      </c>
    </row>
    <row r="317" spans="1:25" x14ac:dyDescent="0.25">
      <c r="A317" t="s">
        <v>1338</v>
      </c>
      <c r="B317" t="s">
        <v>1339</v>
      </c>
      <c r="C317" t="s">
        <v>1340</v>
      </c>
      <c r="D317" t="s">
        <v>1341</v>
      </c>
      <c r="E317" t="s">
        <v>78</v>
      </c>
      <c r="F317" t="s">
        <v>30</v>
      </c>
      <c r="G317" t="s">
        <v>65</v>
      </c>
      <c r="H317" t="s">
        <v>72</v>
      </c>
      <c r="I317" t="s">
        <v>66</v>
      </c>
      <c r="J317" t="s">
        <v>34</v>
      </c>
      <c r="K317">
        <v>4</v>
      </c>
      <c r="L317">
        <v>986.84</v>
      </c>
      <c r="M317" s="3">
        <v>0.05</v>
      </c>
      <c r="N317" t="str">
        <f>VLOOKUP(Table1[[#This Row],[Country]],REF_Country!$A$1:$D$11,2,FALSE)</f>
        <v>Oceania</v>
      </c>
      <c r="O317" t="str">
        <f>VLOOKUP(Table1[[#This Row],[Country]],REF_Country!$A$1:$D$11,3,FALSE)</f>
        <v>AU</v>
      </c>
      <c r="P317">
        <f>VLOOKUP(Table1[[#This Row],[Country]],REF_Country!$A$1:$D$11,4,FALSE)</f>
        <v>0.1</v>
      </c>
      <c r="Q317">
        <f>VLOOKUP(Table1[[#This Row],[Category]],REF_Target!$A$1:$E$6,2,FALSE)</f>
        <v>40000</v>
      </c>
      <c r="R317">
        <f>Table1[[#This Row],[Quantity]]*Table1[[#This Row],[Unit_Price]]</f>
        <v>3947.36</v>
      </c>
      <c r="S317">
        <f>Table1[[#This Row],[Gross_Sales]]*Table1[[#This Row],[Discount_Rate]]</f>
        <v>197.36800000000002</v>
      </c>
      <c r="T317">
        <f>Table1[[#This Row],[Gross_Sales]]-Table1[[#This Row],[Discount_Amount]]</f>
        <v>3749.9920000000002</v>
      </c>
      <c r="U317">
        <f>VLOOKUP(Table1[[#This Row],[Category]],REF_Cost!$A$1:$B$6,2,FALSE)*Table1[[#This Row],[Quantity]]</f>
        <v>480</v>
      </c>
      <c r="V317">
        <f>Table1[[#This Row],[Net_Sales]]-Table1[[#This Row],[Total_Cost]]</f>
        <v>3269.9920000000002</v>
      </c>
      <c r="W317" t="str">
        <f>TEXT(Table1[[#This Row],[Order_Date]],"mmm")</f>
        <v>Mar</v>
      </c>
      <c r="X317">
        <f>ROUNDUP(MONTH(Table1[[#This Row],[Order_Date]])/3,0)</f>
        <v>1</v>
      </c>
      <c r="Y317">
        <f>YEAR(Table1[[#This Row],[Order_Date]])</f>
        <v>2024</v>
      </c>
    </row>
    <row r="318" spans="1:25" x14ac:dyDescent="0.25">
      <c r="A318" t="s">
        <v>1342</v>
      </c>
      <c r="B318" t="s">
        <v>1343</v>
      </c>
      <c r="C318" t="s">
        <v>1344</v>
      </c>
      <c r="D318" t="s">
        <v>1345</v>
      </c>
      <c r="E318" t="s">
        <v>29</v>
      </c>
      <c r="F318" t="s">
        <v>49</v>
      </c>
      <c r="G318" t="s">
        <v>117</v>
      </c>
      <c r="H318" t="s">
        <v>32</v>
      </c>
      <c r="I318" t="s">
        <v>96</v>
      </c>
      <c r="J318" t="s">
        <v>73</v>
      </c>
      <c r="K318">
        <v>10</v>
      </c>
      <c r="L318">
        <v>713.75</v>
      </c>
      <c r="M318" s="3">
        <v>0.15</v>
      </c>
      <c r="N318" t="str">
        <f>VLOOKUP(Table1[[#This Row],[Country]],REF_Country!$A$1:$D$11,2,FALSE)</f>
        <v>Southeast Asia</v>
      </c>
      <c r="O318" t="str">
        <f>VLOOKUP(Table1[[#This Row],[Country]],REF_Country!$A$1:$D$11,3,FALSE)</f>
        <v>VN</v>
      </c>
      <c r="P318">
        <f>VLOOKUP(Table1[[#This Row],[Country]],REF_Country!$A$1:$D$11,4,FALSE)</f>
        <v>0.1</v>
      </c>
      <c r="Q318">
        <f>VLOOKUP(Table1[[#This Row],[Category]],REF_Target!$A$1:$E$6,2,FALSE)</f>
        <v>35000</v>
      </c>
      <c r="R318">
        <f>Table1[[#This Row],[Quantity]]*Table1[[#This Row],[Unit_Price]]</f>
        <v>7137.5</v>
      </c>
      <c r="S318">
        <f>Table1[[#This Row],[Gross_Sales]]*Table1[[#This Row],[Discount_Rate]]</f>
        <v>1070.625</v>
      </c>
      <c r="T318">
        <f>Table1[[#This Row],[Gross_Sales]]-Table1[[#This Row],[Discount_Amount]]</f>
        <v>6066.875</v>
      </c>
      <c r="U318">
        <f>VLOOKUP(Table1[[#This Row],[Category]],REF_Cost!$A$1:$B$6,2,FALSE)*Table1[[#This Row],[Quantity]]</f>
        <v>1500</v>
      </c>
      <c r="V318">
        <f>Table1[[#This Row],[Net_Sales]]-Table1[[#This Row],[Total_Cost]]</f>
        <v>4566.875</v>
      </c>
      <c r="W318" t="str">
        <f>TEXT(Table1[[#This Row],[Order_Date]],"mmm")</f>
        <v>Jul</v>
      </c>
      <c r="X318">
        <f>ROUNDUP(MONTH(Table1[[#This Row],[Order_Date]])/3,0)</f>
        <v>3</v>
      </c>
      <c r="Y318">
        <f>YEAR(Table1[[#This Row],[Order_Date]])</f>
        <v>2024</v>
      </c>
    </row>
    <row r="319" spans="1:25" x14ac:dyDescent="0.25">
      <c r="A319" t="s">
        <v>1346</v>
      </c>
      <c r="B319" t="s">
        <v>1347</v>
      </c>
      <c r="C319" t="s">
        <v>1348</v>
      </c>
      <c r="D319" t="s">
        <v>1349</v>
      </c>
      <c r="E319" t="s">
        <v>78</v>
      </c>
      <c r="F319" t="s">
        <v>84</v>
      </c>
      <c r="G319" t="s">
        <v>264</v>
      </c>
      <c r="H319" t="s">
        <v>72</v>
      </c>
      <c r="I319" t="s">
        <v>66</v>
      </c>
      <c r="J319" t="s">
        <v>34</v>
      </c>
      <c r="K319">
        <v>3</v>
      </c>
      <c r="L319">
        <v>95.28</v>
      </c>
      <c r="M319" s="3">
        <v>0</v>
      </c>
      <c r="N319" t="str">
        <f>VLOOKUP(Table1[[#This Row],[Country]],REF_Country!$A$1:$D$11,2,FALSE)</f>
        <v>Oceania</v>
      </c>
      <c r="O319" t="str">
        <f>VLOOKUP(Table1[[#This Row],[Country]],REF_Country!$A$1:$D$11,3,FALSE)</f>
        <v>AU</v>
      </c>
      <c r="P319">
        <f>VLOOKUP(Table1[[#This Row],[Country]],REF_Country!$A$1:$D$11,4,FALSE)</f>
        <v>0.1</v>
      </c>
      <c r="Q319">
        <f>VLOOKUP(Table1[[#This Row],[Category]],REF_Target!$A$1:$E$6,2,FALSE)</f>
        <v>30000</v>
      </c>
      <c r="R319">
        <f>Table1[[#This Row],[Quantity]]*Table1[[#This Row],[Unit_Price]]</f>
        <v>285.84000000000003</v>
      </c>
      <c r="S319">
        <f>Table1[[#This Row],[Gross_Sales]]*Table1[[#This Row],[Discount_Rate]]</f>
        <v>0</v>
      </c>
      <c r="T319">
        <f>Table1[[#This Row],[Gross_Sales]]-Table1[[#This Row],[Discount_Amount]]</f>
        <v>285.84000000000003</v>
      </c>
      <c r="U319">
        <f>VLOOKUP(Table1[[#This Row],[Category]],REF_Cost!$A$1:$B$6,2,FALSE)*Table1[[#This Row],[Quantity]]</f>
        <v>600</v>
      </c>
      <c r="V319">
        <f>Table1[[#This Row],[Net_Sales]]-Table1[[#This Row],[Total_Cost]]</f>
        <v>-314.15999999999997</v>
      </c>
      <c r="W319" t="str">
        <f>TEXT(Table1[[#This Row],[Order_Date]],"mmm")</f>
        <v>Mar</v>
      </c>
      <c r="X319">
        <f>ROUNDUP(MONTH(Table1[[#This Row],[Order_Date]])/3,0)</f>
        <v>1</v>
      </c>
      <c r="Y319">
        <f>YEAR(Table1[[#This Row],[Order_Date]])</f>
        <v>2024</v>
      </c>
    </row>
    <row r="320" spans="1:25" x14ac:dyDescent="0.25">
      <c r="A320" t="s">
        <v>1350</v>
      </c>
      <c r="B320" t="s">
        <v>1351</v>
      </c>
      <c r="C320" t="s">
        <v>1352</v>
      </c>
      <c r="D320" t="s">
        <v>1353</v>
      </c>
      <c r="E320" t="s">
        <v>48</v>
      </c>
      <c r="F320" t="s">
        <v>56</v>
      </c>
      <c r="G320" t="s">
        <v>57</v>
      </c>
      <c r="H320" t="s">
        <v>32</v>
      </c>
      <c r="I320" t="s">
        <v>51</v>
      </c>
      <c r="J320" t="s">
        <v>34</v>
      </c>
      <c r="K320">
        <v>3</v>
      </c>
      <c r="L320">
        <v>508.95</v>
      </c>
      <c r="M320" s="3">
        <v>0.05</v>
      </c>
      <c r="N320" t="str">
        <f>VLOOKUP(Table1[[#This Row],[Country]],REF_Country!$A$1:$D$11,2,FALSE)</f>
        <v>Southeast Asia</v>
      </c>
      <c r="O320" t="str">
        <f>VLOOKUP(Table1[[#This Row],[Country]],REF_Country!$A$1:$D$11,3,FALSE)</f>
        <v>SG</v>
      </c>
      <c r="P320">
        <f>VLOOKUP(Table1[[#This Row],[Country]],REF_Country!$A$1:$D$11,4,FALSE)</f>
        <v>7.0000000000000007E-2</v>
      </c>
      <c r="Q320">
        <f>VLOOKUP(Table1[[#This Row],[Category]],REF_Target!$A$1:$E$6,2,FALSE)</f>
        <v>50000</v>
      </c>
      <c r="R320">
        <f>Table1[[#This Row],[Quantity]]*Table1[[#This Row],[Unit_Price]]</f>
        <v>1526.85</v>
      </c>
      <c r="S320">
        <f>Table1[[#This Row],[Gross_Sales]]*Table1[[#This Row],[Discount_Rate]]</f>
        <v>76.342500000000001</v>
      </c>
      <c r="T320">
        <f>Table1[[#This Row],[Gross_Sales]]-Table1[[#This Row],[Discount_Amount]]</f>
        <v>1450.5074999999999</v>
      </c>
      <c r="U320">
        <f>VLOOKUP(Table1[[#This Row],[Category]],REF_Cost!$A$1:$B$6,2,FALSE)*Table1[[#This Row],[Quantity]]</f>
        <v>1350</v>
      </c>
      <c r="V320">
        <f>Table1[[#This Row],[Net_Sales]]-Table1[[#This Row],[Total_Cost]]</f>
        <v>100.50749999999994</v>
      </c>
      <c r="W320" t="str">
        <f>TEXT(Table1[[#This Row],[Order_Date]],"mmm")</f>
        <v>Aug</v>
      </c>
      <c r="X320">
        <f>ROUNDUP(MONTH(Table1[[#This Row],[Order_Date]])/3,0)</f>
        <v>3</v>
      </c>
      <c r="Y320">
        <f>YEAR(Table1[[#This Row],[Order_Date]])</f>
        <v>2024</v>
      </c>
    </row>
    <row r="321" spans="1:25" x14ac:dyDescent="0.25">
      <c r="A321" t="s">
        <v>1354</v>
      </c>
      <c r="B321" t="s">
        <v>1355</v>
      </c>
      <c r="C321" t="s">
        <v>1356</v>
      </c>
      <c r="D321" t="s">
        <v>1357</v>
      </c>
      <c r="E321" t="s">
        <v>48</v>
      </c>
      <c r="F321" t="s">
        <v>49</v>
      </c>
      <c r="G321" t="s">
        <v>117</v>
      </c>
      <c r="H321" t="s">
        <v>42</v>
      </c>
      <c r="I321" t="s">
        <v>96</v>
      </c>
      <c r="J321" t="s">
        <v>34</v>
      </c>
      <c r="K321">
        <v>7</v>
      </c>
      <c r="L321">
        <v>207.17</v>
      </c>
      <c r="M321" s="3">
        <v>0.2</v>
      </c>
      <c r="N321" t="str">
        <f>VLOOKUP(Table1[[#This Row],[Country]],REF_Country!$A$1:$D$11,2,FALSE)</f>
        <v>Southeast Asia</v>
      </c>
      <c r="O321" t="str">
        <f>VLOOKUP(Table1[[#This Row],[Country]],REF_Country!$A$1:$D$11,3,FALSE)</f>
        <v>SG</v>
      </c>
      <c r="P321">
        <f>VLOOKUP(Table1[[#This Row],[Country]],REF_Country!$A$1:$D$11,4,FALSE)</f>
        <v>7.0000000000000007E-2</v>
      </c>
      <c r="Q321">
        <f>VLOOKUP(Table1[[#This Row],[Category]],REF_Target!$A$1:$E$6,2,FALSE)</f>
        <v>35000</v>
      </c>
      <c r="R321">
        <f>Table1[[#This Row],[Quantity]]*Table1[[#This Row],[Unit_Price]]</f>
        <v>1450.1899999999998</v>
      </c>
      <c r="S321">
        <f>Table1[[#This Row],[Gross_Sales]]*Table1[[#This Row],[Discount_Rate]]</f>
        <v>290.03799999999995</v>
      </c>
      <c r="T321">
        <f>Table1[[#This Row],[Gross_Sales]]-Table1[[#This Row],[Discount_Amount]]</f>
        <v>1160.1519999999998</v>
      </c>
      <c r="U321">
        <f>VLOOKUP(Table1[[#This Row],[Category]],REF_Cost!$A$1:$B$6,2,FALSE)*Table1[[#This Row],[Quantity]]</f>
        <v>1050</v>
      </c>
      <c r="V321">
        <f>Table1[[#This Row],[Net_Sales]]-Table1[[#This Row],[Total_Cost]]</f>
        <v>110.15199999999982</v>
      </c>
      <c r="W321" t="str">
        <f>TEXT(Table1[[#This Row],[Order_Date]],"mmm")</f>
        <v>Apr</v>
      </c>
      <c r="X321">
        <f>ROUNDUP(MONTH(Table1[[#This Row],[Order_Date]])/3,0)</f>
        <v>2</v>
      </c>
      <c r="Y321">
        <f>YEAR(Table1[[#This Row],[Order_Date]])</f>
        <v>2024</v>
      </c>
    </row>
    <row r="322" spans="1:25" x14ac:dyDescent="0.25">
      <c r="A322" t="s">
        <v>1358</v>
      </c>
      <c r="B322" t="s">
        <v>1359</v>
      </c>
      <c r="C322" t="s">
        <v>1360</v>
      </c>
      <c r="D322" t="s">
        <v>1361</v>
      </c>
      <c r="E322" t="s">
        <v>78</v>
      </c>
      <c r="F322" t="s">
        <v>30</v>
      </c>
      <c r="G322" t="s">
        <v>65</v>
      </c>
      <c r="H322" t="s">
        <v>72</v>
      </c>
      <c r="I322" t="s">
        <v>51</v>
      </c>
      <c r="J322" t="s">
        <v>126</v>
      </c>
      <c r="K322">
        <v>6</v>
      </c>
      <c r="L322">
        <v>1425.85</v>
      </c>
      <c r="M322" s="3">
        <v>0.15</v>
      </c>
      <c r="N322" t="str">
        <f>VLOOKUP(Table1[[#This Row],[Country]],REF_Country!$A$1:$D$11,2,FALSE)</f>
        <v>Oceania</v>
      </c>
      <c r="O322" t="str">
        <f>VLOOKUP(Table1[[#This Row],[Country]],REF_Country!$A$1:$D$11,3,FALSE)</f>
        <v>AU</v>
      </c>
      <c r="P322">
        <f>VLOOKUP(Table1[[#This Row],[Country]],REF_Country!$A$1:$D$11,4,FALSE)</f>
        <v>0.1</v>
      </c>
      <c r="Q322">
        <f>VLOOKUP(Table1[[#This Row],[Category]],REF_Target!$A$1:$E$6,2,FALSE)</f>
        <v>40000</v>
      </c>
      <c r="R322">
        <f>Table1[[#This Row],[Quantity]]*Table1[[#This Row],[Unit_Price]]</f>
        <v>8555.0999999999985</v>
      </c>
      <c r="S322">
        <f>Table1[[#This Row],[Gross_Sales]]*Table1[[#This Row],[Discount_Rate]]</f>
        <v>1283.2649999999996</v>
      </c>
      <c r="T322">
        <f>Table1[[#This Row],[Gross_Sales]]-Table1[[#This Row],[Discount_Amount]]</f>
        <v>7271.8349999999991</v>
      </c>
      <c r="U322">
        <f>VLOOKUP(Table1[[#This Row],[Category]],REF_Cost!$A$1:$B$6,2,FALSE)*Table1[[#This Row],[Quantity]]</f>
        <v>720</v>
      </c>
      <c r="V322">
        <f>Table1[[#This Row],[Net_Sales]]-Table1[[#This Row],[Total_Cost]]</f>
        <v>6551.8349999999991</v>
      </c>
      <c r="W322" t="str">
        <f>TEXT(Table1[[#This Row],[Order_Date]],"mmm")</f>
        <v>Jul</v>
      </c>
      <c r="X322">
        <f>ROUNDUP(MONTH(Table1[[#This Row],[Order_Date]])/3,0)</f>
        <v>3</v>
      </c>
      <c r="Y322">
        <f>YEAR(Table1[[#This Row],[Order_Date]])</f>
        <v>2024</v>
      </c>
    </row>
    <row r="323" spans="1:25" x14ac:dyDescent="0.25">
      <c r="A323" t="s">
        <v>1362</v>
      </c>
      <c r="B323" t="s">
        <v>1363</v>
      </c>
      <c r="C323" t="s">
        <v>1364</v>
      </c>
      <c r="D323" t="s">
        <v>1365</v>
      </c>
      <c r="E323" t="s">
        <v>71</v>
      </c>
      <c r="F323" t="s">
        <v>84</v>
      </c>
      <c r="G323" t="s">
        <v>85</v>
      </c>
      <c r="H323" t="s">
        <v>58</v>
      </c>
      <c r="I323" t="s">
        <v>43</v>
      </c>
      <c r="J323" t="s">
        <v>126</v>
      </c>
      <c r="K323">
        <v>9</v>
      </c>
      <c r="L323">
        <v>167.52</v>
      </c>
      <c r="M323" s="3">
        <v>0.15</v>
      </c>
      <c r="N323" t="str">
        <f>VLOOKUP(Table1[[#This Row],[Country]],REF_Country!$A$1:$D$11,2,FALSE)</f>
        <v>Southeast Asia</v>
      </c>
      <c r="O323" t="str">
        <f>VLOOKUP(Table1[[#This Row],[Country]],REF_Country!$A$1:$D$11,3,FALSE)</f>
        <v>PH</v>
      </c>
      <c r="P323">
        <f>VLOOKUP(Table1[[#This Row],[Country]],REF_Country!$A$1:$D$11,4,FALSE)</f>
        <v>0.12</v>
      </c>
      <c r="Q323">
        <f>VLOOKUP(Table1[[#This Row],[Category]],REF_Target!$A$1:$E$6,2,FALSE)</f>
        <v>30000</v>
      </c>
      <c r="R323">
        <f>Table1[[#This Row],[Quantity]]*Table1[[#This Row],[Unit_Price]]</f>
        <v>1507.68</v>
      </c>
      <c r="S323">
        <f>Table1[[#This Row],[Gross_Sales]]*Table1[[#This Row],[Discount_Rate]]</f>
        <v>226.15200000000002</v>
      </c>
      <c r="T323">
        <f>Table1[[#This Row],[Gross_Sales]]-Table1[[#This Row],[Discount_Amount]]</f>
        <v>1281.528</v>
      </c>
      <c r="U323">
        <f>VLOOKUP(Table1[[#This Row],[Category]],REF_Cost!$A$1:$B$6,2,FALSE)*Table1[[#This Row],[Quantity]]</f>
        <v>1800</v>
      </c>
      <c r="V323">
        <f>Table1[[#This Row],[Net_Sales]]-Table1[[#This Row],[Total_Cost]]</f>
        <v>-518.47199999999998</v>
      </c>
      <c r="W323" t="str">
        <f>TEXT(Table1[[#This Row],[Order_Date]],"mmm")</f>
        <v>May</v>
      </c>
      <c r="X323">
        <f>ROUNDUP(MONTH(Table1[[#This Row],[Order_Date]])/3,0)</f>
        <v>2</v>
      </c>
      <c r="Y323">
        <f>YEAR(Table1[[#This Row],[Order_Date]])</f>
        <v>2024</v>
      </c>
    </row>
    <row r="324" spans="1:25" x14ac:dyDescent="0.25">
      <c r="A324" t="s">
        <v>1366</v>
      </c>
      <c r="B324" t="s">
        <v>1367</v>
      </c>
      <c r="C324" t="s">
        <v>1368</v>
      </c>
      <c r="D324" t="s">
        <v>1369</v>
      </c>
      <c r="E324" t="s">
        <v>78</v>
      </c>
      <c r="F324" t="s">
        <v>40</v>
      </c>
      <c r="G324" t="s">
        <v>41</v>
      </c>
      <c r="H324" t="s">
        <v>42</v>
      </c>
      <c r="I324" t="s">
        <v>66</v>
      </c>
      <c r="J324" t="s">
        <v>73</v>
      </c>
      <c r="K324">
        <v>3</v>
      </c>
      <c r="L324">
        <v>516.69000000000005</v>
      </c>
      <c r="M324" s="3">
        <v>0.05</v>
      </c>
      <c r="N324" t="str">
        <f>VLOOKUP(Table1[[#This Row],[Country]],REF_Country!$A$1:$D$11,2,FALSE)</f>
        <v>Oceania</v>
      </c>
      <c r="O324" t="str">
        <f>VLOOKUP(Table1[[#This Row],[Country]],REF_Country!$A$1:$D$11,3,FALSE)</f>
        <v>AU</v>
      </c>
      <c r="P324">
        <f>VLOOKUP(Table1[[#This Row],[Country]],REF_Country!$A$1:$D$11,4,FALSE)</f>
        <v>0.1</v>
      </c>
      <c r="Q324">
        <f>VLOOKUP(Table1[[#This Row],[Category]],REF_Target!$A$1:$E$6,2,FALSE)</f>
        <v>45000</v>
      </c>
      <c r="R324">
        <f>Table1[[#This Row],[Quantity]]*Table1[[#This Row],[Unit_Price]]</f>
        <v>1550.0700000000002</v>
      </c>
      <c r="S324">
        <f>Table1[[#This Row],[Gross_Sales]]*Table1[[#This Row],[Discount_Rate]]</f>
        <v>77.503500000000017</v>
      </c>
      <c r="T324">
        <f>Table1[[#This Row],[Gross_Sales]]-Table1[[#This Row],[Discount_Amount]]</f>
        <v>1472.5665000000001</v>
      </c>
      <c r="U324">
        <f>VLOOKUP(Table1[[#This Row],[Category]],REF_Cost!$A$1:$B$6,2,FALSE)*Table1[[#This Row],[Quantity]]</f>
        <v>240</v>
      </c>
      <c r="V324">
        <f>Table1[[#This Row],[Net_Sales]]-Table1[[#This Row],[Total_Cost]]</f>
        <v>1232.5665000000001</v>
      </c>
      <c r="W324" t="str">
        <f>TEXT(Table1[[#This Row],[Order_Date]],"mmm")</f>
        <v>Jun</v>
      </c>
      <c r="X324">
        <f>ROUNDUP(MONTH(Table1[[#This Row],[Order_Date]])/3,0)</f>
        <v>2</v>
      </c>
      <c r="Y324">
        <f>YEAR(Table1[[#This Row],[Order_Date]])</f>
        <v>2024</v>
      </c>
    </row>
    <row r="325" spans="1:25" x14ac:dyDescent="0.25">
      <c r="A325" t="s">
        <v>1370</v>
      </c>
      <c r="B325" t="s">
        <v>1371</v>
      </c>
      <c r="C325" t="s">
        <v>1372</v>
      </c>
      <c r="D325" t="s">
        <v>1373</v>
      </c>
      <c r="E325" t="s">
        <v>39</v>
      </c>
      <c r="F325" t="s">
        <v>30</v>
      </c>
      <c r="G325" t="s">
        <v>31</v>
      </c>
      <c r="H325" t="s">
        <v>72</v>
      </c>
      <c r="I325" t="s">
        <v>51</v>
      </c>
      <c r="J325" t="s">
        <v>59</v>
      </c>
      <c r="K325">
        <v>10</v>
      </c>
      <c r="L325">
        <v>1105.0999999999999</v>
      </c>
      <c r="M325" s="3">
        <v>0.15</v>
      </c>
      <c r="N325" t="str">
        <f>VLOOKUP(Table1[[#This Row],[Country]],REF_Country!$A$1:$D$11,2,FALSE)</f>
        <v>Southeast Asia</v>
      </c>
      <c r="O325" t="str">
        <f>VLOOKUP(Table1[[#This Row],[Country]],REF_Country!$A$1:$D$11,3,FALSE)</f>
        <v>TH</v>
      </c>
      <c r="P325">
        <f>VLOOKUP(Table1[[#This Row],[Country]],REF_Country!$A$1:$D$11,4,FALSE)</f>
        <v>7.0000000000000007E-2</v>
      </c>
      <c r="Q325">
        <f>VLOOKUP(Table1[[#This Row],[Category]],REF_Target!$A$1:$E$6,2,FALSE)</f>
        <v>40000</v>
      </c>
      <c r="R325">
        <f>Table1[[#This Row],[Quantity]]*Table1[[#This Row],[Unit_Price]]</f>
        <v>11051</v>
      </c>
      <c r="S325">
        <f>Table1[[#This Row],[Gross_Sales]]*Table1[[#This Row],[Discount_Rate]]</f>
        <v>1657.6499999999999</v>
      </c>
      <c r="T325">
        <f>Table1[[#This Row],[Gross_Sales]]-Table1[[#This Row],[Discount_Amount]]</f>
        <v>9393.35</v>
      </c>
      <c r="U325">
        <f>VLOOKUP(Table1[[#This Row],[Category]],REF_Cost!$A$1:$B$6,2,FALSE)*Table1[[#This Row],[Quantity]]</f>
        <v>1200</v>
      </c>
      <c r="V325">
        <f>Table1[[#This Row],[Net_Sales]]-Table1[[#This Row],[Total_Cost]]</f>
        <v>8193.35</v>
      </c>
      <c r="W325" t="str">
        <f>TEXT(Table1[[#This Row],[Order_Date]],"mmm")</f>
        <v>Jul</v>
      </c>
      <c r="X325">
        <f>ROUNDUP(MONTH(Table1[[#This Row],[Order_Date]])/3,0)</f>
        <v>3</v>
      </c>
      <c r="Y325">
        <f>YEAR(Table1[[#This Row],[Order_Date]])</f>
        <v>2024</v>
      </c>
    </row>
    <row r="326" spans="1:25" x14ac:dyDescent="0.25">
      <c r="A326" t="s">
        <v>1374</v>
      </c>
      <c r="B326" t="s">
        <v>1375</v>
      </c>
      <c r="C326" t="s">
        <v>1376</v>
      </c>
      <c r="D326" t="s">
        <v>1377</v>
      </c>
      <c r="E326" t="s">
        <v>29</v>
      </c>
      <c r="F326" t="s">
        <v>40</v>
      </c>
      <c r="G326" t="s">
        <v>41</v>
      </c>
      <c r="H326" t="s">
        <v>32</v>
      </c>
      <c r="I326" t="s">
        <v>51</v>
      </c>
      <c r="J326" t="s">
        <v>126</v>
      </c>
      <c r="K326">
        <v>1</v>
      </c>
      <c r="L326">
        <v>87.15</v>
      </c>
      <c r="M326" s="3">
        <v>0.2</v>
      </c>
      <c r="N326" t="str">
        <f>VLOOKUP(Table1[[#This Row],[Country]],REF_Country!$A$1:$D$11,2,FALSE)</f>
        <v>Southeast Asia</v>
      </c>
      <c r="O326" t="str">
        <f>VLOOKUP(Table1[[#This Row],[Country]],REF_Country!$A$1:$D$11,3,FALSE)</f>
        <v>VN</v>
      </c>
      <c r="P326">
        <f>VLOOKUP(Table1[[#This Row],[Country]],REF_Country!$A$1:$D$11,4,FALSE)</f>
        <v>0.1</v>
      </c>
      <c r="Q326">
        <f>VLOOKUP(Table1[[#This Row],[Category]],REF_Target!$A$1:$E$6,2,FALSE)</f>
        <v>45000</v>
      </c>
      <c r="R326">
        <f>Table1[[#This Row],[Quantity]]*Table1[[#This Row],[Unit_Price]]</f>
        <v>87.15</v>
      </c>
      <c r="S326">
        <f>Table1[[#This Row],[Gross_Sales]]*Table1[[#This Row],[Discount_Rate]]</f>
        <v>17.430000000000003</v>
      </c>
      <c r="T326">
        <f>Table1[[#This Row],[Gross_Sales]]-Table1[[#This Row],[Discount_Amount]]</f>
        <v>69.72</v>
      </c>
      <c r="U326">
        <f>VLOOKUP(Table1[[#This Row],[Category]],REF_Cost!$A$1:$B$6,2,FALSE)*Table1[[#This Row],[Quantity]]</f>
        <v>80</v>
      </c>
      <c r="V326">
        <f>Table1[[#This Row],[Net_Sales]]-Table1[[#This Row],[Total_Cost]]</f>
        <v>-10.280000000000001</v>
      </c>
      <c r="W326" t="str">
        <f>TEXT(Table1[[#This Row],[Order_Date]],"mmm")</f>
        <v>Jan</v>
      </c>
      <c r="X326">
        <f>ROUNDUP(MONTH(Table1[[#This Row],[Order_Date]])/3,0)</f>
        <v>1</v>
      </c>
      <c r="Y326">
        <f>YEAR(Table1[[#This Row],[Order_Date]])</f>
        <v>2024</v>
      </c>
    </row>
    <row r="327" spans="1:25" x14ac:dyDescent="0.25">
      <c r="A327" t="s">
        <v>1378</v>
      </c>
      <c r="B327" t="s">
        <v>1379</v>
      </c>
      <c r="C327" t="s">
        <v>1380</v>
      </c>
      <c r="D327" t="s">
        <v>1381</v>
      </c>
      <c r="E327" t="s">
        <v>116</v>
      </c>
      <c r="F327" t="s">
        <v>40</v>
      </c>
      <c r="G327" t="s">
        <v>315</v>
      </c>
      <c r="H327" t="s">
        <v>32</v>
      </c>
      <c r="I327" t="s">
        <v>66</v>
      </c>
      <c r="J327" t="s">
        <v>34</v>
      </c>
      <c r="K327">
        <v>3</v>
      </c>
      <c r="L327">
        <v>719.48</v>
      </c>
      <c r="M327" s="3">
        <v>0</v>
      </c>
      <c r="N327" t="str">
        <f>VLOOKUP(Table1[[#This Row],[Country]],REF_Country!$A$1:$D$11,2,FALSE)</f>
        <v>Southeast Asia</v>
      </c>
      <c r="O327" t="str">
        <f>VLOOKUP(Table1[[#This Row],[Country]],REF_Country!$A$1:$D$11,3,FALSE)</f>
        <v>MY</v>
      </c>
      <c r="P327">
        <f>VLOOKUP(Table1[[#This Row],[Country]],REF_Country!$A$1:$D$11,4,FALSE)</f>
        <v>0.06</v>
      </c>
      <c r="Q327">
        <f>VLOOKUP(Table1[[#This Row],[Category]],REF_Target!$A$1:$E$6,2,FALSE)</f>
        <v>45000</v>
      </c>
      <c r="R327">
        <f>Table1[[#This Row],[Quantity]]*Table1[[#This Row],[Unit_Price]]</f>
        <v>2158.44</v>
      </c>
      <c r="S327">
        <f>Table1[[#This Row],[Gross_Sales]]*Table1[[#This Row],[Discount_Rate]]</f>
        <v>0</v>
      </c>
      <c r="T327">
        <f>Table1[[#This Row],[Gross_Sales]]-Table1[[#This Row],[Discount_Amount]]</f>
        <v>2158.44</v>
      </c>
      <c r="U327">
        <f>VLOOKUP(Table1[[#This Row],[Category]],REF_Cost!$A$1:$B$6,2,FALSE)*Table1[[#This Row],[Quantity]]</f>
        <v>240</v>
      </c>
      <c r="V327">
        <f>Table1[[#This Row],[Net_Sales]]-Table1[[#This Row],[Total_Cost]]</f>
        <v>1918.44</v>
      </c>
      <c r="W327" t="str">
        <f>TEXT(Table1[[#This Row],[Order_Date]],"mmm")</f>
        <v>Aug</v>
      </c>
      <c r="X327">
        <f>ROUNDUP(MONTH(Table1[[#This Row],[Order_Date]])/3,0)</f>
        <v>3</v>
      </c>
      <c r="Y327">
        <f>YEAR(Table1[[#This Row],[Order_Date]])</f>
        <v>2024</v>
      </c>
    </row>
    <row r="328" spans="1:25" x14ac:dyDescent="0.25">
      <c r="A328" t="s">
        <v>1382</v>
      </c>
      <c r="B328" t="s">
        <v>1383</v>
      </c>
      <c r="C328" t="s">
        <v>1384</v>
      </c>
      <c r="D328" t="s">
        <v>1385</v>
      </c>
      <c r="E328" t="s">
        <v>29</v>
      </c>
      <c r="F328" t="s">
        <v>40</v>
      </c>
      <c r="G328" t="s">
        <v>41</v>
      </c>
      <c r="H328" t="s">
        <v>32</v>
      </c>
      <c r="I328" t="s">
        <v>66</v>
      </c>
      <c r="J328" t="s">
        <v>126</v>
      </c>
      <c r="K328">
        <v>7</v>
      </c>
      <c r="L328">
        <v>1055.58</v>
      </c>
      <c r="M328" s="3">
        <v>0</v>
      </c>
      <c r="N328" t="str">
        <f>VLOOKUP(Table1[[#This Row],[Country]],REF_Country!$A$1:$D$11,2,FALSE)</f>
        <v>Southeast Asia</v>
      </c>
      <c r="O328" t="str">
        <f>VLOOKUP(Table1[[#This Row],[Country]],REF_Country!$A$1:$D$11,3,FALSE)</f>
        <v>VN</v>
      </c>
      <c r="P328">
        <f>VLOOKUP(Table1[[#This Row],[Country]],REF_Country!$A$1:$D$11,4,FALSE)</f>
        <v>0.1</v>
      </c>
      <c r="Q328">
        <f>VLOOKUP(Table1[[#This Row],[Category]],REF_Target!$A$1:$E$6,2,FALSE)</f>
        <v>45000</v>
      </c>
      <c r="R328">
        <f>Table1[[#This Row],[Quantity]]*Table1[[#This Row],[Unit_Price]]</f>
        <v>7389.0599999999995</v>
      </c>
      <c r="S328">
        <f>Table1[[#This Row],[Gross_Sales]]*Table1[[#This Row],[Discount_Rate]]</f>
        <v>0</v>
      </c>
      <c r="T328">
        <f>Table1[[#This Row],[Gross_Sales]]-Table1[[#This Row],[Discount_Amount]]</f>
        <v>7389.0599999999995</v>
      </c>
      <c r="U328">
        <f>VLOOKUP(Table1[[#This Row],[Category]],REF_Cost!$A$1:$B$6,2,FALSE)*Table1[[#This Row],[Quantity]]</f>
        <v>560</v>
      </c>
      <c r="V328">
        <f>Table1[[#This Row],[Net_Sales]]-Table1[[#This Row],[Total_Cost]]</f>
        <v>6829.0599999999995</v>
      </c>
      <c r="W328" t="str">
        <f>TEXT(Table1[[#This Row],[Order_Date]],"mmm")</f>
        <v>Feb</v>
      </c>
      <c r="X328">
        <f>ROUNDUP(MONTH(Table1[[#This Row],[Order_Date]])/3,0)</f>
        <v>1</v>
      </c>
      <c r="Y328">
        <f>YEAR(Table1[[#This Row],[Order_Date]])</f>
        <v>2024</v>
      </c>
    </row>
    <row r="329" spans="1:25" x14ac:dyDescent="0.25">
      <c r="A329" t="s">
        <v>1386</v>
      </c>
      <c r="B329" t="s">
        <v>1387</v>
      </c>
      <c r="C329" t="s">
        <v>1388</v>
      </c>
      <c r="D329" t="s">
        <v>1389</v>
      </c>
      <c r="E329" t="s">
        <v>39</v>
      </c>
      <c r="F329" t="s">
        <v>84</v>
      </c>
      <c r="G329" t="s">
        <v>90</v>
      </c>
      <c r="H329" t="s">
        <v>42</v>
      </c>
      <c r="I329" t="s">
        <v>66</v>
      </c>
      <c r="J329" t="s">
        <v>73</v>
      </c>
      <c r="K329">
        <v>6</v>
      </c>
      <c r="L329">
        <v>1460.08</v>
      </c>
      <c r="M329" s="3">
        <v>0.2</v>
      </c>
      <c r="N329" t="str">
        <f>VLOOKUP(Table1[[#This Row],[Country]],REF_Country!$A$1:$D$11,2,FALSE)</f>
        <v>Southeast Asia</v>
      </c>
      <c r="O329" t="str">
        <f>VLOOKUP(Table1[[#This Row],[Country]],REF_Country!$A$1:$D$11,3,FALSE)</f>
        <v>TH</v>
      </c>
      <c r="P329">
        <f>VLOOKUP(Table1[[#This Row],[Country]],REF_Country!$A$1:$D$11,4,FALSE)</f>
        <v>7.0000000000000007E-2</v>
      </c>
      <c r="Q329">
        <f>VLOOKUP(Table1[[#This Row],[Category]],REF_Target!$A$1:$E$6,2,FALSE)</f>
        <v>30000</v>
      </c>
      <c r="R329">
        <f>Table1[[#This Row],[Quantity]]*Table1[[#This Row],[Unit_Price]]</f>
        <v>8760.48</v>
      </c>
      <c r="S329">
        <f>Table1[[#This Row],[Gross_Sales]]*Table1[[#This Row],[Discount_Rate]]</f>
        <v>1752.096</v>
      </c>
      <c r="T329">
        <f>Table1[[#This Row],[Gross_Sales]]-Table1[[#This Row],[Discount_Amount]]</f>
        <v>7008.384</v>
      </c>
      <c r="U329">
        <f>VLOOKUP(Table1[[#This Row],[Category]],REF_Cost!$A$1:$B$6,2,FALSE)*Table1[[#This Row],[Quantity]]</f>
        <v>1200</v>
      </c>
      <c r="V329">
        <f>Table1[[#This Row],[Net_Sales]]-Table1[[#This Row],[Total_Cost]]</f>
        <v>5808.384</v>
      </c>
      <c r="W329" t="str">
        <f>TEXT(Table1[[#This Row],[Order_Date]],"mmm")</f>
        <v>Sep</v>
      </c>
      <c r="X329">
        <f>ROUNDUP(MONTH(Table1[[#This Row],[Order_Date]])/3,0)</f>
        <v>3</v>
      </c>
      <c r="Y329">
        <f>YEAR(Table1[[#This Row],[Order_Date]])</f>
        <v>2024</v>
      </c>
    </row>
    <row r="330" spans="1:25" x14ac:dyDescent="0.25">
      <c r="A330" t="s">
        <v>1390</v>
      </c>
      <c r="B330" t="s">
        <v>1391</v>
      </c>
      <c r="C330" t="s">
        <v>1392</v>
      </c>
      <c r="D330" t="s">
        <v>1393</v>
      </c>
      <c r="E330" t="s">
        <v>39</v>
      </c>
      <c r="F330" t="s">
        <v>49</v>
      </c>
      <c r="G330" t="s">
        <v>50</v>
      </c>
      <c r="H330" t="s">
        <v>32</v>
      </c>
      <c r="I330" t="s">
        <v>51</v>
      </c>
      <c r="J330" t="s">
        <v>34</v>
      </c>
      <c r="K330">
        <v>1</v>
      </c>
      <c r="L330">
        <v>363.24</v>
      </c>
      <c r="M330" s="3">
        <v>0.2</v>
      </c>
      <c r="N330" t="str">
        <f>VLOOKUP(Table1[[#This Row],[Country]],REF_Country!$A$1:$D$11,2,FALSE)</f>
        <v>Southeast Asia</v>
      </c>
      <c r="O330" t="str">
        <f>VLOOKUP(Table1[[#This Row],[Country]],REF_Country!$A$1:$D$11,3,FALSE)</f>
        <v>TH</v>
      </c>
      <c r="P330">
        <f>VLOOKUP(Table1[[#This Row],[Country]],REF_Country!$A$1:$D$11,4,FALSE)</f>
        <v>7.0000000000000007E-2</v>
      </c>
      <c r="Q330">
        <f>VLOOKUP(Table1[[#This Row],[Category]],REF_Target!$A$1:$E$6,2,FALSE)</f>
        <v>35000</v>
      </c>
      <c r="R330">
        <f>Table1[[#This Row],[Quantity]]*Table1[[#This Row],[Unit_Price]]</f>
        <v>363.24</v>
      </c>
      <c r="S330">
        <f>Table1[[#This Row],[Gross_Sales]]*Table1[[#This Row],[Discount_Rate]]</f>
        <v>72.64800000000001</v>
      </c>
      <c r="T330">
        <f>Table1[[#This Row],[Gross_Sales]]-Table1[[#This Row],[Discount_Amount]]</f>
        <v>290.59199999999998</v>
      </c>
      <c r="U330">
        <f>VLOOKUP(Table1[[#This Row],[Category]],REF_Cost!$A$1:$B$6,2,FALSE)*Table1[[#This Row],[Quantity]]</f>
        <v>150</v>
      </c>
      <c r="V330">
        <f>Table1[[#This Row],[Net_Sales]]-Table1[[#This Row],[Total_Cost]]</f>
        <v>140.59199999999998</v>
      </c>
      <c r="W330" t="str">
        <f>TEXT(Table1[[#This Row],[Order_Date]],"mmm")</f>
        <v>Oct</v>
      </c>
      <c r="X330">
        <f>ROUNDUP(MONTH(Table1[[#This Row],[Order_Date]])/3,0)</f>
        <v>4</v>
      </c>
      <c r="Y330">
        <f>YEAR(Table1[[#This Row],[Order_Date]])</f>
        <v>2024</v>
      </c>
    </row>
    <row r="331" spans="1:25" x14ac:dyDescent="0.25">
      <c r="A331" t="s">
        <v>1394</v>
      </c>
      <c r="B331" t="s">
        <v>1395</v>
      </c>
      <c r="C331" t="s">
        <v>1396</v>
      </c>
      <c r="D331" t="s">
        <v>1397</v>
      </c>
      <c r="E331" t="s">
        <v>116</v>
      </c>
      <c r="F331" t="s">
        <v>84</v>
      </c>
      <c r="G331" t="s">
        <v>85</v>
      </c>
      <c r="H331" t="s">
        <v>42</v>
      </c>
      <c r="I331" t="s">
        <v>51</v>
      </c>
      <c r="J331" t="s">
        <v>126</v>
      </c>
      <c r="K331">
        <v>5</v>
      </c>
      <c r="L331">
        <v>693.28</v>
      </c>
      <c r="M331" s="3">
        <v>0.05</v>
      </c>
      <c r="N331" t="str">
        <f>VLOOKUP(Table1[[#This Row],[Country]],REF_Country!$A$1:$D$11,2,FALSE)</f>
        <v>Southeast Asia</v>
      </c>
      <c r="O331" t="str">
        <f>VLOOKUP(Table1[[#This Row],[Country]],REF_Country!$A$1:$D$11,3,FALSE)</f>
        <v>MY</v>
      </c>
      <c r="P331">
        <f>VLOOKUP(Table1[[#This Row],[Country]],REF_Country!$A$1:$D$11,4,FALSE)</f>
        <v>0.06</v>
      </c>
      <c r="Q331">
        <f>VLOOKUP(Table1[[#This Row],[Category]],REF_Target!$A$1:$E$6,2,FALSE)</f>
        <v>30000</v>
      </c>
      <c r="R331">
        <f>Table1[[#This Row],[Quantity]]*Table1[[#This Row],[Unit_Price]]</f>
        <v>3466.3999999999996</v>
      </c>
      <c r="S331">
        <f>Table1[[#This Row],[Gross_Sales]]*Table1[[#This Row],[Discount_Rate]]</f>
        <v>173.32</v>
      </c>
      <c r="T331">
        <f>Table1[[#This Row],[Gross_Sales]]-Table1[[#This Row],[Discount_Amount]]</f>
        <v>3293.0799999999995</v>
      </c>
      <c r="U331">
        <f>VLOOKUP(Table1[[#This Row],[Category]],REF_Cost!$A$1:$B$6,2,FALSE)*Table1[[#This Row],[Quantity]]</f>
        <v>1000</v>
      </c>
      <c r="V331">
        <f>Table1[[#This Row],[Net_Sales]]-Table1[[#This Row],[Total_Cost]]</f>
        <v>2293.0799999999995</v>
      </c>
      <c r="W331" t="str">
        <f>TEXT(Table1[[#This Row],[Order_Date]],"mmm")</f>
        <v>Feb</v>
      </c>
      <c r="X331">
        <f>ROUNDUP(MONTH(Table1[[#This Row],[Order_Date]])/3,0)</f>
        <v>1</v>
      </c>
      <c r="Y331">
        <f>YEAR(Table1[[#This Row],[Order_Date]])</f>
        <v>2024</v>
      </c>
    </row>
    <row r="332" spans="1:25" x14ac:dyDescent="0.25">
      <c r="A332" t="s">
        <v>1398</v>
      </c>
      <c r="B332" t="s">
        <v>1399</v>
      </c>
      <c r="C332" t="s">
        <v>1400</v>
      </c>
      <c r="D332" t="s">
        <v>1401</v>
      </c>
      <c r="E332" t="s">
        <v>71</v>
      </c>
      <c r="F332" t="s">
        <v>49</v>
      </c>
      <c r="G332" t="s">
        <v>117</v>
      </c>
      <c r="H332" t="s">
        <v>72</v>
      </c>
      <c r="I332" t="s">
        <v>43</v>
      </c>
      <c r="J332" t="s">
        <v>59</v>
      </c>
      <c r="K332">
        <v>1</v>
      </c>
      <c r="L332">
        <v>156.07</v>
      </c>
      <c r="M332" s="3">
        <v>0</v>
      </c>
      <c r="N332" t="str">
        <f>VLOOKUP(Table1[[#This Row],[Country]],REF_Country!$A$1:$D$11,2,FALSE)</f>
        <v>Southeast Asia</v>
      </c>
      <c r="O332" t="str">
        <f>VLOOKUP(Table1[[#This Row],[Country]],REF_Country!$A$1:$D$11,3,FALSE)</f>
        <v>PH</v>
      </c>
      <c r="P332">
        <f>VLOOKUP(Table1[[#This Row],[Country]],REF_Country!$A$1:$D$11,4,FALSE)</f>
        <v>0.12</v>
      </c>
      <c r="Q332">
        <f>VLOOKUP(Table1[[#This Row],[Category]],REF_Target!$A$1:$E$6,2,FALSE)</f>
        <v>35000</v>
      </c>
      <c r="R332">
        <f>Table1[[#This Row],[Quantity]]*Table1[[#This Row],[Unit_Price]]</f>
        <v>156.07</v>
      </c>
      <c r="S332">
        <f>Table1[[#This Row],[Gross_Sales]]*Table1[[#This Row],[Discount_Rate]]</f>
        <v>0</v>
      </c>
      <c r="T332">
        <f>Table1[[#This Row],[Gross_Sales]]-Table1[[#This Row],[Discount_Amount]]</f>
        <v>156.07</v>
      </c>
      <c r="U332">
        <f>VLOOKUP(Table1[[#This Row],[Category]],REF_Cost!$A$1:$B$6,2,FALSE)*Table1[[#This Row],[Quantity]]</f>
        <v>150</v>
      </c>
      <c r="V332">
        <f>Table1[[#This Row],[Net_Sales]]-Table1[[#This Row],[Total_Cost]]</f>
        <v>6.0699999999999932</v>
      </c>
      <c r="W332" t="str">
        <f>TEXT(Table1[[#This Row],[Order_Date]],"mmm")</f>
        <v>Jan</v>
      </c>
      <c r="X332">
        <f>ROUNDUP(MONTH(Table1[[#This Row],[Order_Date]])/3,0)</f>
        <v>1</v>
      </c>
      <c r="Y332">
        <f>YEAR(Table1[[#This Row],[Order_Date]])</f>
        <v>2024</v>
      </c>
    </row>
    <row r="333" spans="1:25" x14ac:dyDescent="0.25">
      <c r="A333" t="s">
        <v>1402</v>
      </c>
      <c r="B333" t="s">
        <v>1403</v>
      </c>
      <c r="C333" t="s">
        <v>1404</v>
      </c>
      <c r="D333" t="s">
        <v>1405</v>
      </c>
      <c r="E333" t="s">
        <v>116</v>
      </c>
      <c r="F333" t="s">
        <v>84</v>
      </c>
      <c r="G333" t="s">
        <v>412</v>
      </c>
      <c r="H333" t="s">
        <v>42</v>
      </c>
      <c r="I333" t="s">
        <v>66</v>
      </c>
      <c r="J333" t="s">
        <v>34</v>
      </c>
      <c r="K333">
        <v>7</v>
      </c>
      <c r="L333">
        <v>286.56</v>
      </c>
      <c r="M333" s="3">
        <v>0.1</v>
      </c>
      <c r="N333" t="str">
        <f>VLOOKUP(Table1[[#This Row],[Country]],REF_Country!$A$1:$D$11,2,FALSE)</f>
        <v>Southeast Asia</v>
      </c>
      <c r="O333" t="str">
        <f>VLOOKUP(Table1[[#This Row],[Country]],REF_Country!$A$1:$D$11,3,FALSE)</f>
        <v>MY</v>
      </c>
      <c r="P333">
        <f>VLOOKUP(Table1[[#This Row],[Country]],REF_Country!$A$1:$D$11,4,FALSE)</f>
        <v>0.06</v>
      </c>
      <c r="Q333">
        <f>VLOOKUP(Table1[[#This Row],[Category]],REF_Target!$A$1:$E$6,2,FALSE)</f>
        <v>30000</v>
      </c>
      <c r="R333">
        <f>Table1[[#This Row],[Quantity]]*Table1[[#This Row],[Unit_Price]]</f>
        <v>2005.92</v>
      </c>
      <c r="S333">
        <f>Table1[[#This Row],[Gross_Sales]]*Table1[[#This Row],[Discount_Rate]]</f>
        <v>200.59200000000001</v>
      </c>
      <c r="T333">
        <f>Table1[[#This Row],[Gross_Sales]]-Table1[[#This Row],[Discount_Amount]]</f>
        <v>1805.328</v>
      </c>
      <c r="U333">
        <f>VLOOKUP(Table1[[#This Row],[Category]],REF_Cost!$A$1:$B$6,2,FALSE)*Table1[[#This Row],[Quantity]]</f>
        <v>1400</v>
      </c>
      <c r="V333">
        <f>Table1[[#This Row],[Net_Sales]]-Table1[[#This Row],[Total_Cost]]</f>
        <v>405.32799999999997</v>
      </c>
      <c r="W333" t="str">
        <f>TEXT(Table1[[#This Row],[Order_Date]],"mmm")</f>
        <v>Aug</v>
      </c>
      <c r="X333">
        <f>ROUNDUP(MONTH(Table1[[#This Row],[Order_Date]])/3,0)</f>
        <v>3</v>
      </c>
      <c r="Y333">
        <f>YEAR(Table1[[#This Row],[Order_Date]])</f>
        <v>2024</v>
      </c>
    </row>
    <row r="334" spans="1:25" x14ac:dyDescent="0.25">
      <c r="A334" t="s">
        <v>1406</v>
      </c>
      <c r="B334" t="s">
        <v>1407</v>
      </c>
      <c r="C334" t="s">
        <v>1408</v>
      </c>
      <c r="D334" t="s">
        <v>1409</v>
      </c>
      <c r="E334" t="s">
        <v>48</v>
      </c>
      <c r="F334" t="s">
        <v>56</v>
      </c>
      <c r="G334" t="s">
        <v>95</v>
      </c>
      <c r="H334" t="s">
        <v>32</v>
      </c>
      <c r="I334" t="s">
        <v>96</v>
      </c>
      <c r="J334" t="s">
        <v>34</v>
      </c>
      <c r="K334">
        <v>1</v>
      </c>
      <c r="L334">
        <v>1048.81</v>
      </c>
      <c r="M334" s="3">
        <v>0</v>
      </c>
      <c r="N334" t="str">
        <f>VLOOKUP(Table1[[#This Row],[Country]],REF_Country!$A$1:$D$11,2,FALSE)</f>
        <v>Southeast Asia</v>
      </c>
      <c r="O334" t="str">
        <f>VLOOKUP(Table1[[#This Row],[Country]],REF_Country!$A$1:$D$11,3,FALSE)</f>
        <v>SG</v>
      </c>
      <c r="P334">
        <f>VLOOKUP(Table1[[#This Row],[Country]],REF_Country!$A$1:$D$11,4,FALSE)</f>
        <v>7.0000000000000007E-2</v>
      </c>
      <c r="Q334">
        <f>VLOOKUP(Table1[[#This Row],[Category]],REF_Target!$A$1:$E$6,2,FALSE)</f>
        <v>50000</v>
      </c>
      <c r="R334">
        <f>Table1[[#This Row],[Quantity]]*Table1[[#This Row],[Unit_Price]]</f>
        <v>1048.81</v>
      </c>
      <c r="S334">
        <f>Table1[[#This Row],[Gross_Sales]]*Table1[[#This Row],[Discount_Rate]]</f>
        <v>0</v>
      </c>
      <c r="T334">
        <f>Table1[[#This Row],[Gross_Sales]]-Table1[[#This Row],[Discount_Amount]]</f>
        <v>1048.81</v>
      </c>
      <c r="U334">
        <f>VLOOKUP(Table1[[#This Row],[Category]],REF_Cost!$A$1:$B$6,2,FALSE)*Table1[[#This Row],[Quantity]]</f>
        <v>450</v>
      </c>
      <c r="V334">
        <f>Table1[[#This Row],[Net_Sales]]-Table1[[#This Row],[Total_Cost]]</f>
        <v>598.80999999999995</v>
      </c>
      <c r="W334" t="str">
        <f>TEXT(Table1[[#This Row],[Order_Date]],"mmm")</f>
        <v>Aug</v>
      </c>
      <c r="X334">
        <f>ROUNDUP(MONTH(Table1[[#This Row],[Order_Date]])/3,0)</f>
        <v>3</v>
      </c>
      <c r="Y334">
        <f>YEAR(Table1[[#This Row],[Order_Date]])</f>
        <v>2024</v>
      </c>
    </row>
    <row r="335" spans="1:25" x14ac:dyDescent="0.25">
      <c r="A335" t="s">
        <v>1410</v>
      </c>
      <c r="B335" t="s">
        <v>1411</v>
      </c>
      <c r="C335" t="s">
        <v>1412</v>
      </c>
      <c r="D335" t="s">
        <v>1413</v>
      </c>
      <c r="E335" t="s">
        <v>83</v>
      </c>
      <c r="F335" t="s">
        <v>49</v>
      </c>
      <c r="G335" t="s">
        <v>50</v>
      </c>
      <c r="H335" t="s">
        <v>42</v>
      </c>
      <c r="I335" t="s">
        <v>51</v>
      </c>
      <c r="J335" t="s">
        <v>34</v>
      </c>
      <c r="K335">
        <v>3</v>
      </c>
      <c r="L335">
        <v>922.87</v>
      </c>
      <c r="M335" s="3">
        <v>0.1</v>
      </c>
      <c r="N335" t="str">
        <f>VLOOKUP(Table1[[#This Row],[Country]],REF_Country!$A$1:$D$11,2,FALSE)</f>
        <v>South Asia</v>
      </c>
      <c r="O335" t="str">
        <f>VLOOKUP(Table1[[#This Row],[Country]],REF_Country!$A$1:$D$11,3,FALSE)</f>
        <v>IN</v>
      </c>
      <c r="P335">
        <f>VLOOKUP(Table1[[#This Row],[Country]],REF_Country!$A$1:$D$11,4,FALSE)</f>
        <v>0.18</v>
      </c>
      <c r="Q335">
        <f>VLOOKUP(Table1[[#This Row],[Category]],REF_Target!$A$1:$E$6,2,FALSE)</f>
        <v>35000</v>
      </c>
      <c r="R335">
        <f>Table1[[#This Row],[Quantity]]*Table1[[#This Row],[Unit_Price]]</f>
        <v>2768.61</v>
      </c>
      <c r="S335">
        <f>Table1[[#This Row],[Gross_Sales]]*Table1[[#This Row],[Discount_Rate]]</f>
        <v>276.86100000000005</v>
      </c>
      <c r="T335">
        <f>Table1[[#This Row],[Gross_Sales]]-Table1[[#This Row],[Discount_Amount]]</f>
        <v>2491.7490000000003</v>
      </c>
      <c r="U335">
        <f>VLOOKUP(Table1[[#This Row],[Category]],REF_Cost!$A$1:$B$6,2,FALSE)*Table1[[#This Row],[Quantity]]</f>
        <v>450</v>
      </c>
      <c r="V335">
        <f>Table1[[#This Row],[Net_Sales]]-Table1[[#This Row],[Total_Cost]]</f>
        <v>2041.7490000000003</v>
      </c>
      <c r="W335" t="str">
        <f>TEXT(Table1[[#This Row],[Order_Date]],"mmm")</f>
        <v>Dec</v>
      </c>
      <c r="X335">
        <f>ROUNDUP(MONTH(Table1[[#This Row],[Order_Date]])/3,0)</f>
        <v>4</v>
      </c>
      <c r="Y335">
        <f>YEAR(Table1[[#This Row],[Order_Date]])</f>
        <v>2024</v>
      </c>
    </row>
    <row r="336" spans="1:25" x14ac:dyDescent="0.25">
      <c r="A336" t="s">
        <v>1414</v>
      </c>
      <c r="B336" t="s">
        <v>1415</v>
      </c>
      <c r="C336" t="s">
        <v>1416</v>
      </c>
      <c r="D336" t="s">
        <v>1417</v>
      </c>
      <c r="E336" t="s">
        <v>71</v>
      </c>
      <c r="F336" t="s">
        <v>56</v>
      </c>
      <c r="G336" t="s">
        <v>111</v>
      </c>
      <c r="H336" t="s">
        <v>72</v>
      </c>
      <c r="I336" t="s">
        <v>66</v>
      </c>
      <c r="J336" t="s">
        <v>126</v>
      </c>
      <c r="K336">
        <v>10</v>
      </c>
      <c r="L336">
        <v>1154.78</v>
      </c>
      <c r="M336" s="3">
        <v>0.2</v>
      </c>
      <c r="N336" t="str">
        <f>VLOOKUP(Table1[[#This Row],[Country]],REF_Country!$A$1:$D$11,2,FALSE)</f>
        <v>Southeast Asia</v>
      </c>
      <c r="O336" t="str">
        <f>VLOOKUP(Table1[[#This Row],[Country]],REF_Country!$A$1:$D$11,3,FALSE)</f>
        <v>PH</v>
      </c>
      <c r="P336">
        <f>VLOOKUP(Table1[[#This Row],[Country]],REF_Country!$A$1:$D$11,4,FALSE)</f>
        <v>0.12</v>
      </c>
      <c r="Q336">
        <f>VLOOKUP(Table1[[#This Row],[Category]],REF_Target!$A$1:$E$6,2,FALSE)</f>
        <v>50000</v>
      </c>
      <c r="R336">
        <f>Table1[[#This Row],[Quantity]]*Table1[[#This Row],[Unit_Price]]</f>
        <v>11547.8</v>
      </c>
      <c r="S336">
        <f>Table1[[#This Row],[Gross_Sales]]*Table1[[#This Row],[Discount_Rate]]</f>
        <v>2309.56</v>
      </c>
      <c r="T336">
        <f>Table1[[#This Row],[Gross_Sales]]-Table1[[#This Row],[Discount_Amount]]</f>
        <v>9238.24</v>
      </c>
      <c r="U336">
        <f>VLOOKUP(Table1[[#This Row],[Category]],REF_Cost!$A$1:$B$6,2,FALSE)*Table1[[#This Row],[Quantity]]</f>
        <v>4500</v>
      </c>
      <c r="V336">
        <f>Table1[[#This Row],[Net_Sales]]-Table1[[#This Row],[Total_Cost]]</f>
        <v>4738.24</v>
      </c>
      <c r="W336" t="str">
        <f>TEXT(Table1[[#This Row],[Order_Date]],"mmm")</f>
        <v>Jan</v>
      </c>
      <c r="X336">
        <f>ROUNDUP(MONTH(Table1[[#This Row],[Order_Date]])/3,0)</f>
        <v>1</v>
      </c>
      <c r="Y336">
        <f>YEAR(Table1[[#This Row],[Order_Date]])</f>
        <v>2024</v>
      </c>
    </row>
    <row r="337" spans="1:25" x14ac:dyDescent="0.25">
      <c r="A337" t="s">
        <v>1418</v>
      </c>
      <c r="B337" t="s">
        <v>1419</v>
      </c>
      <c r="C337" t="s">
        <v>1420</v>
      </c>
      <c r="D337" t="s">
        <v>1421</v>
      </c>
      <c r="E337" t="s">
        <v>200</v>
      </c>
      <c r="F337" t="s">
        <v>84</v>
      </c>
      <c r="G337" t="s">
        <v>264</v>
      </c>
      <c r="H337" t="s">
        <v>32</v>
      </c>
      <c r="I337" t="s">
        <v>51</v>
      </c>
      <c r="J337" t="s">
        <v>73</v>
      </c>
      <c r="K337">
        <v>9</v>
      </c>
      <c r="L337">
        <v>235.75</v>
      </c>
      <c r="M337" s="3">
        <v>0.15</v>
      </c>
      <c r="N337" t="str">
        <f>VLOOKUP(Table1[[#This Row],[Country]],REF_Country!$A$1:$D$11,2,FALSE)</f>
        <v>East Asia</v>
      </c>
      <c r="O337" t="str">
        <f>VLOOKUP(Table1[[#This Row],[Country]],REF_Country!$A$1:$D$11,3,FALSE)</f>
        <v>KR</v>
      </c>
      <c r="P337">
        <f>VLOOKUP(Table1[[#This Row],[Country]],REF_Country!$A$1:$D$11,4,FALSE)</f>
        <v>0.1</v>
      </c>
      <c r="Q337">
        <f>VLOOKUP(Table1[[#This Row],[Category]],REF_Target!$A$1:$E$6,2,FALSE)</f>
        <v>30000</v>
      </c>
      <c r="R337">
        <f>Table1[[#This Row],[Quantity]]*Table1[[#This Row],[Unit_Price]]</f>
        <v>2121.75</v>
      </c>
      <c r="S337">
        <f>Table1[[#This Row],[Gross_Sales]]*Table1[[#This Row],[Discount_Rate]]</f>
        <v>318.26249999999999</v>
      </c>
      <c r="T337">
        <f>Table1[[#This Row],[Gross_Sales]]-Table1[[#This Row],[Discount_Amount]]</f>
        <v>1803.4875</v>
      </c>
      <c r="U337">
        <f>VLOOKUP(Table1[[#This Row],[Category]],REF_Cost!$A$1:$B$6,2,FALSE)*Table1[[#This Row],[Quantity]]</f>
        <v>1800</v>
      </c>
      <c r="V337">
        <f>Table1[[#This Row],[Net_Sales]]-Table1[[#This Row],[Total_Cost]]</f>
        <v>3.4874999999999545</v>
      </c>
      <c r="W337" t="str">
        <f>TEXT(Table1[[#This Row],[Order_Date]],"mmm")</f>
        <v>Dec</v>
      </c>
      <c r="X337">
        <f>ROUNDUP(MONTH(Table1[[#This Row],[Order_Date]])/3,0)</f>
        <v>4</v>
      </c>
      <c r="Y337">
        <f>YEAR(Table1[[#This Row],[Order_Date]])</f>
        <v>2024</v>
      </c>
    </row>
    <row r="338" spans="1:25" x14ac:dyDescent="0.25">
      <c r="A338" t="s">
        <v>1422</v>
      </c>
      <c r="B338" t="s">
        <v>1423</v>
      </c>
      <c r="C338" t="s">
        <v>1424</v>
      </c>
      <c r="D338" t="s">
        <v>1425</v>
      </c>
      <c r="E338" t="s">
        <v>48</v>
      </c>
      <c r="F338" t="s">
        <v>56</v>
      </c>
      <c r="G338" t="s">
        <v>57</v>
      </c>
      <c r="H338" t="s">
        <v>32</v>
      </c>
      <c r="I338" t="s">
        <v>33</v>
      </c>
      <c r="J338" t="s">
        <v>73</v>
      </c>
      <c r="K338">
        <v>6</v>
      </c>
      <c r="L338">
        <v>491.14</v>
      </c>
      <c r="M338" s="3">
        <v>0.05</v>
      </c>
      <c r="N338" t="str">
        <f>VLOOKUP(Table1[[#This Row],[Country]],REF_Country!$A$1:$D$11,2,FALSE)</f>
        <v>Southeast Asia</v>
      </c>
      <c r="O338" t="str">
        <f>VLOOKUP(Table1[[#This Row],[Country]],REF_Country!$A$1:$D$11,3,FALSE)</f>
        <v>SG</v>
      </c>
      <c r="P338">
        <f>VLOOKUP(Table1[[#This Row],[Country]],REF_Country!$A$1:$D$11,4,FALSE)</f>
        <v>7.0000000000000007E-2</v>
      </c>
      <c r="Q338">
        <f>VLOOKUP(Table1[[#This Row],[Category]],REF_Target!$A$1:$E$6,2,FALSE)</f>
        <v>50000</v>
      </c>
      <c r="R338">
        <f>Table1[[#This Row],[Quantity]]*Table1[[#This Row],[Unit_Price]]</f>
        <v>2946.84</v>
      </c>
      <c r="S338">
        <f>Table1[[#This Row],[Gross_Sales]]*Table1[[#This Row],[Discount_Rate]]</f>
        <v>147.34200000000001</v>
      </c>
      <c r="T338">
        <f>Table1[[#This Row],[Gross_Sales]]-Table1[[#This Row],[Discount_Amount]]</f>
        <v>2799.498</v>
      </c>
      <c r="U338">
        <f>VLOOKUP(Table1[[#This Row],[Category]],REF_Cost!$A$1:$B$6,2,FALSE)*Table1[[#This Row],[Quantity]]</f>
        <v>2700</v>
      </c>
      <c r="V338">
        <f>Table1[[#This Row],[Net_Sales]]-Table1[[#This Row],[Total_Cost]]</f>
        <v>99.498000000000047</v>
      </c>
      <c r="W338" t="str">
        <f>TEXT(Table1[[#This Row],[Order_Date]],"mmm")</f>
        <v>Aug</v>
      </c>
      <c r="X338">
        <f>ROUNDUP(MONTH(Table1[[#This Row],[Order_Date]])/3,0)</f>
        <v>3</v>
      </c>
      <c r="Y338">
        <f>YEAR(Table1[[#This Row],[Order_Date]])</f>
        <v>2024</v>
      </c>
    </row>
    <row r="339" spans="1:25" x14ac:dyDescent="0.25">
      <c r="A339" t="s">
        <v>1426</v>
      </c>
      <c r="B339" t="s">
        <v>1427</v>
      </c>
      <c r="C339" t="s">
        <v>1428</v>
      </c>
      <c r="D339" t="s">
        <v>1429</v>
      </c>
      <c r="E339" t="s">
        <v>39</v>
      </c>
      <c r="F339" t="s">
        <v>56</v>
      </c>
      <c r="G339" t="s">
        <v>57</v>
      </c>
      <c r="H339" t="s">
        <v>32</v>
      </c>
      <c r="I339" t="s">
        <v>96</v>
      </c>
      <c r="J339" t="s">
        <v>34</v>
      </c>
      <c r="K339">
        <v>10</v>
      </c>
      <c r="L339">
        <v>674.62</v>
      </c>
      <c r="M339" s="3">
        <v>0.1</v>
      </c>
      <c r="N339" t="str">
        <f>VLOOKUP(Table1[[#This Row],[Country]],REF_Country!$A$1:$D$11,2,FALSE)</f>
        <v>Southeast Asia</v>
      </c>
      <c r="O339" t="str">
        <f>VLOOKUP(Table1[[#This Row],[Country]],REF_Country!$A$1:$D$11,3,FALSE)</f>
        <v>TH</v>
      </c>
      <c r="P339">
        <f>VLOOKUP(Table1[[#This Row],[Country]],REF_Country!$A$1:$D$11,4,FALSE)</f>
        <v>7.0000000000000007E-2</v>
      </c>
      <c r="Q339">
        <f>VLOOKUP(Table1[[#This Row],[Category]],REF_Target!$A$1:$E$6,2,FALSE)</f>
        <v>50000</v>
      </c>
      <c r="R339">
        <f>Table1[[#This Row],[Quantity]]*Table1[[#This Row],[Unit_Price]]</f>
        <v>6746.2</v>
      </c>
      <c r="S339">
        <f>Table1[[#This Row],[Gross_Sales]]*Table1[[#This Row],[Discount_Rate]]</f>
        <v>674.62</v>
      </c>
      <c r="T339">
        <f>Table1[[#This Row],[Gross_Sales]]-Table1[[#This Row],[Discount_Amount]]</f>
        <v>6071.58</v>
      </c>
      <c r="U339">
        <f>VLOOKUP(Table1[[#This Row],[Category]],REF_Cost!$A$1:$B$6,2,FALSE)*Table1[[#This Row],[Quantity]]</f>
        <v>4500</v>
      </c>
      <c r="V339">
        <f>Table1[[#This Row],[Net_Sales]]-Table1[[#This Row],[Total_Cost]]</f>
        <v>1571.58</v>
      </c>
      <c r="W339" t="str">
        <f>TEXT(Table1[[#This Row],[Order_Date]],"mmm")</f>
        <v>Nov</v>
      </c>
      <c r="X339">
        <f>ROUNDUP(MONTH(Table1[[#This Row],[Order_Date]])/3,0)</f>
        <v>4</v>
      </c>
      <c r="Y339">
        <f>YEAR(Table1[[#This Row],[Order_Date]])</f>
        <v>2024</v>
      </c>
    </row>
    <row r="340" spans="1:25" x14ac:dyDescent="0.25">
      <c r="A340" t="s">
        <v>1430</v>
      </c>
      <c r="B340" t="s">
        <v>1431</v>
      </c>
      <c r="C340" t="s">
        <v>1432</v>
      </c>
      <c r="D340" t="s">
        <v>1433</v>
      </c>
      <c r="E340" t="s">
        <v>64</v>
      </c>
      <c r="F340" t="s">
        <v>56</v>
      </c>
      <c r="G340" t="s">
        <v>57</v>
      </c>
      <c r="H340" t="s">
        <v>32</v>
      </c>
      <c r="I340" t="s">
        <v>51</v>
      </c>
      <c r="J340" t="s">
        <v>59</v>
      </c>
      <c r="K340">
        <v>9</v>
      </c>
      <c r="L340">
        <v>627.32000000000005</v>
      </c>
      <c r="M340" s="3">
        <v>0.15</v>
      </c>
      <c r="N340" t="str">
        <f>VLOOKUP(Table1[[#This Row],[Country]],REF_Country!$A$1:$D$11,2,FALSE)</f>
        <v>Southeast Asia</v>
      </c>
      <c r="O340" t="str">
        <f>VLOOKUP(Table1[[#This Row],[Country]],REF_Country!$A$1:$D$11,3,FALSE)</f>
        <v>ID</v>
      </c>
      <c r="P340">
        <f>VLOOKUP(Table1[[#This Row],[Country]],REF_Country!$A$1:$D$11,4,FALSE)</f>
        <v>0.11</v>
      </c>
      <c r="Q340">
        <f>VLOOKUP(Table1[[#This Row],[Category]],REF_Target!$A$1:$E$6,2,FALSE)</f>
        <v>50000</v>
      </c>
      <c r="R340">
        <f>Table1[[#This Row],[Quantity]]*Table1[[#This Row],[Unit_Price]]</f>
        <v>5645.88</v>
      </c>
      <c r="S340">
        <f>Table1[[#This Row],[Gross_Sales]]*Table1[[#This Row],[Discount_Rate]]</f>
        <v>846.88199999999995</v>
      </c>
      <c r="T340">
        <f>Table1[[#This Row],[Gross_Sales]]-Table1[[#This Row],[Discount_Amount]]</f>
        <v>4798.9980000000005</v>
      </c>
      <c r="U340">
        <f>VLOOKUP(Table1[[#This Row],[Category]],REF_Cost!$A$1:$B$6,2,FALSE)*Table1[[#This Row],[Quantity]]</f>
        <v>4050</v>
      </c>
      <c r="V340">
        <f>Table1[[#This Row],[Net_Sales]]-Table1[[#This Row],[Total_Cost]]</f>
        <v>748.9980000000005</v>
      </c>
      <c r="W340" t="str">
        <f>TEXT(Table1[[#This Row],[Order_Date]],"mmm")</f>
        <v>Mar</v>
      </c>
      <c r="X340">
        <f>ROUNDUP(MONTH(Table1[[#This Row],[Order_Date]])/3,0)</f>
        <v>1</v>
      </c>
      <c r="Y340">
        <f>YEAR(Table1[[#This Row],[Order_Date]])</f>
        <v>2024</v>
      </c>
    </row>
    <row r="341" spans="1:25" x14ac:dyDescent="0.25">
      <c r="A341" t="s">
        <v>1434</v>
      </c>
      <c r="B341" t="s">
        <v>1435</v>
      </c>
      <c r="C341" t="s">
        <v>1436</v>
      </c>
      <c r="D341" t="s">
        <v>1437</v>
      </c>
      <c r="E341" t="s">
        <v>200</v>
      </c>
      <c r="F341" t="s">
        <v>84</v>
      </c>
      <c r="G341" t="s">
        <v>412</v>
      </c>
      <c r="H341" t="s">
        <v>58</v>
      </c>
      <c r="I341" t="s">
        <v>33</v>
      </c>
      <c r="J341" t="s">
        <v>34</v>
      </c>
      <c r="K341">
        <v>4</v>
      </c>
      <c r="L341">
        <v>1240.5899999999999</v>
      </c>
      <c r="M341" s="3">
        <v>0.1</v>
      </c>
      <c r="N341" t="str">
        <f>VLOOKUP(Table1[[#This Row],[Country]],REF_Country!$A$1:$D$11,2,FALSE)</f>
        <v>East Asia</v>
      </c>
      <c r="O341" t="str">
        <f>VLOOKUP(Table1[[#This Row],[Country]],REF_Country!$A$1:$D$11,3,FALSE)</f>
        <v>KR</v>
      </c>
      <c r="P341">
        <f>VLOOKUP(Table1[[#This Row],[Country]],REF_Country!$A$1:$D$11,4,FALSE)</f>
        <v>0.1</v>
      </c>
      <c r="Q341">
        <f>VLOOKUP(Table1[[#This Row],[Category]],REF_Target!$A$1:$E$6,2,FALSE)</f>
        <v>30000</v>
      </c>
      <c r="R341">
        <f>Table1[[#This Row],[Quantity]]*Table1[[#This Row],[Unit_Price]]</f>
        <v>4962.3599999999997</v>
      </c>
      <c r="S341">
        <f>Table1[[#This Row],[Gross_Sales]]*Table1[[#This Row],[Discount_Rate]]</f>
        <v>496.23599999999999</v>
      </c>
      <c r="T341">
        <f>Table1[[#This Row],[Gross_Sales]]-Table1[[#This Row],[Discount_Amount]]</f>
        <v>4466.1239999999998</v>
      </c>
      <c r="U341">
        <f>VLOOKUP(Table1[[#This Row],[Category]],REF_Cost!$A$1:$B$6,2,FALSE)*Table1[[#This Row],[Quantity]]</f>
        <v>800</v>
      </c>
      <c r="V341">
        <f>Table1[[#This Row],[Net_Sales]]-Table1[[#This Row],[Total_Cost]]</f>
        <v>3666.1239999999998</v>
      </c>
      <c r="W341" t="str">
        <f>TEXT(Table1[[#This Row],[Order_Date]],"mmm")</f>
        <v>Oct</v>
      </c>
      <c r="X341">
        <f>ROUNDUP(MONTH(Table1[[#This Row],[Order_Date]])/3,0)</f>
        <v>4</v>
      </c>
      <c r="Y341">
        <f>YEAR(Table1[[#This Row],[Order_Date]])</f>
        <v>2024</v>
      </c>
    </row>
    <row r="342" spans="1:25" x14ac:dyDescent="0.25">
      <c r="A342" t="s">
        <v>1438</v>
      </c>
      <c r="B342" t="s">
        <v>1439</v>
      </c>
      <c r="C342" t="s">
        <v>1440</v>
      </c>
      <c r="D342" t="s">
        <v>1441</v>
      </c>
      <c r="E342" t="s">
        <v>116</v>
      </c>
      <c r="F342" t="s">
        <v>56</v>
      </c>
      <c r="G342" t="s">
        <v>95</v>
      </c>
      <c r="H342" t="s">
        <v>58</v>
      </c>
      <c r="I342" t="s">
        <v>33</v>
      </c>
      <c r="J342" t="s">
        <v>59</v>
      </c>
      <c r="K342">
        <v>6</v>
      </c>
      <c r="L342">
        <v>18.260000000000002</v>
      </c>
      <c r="M342" s="3">
        <v>0.2</v>
      </c>
      <c r="N342" t="str">
        <f>VLOOKUP(Table1[[#This Row],[Country]],REF_Country!$A$1:$D$11,2,FALSE)</f>
        <v>Southeast Asia</v>
      </c>
      <c r="O342" t="str">
        <f>VLOOKUP(Table1[[#This Row],[Country]],REF_Country!$A$1:$D$11,3,FALSE)</f>
        <v>MY</v>
      </c>
      <c r="P342">
        <f>VLOOKUP(Table1[[#This Row],[Country]],REF_Country!$A$1:$D$11,4,FALSE)</f>
        <v>0.06</v>
      </c>
      <c r="Q342">
        <f>VLOOKUP(Table1[[#This Row],[Category]],REF_Target!$A$1:$E$6,2,FALSE)</f>
        <v>50000</v>
      </c>
      <c r="R342">
        <f>Table1[[#This Row],[Quantity]]*Table1[[#This Row],[Unit_Price]]</f>
        <v>109.56</v>
      </c>
      <c r="S342">
        <f>Table1[[#This Row],[Gross_Sales]]*Table1[[#This Row],[Discount_Rate]]</f>
        <v>21.912000000000003</v>
      </c>
      <c r="T342">
        <f>Table1[[#This Row],[Gross_Sales]]-Table1[[#This Row],[Discount_Amount]]</f>
        <v>87.647999999999996</v>
      </c>
      <c r="U342">
        <f>VLOOKUP(Table1[[#This Row],[Category]],REF_Cost!$A$1:$B$6,2,FALSE)*Table1[[#This Row],[Quantity]]</f>
        <v>2700</v>
      </c>
      <c r="V342">
        <f>Table1[[#This Row],[Net_Sales]]-Table1[[#This Row],[Total_Cost]]</f>
        <v>-2612.3519999999999</v>
      </c>
      <c r="W342" t="str">
        <f>TEXT(Table1[[#This Row],[Order_Date]],"mmm")</f>
        <v>Jul</v>
      </c>
      <c r="X342">
        <f>ROUNDUP(MONTH(Table1[[#This Row],[Order_Date]])/3,0)</f>
        <v>3</v>
      </c>
      <c r="Y342">
        <f>YEAR(Table1[[#This Row],[Order_Date]])</f>
        <v>2024</v>
      </c>
    </row>
    <row r="343" spans="1:25" x14ac:dyDescent="0.25">
      <c r="A343" t="s">
        <v>1442</v>
      </c>
      <c r="B343" t="s">
        <v>1443</v>
      </c>
      <c r="C343" t="s">
        <v>1444</v>
      </c>
      <c r="D343" t="s">
        <v>1445</v>
      </c>
      <c r="E343" t="s">
        <v>48</v>
      </c>
      <c r="F343" t="s">
        <v>49</v>
      </c>
      <c r="G343" t="s">
        <v>117</v>
      </c>
      <c r="H343" t="s">
        <v>32</v>
      </c>
      <c r="I343" t="s">
        <v>96</v>
      </c>
      <c r="J343" t="s">
        <v>73</v>
      </c>
      <c r="K343">
        <v>4</v>
      </c>
      <c r="L343">
        <v>392.62</v>
      </c>
      <c r="M343" s="3">
        <v>0</v>
      </c>
      <c r="N343" t="str">
        <f>VLOOKUP(Table1[[#This Row],[Country]],REF_Country!$A$1:$D$11,2,FALSE)</f>
        <v>Southeast Asia</v>
      </c>
      <c r="O343" t="str">
        <f>VLOOKUP(Table1[[#This Row],[Country]],REF_Country!$A$1:$D$11,3,FALSE)</f>
        <v>SG</v>
      </c>
      <c r="P343">
        <f>VLOOKUP(Table1[[#This Row],[Country]],REF_Country!$A$1:$D$11,4,FALSE)</f>
        <v>7.0000000000000007E-2</v>
      </c>
      <c r="Q343">
        <f>VLOOKUP(Table1[[#This Row],[Category]],REF_Target!$A$1:$E$6,2,FALSE)</f>
        <v>35000</v>
      </c>
      <c r="R343">
        <f>Table1[[#This Row],[Quantity]]*Table1[[#This Row],[Unit_Price]]</f>
        <v>1570.48</v>
      </c>
      <c r="S343">
        <f>Table1[[#This Row],[Gross_Sales]]*Table1[[#This Row],[Discount_Rate]]</f>
        <v>0</v>
      </c>
      <c r="T343">
        <f>Table1[[#This Row],[Gross_Sales]]-Table1[[#This Row],[Discount_Amount]]</f>
        <v>1570.48</v>
      </c>
      <c r="U343">
        <f>VLOOKUP(Table1[[#This Row],[Category]],REF_Cost!$A$1:$B$6,2,FALSE)*Table1[[#This Row],[Quantity]]</f>
        <v>600</v>
      </c>
      <c r="V343">
        <f>Table1[[#This Row],[Net_Sales]]-Table1[[#This Row],[Total_Cost]]</f>
        <v>970.48</v>
      </c>
      <c r="W343" t="str">
        <f>TEXT(Table1[[#This Row],[Order_Date]],"mmm")</f>
        <v>Jan</v>
      </c>
      <c r="X343">
        <f>ROUNDUP(MONTH(Table1[[#This Row],[Order_Date]])/3,0)</f>
        <v>1</v>
      </c>
      <c r="Y343">
        <f>YEAR(Table1[[#This Row],[Order_Date]])</f>
        <v>2024</v>
      </c>
    </row>
    <row r="344" spans="1:25" x14ac:dyDescent="0.25">
      <c r="A344" t="s">
        <v>1446</v>
      </c>
      <c r="B344" t="s">
        <v>1447</v>
      </c>
      <c r="C344" t="s">
        <v>1448</v>
      </c>
      <c r="D344" t="s">
        <v>1449</v>
      </c>
      <c r="E344" t="s">
        <v>116</v>
      </c>
      <c r="F344" t="s">
        <v>49</v>
      </c>
      <c r="G344" t="s">
        <v>117</v>
      </c>
      <c r="H344" t="s">
        <v>42</v>
      </c>
      <c r="I344" t="s">
        <v>96</v>
      </c>
      <c r="J344" t="s">
        <v>73</v>
      </c>
      <c r="K344">
        <v>10</v>
      </c>
      <c r="L344">
        <v>1391.04</v>
      </c>
      <c r="M344" s="3">
        <v>0</v>
      </c>
      <c r="N344" t="str">
        <f>VLOOKUP(Table1[[#This Row],[Country]],REF_Country!$A$1:$D$11,2,FALSE)</f>
        <v>Southeast Asia</v>
      </c>
      <c r="O344" t="str">
        <f>VLOOKUP(Table1[[#This Row],[Country]],REF_Country!$A$1:$D$11,3,FALSE)</f>
        <v>MY</v>
      </c>
      <c r="P344">
        <f>VLOOKUP(Table1[[#This Row],[Country]],REF_Country!$A$1:$D$11,4,FALSE)</f>
        <v>0.06</v>
      </c>
      <c r="Q344">
        <f>VLOOKUP(Table1[[#This Row],[Category]],REF_Target!$A$1:$E$6,2,FALSE)</f>
        <v>35000</v>
      </c>
      <c r="R344">
        <f>Table1[[#This Row],[Quantity]]*Table1[[#This Row],[Unit_Price]]</f>
        <v>13910.4</v>
      </c>
      <c r="S344">
        <f>Table1[[#This Row],[Gross_Sales]]*Table1[[#This Row],[Discount_Rate]]</f>
        <v>0</v>
      </c>
      <c r="T344">
        <f>Table1[[#This Row],[Gross_Sales]]-Table1[[#This Row],[Discount_Amount]]</f>
        <v>13910.4</v>
      </c>
      <c r="U344">
        <f>VLOOKUP(Table1[[#This Row],[Category]],REF_Cost!$A$1:$B$6,2,FALSE)*Table1[[#This Row],[Quantity]]</f>
        <v>1500</v>
      </c>
      <c r="V344">
        <f>Table1[[#This Row],[Net_Sales]]-Table1[[#This Row],[Total_Cost]]</f>
        <v>12410.4</v>
      </c>
      <c r="W344" t="str">
        <f>TEXT(Table1[[#This Row],[Order_Date]],"mmm")</f>
        <v>Apr</v>
      </c>
      <c r="X344">
        <f>ROUNDUP(MONTH(Table1[[#This Row],[Order_Date]])/3,0)</f>
        <v>2</v>
      </c>
      <c r="Y344">
        <f>YEAR(Table1[[#This Row],[Order_Date]])</f>
        <v>2024</v>
      </c>
    </row>
    <row r="345" spans="1:25" x14ac:dyDescent="0.25">
      <c r="A345" t="s">
        <v>1450</v>
      </c>
      <c r="B345" t="s">
        <v>1451</v>
      </c>
      <c r="C345" t="s">
        <v>1452</v>
      </c>
      <c r="D345" t="s">
        <v>1453</v>
      </c>
      <c r="E345" t="s">
        <v>64</v>
      </c>
      <c r="F345" t="s">
        <v>40</v>
      </c>
      <c r="G345" t="s">
        <v>565</v>
      </c>
      <c r="H345" t="s">
        <v>72</v>
      </c>
      <c r="I345" t="s">
        <v>33</v>
      </c>
      <c r="J345" t="s">
        <v>73</v>
      </c>
      <c r="K345">
        <v>8</v>
      </c>
      <c r="L345">
        <v>1260.6400000000001</v>
      </c>
      <c r="M345" s="3">
        <v>0.15</v>
      </c>
      <c r="N345" t="str">
        <f>VLOOKUP(Table1[[#This Row],[Country]],REF_Country!$A$1:$D$11,2,FALSE)</f>
        <v>Southeast Asia</v>
      </c>
      <c r="O345" t="str">
        <f>VLOOKUP(Table1[[#This Row],[Country]],REF_Country!$A$1:$D$11,3,FALSE)</f>
        <v>ID</v>
      </c>
      <c r="P345">
        <f>VLOOKUP(Table1[[#This Row],[Country]],REF_Country!$A$1:$D$11,4,FALSE)</f>
        <v>0.11</v>
      </c>
      <c r="Q345">
        <f>VLOOKUP(Table1[[#This Row],[Category]],REF_Target!$A$1:$E$6,2,FALSE)</f>
        <v>45000</v>
      </c>
      <c r="R345">
        <f>Table1[[#This Row],[Quantity]]*Table1[[#This Row],[Unit_Price]]</f>
        <v>10085.120000000001</v>
      </c>
      <c r="S345">
        <f>Table1[[#This Row],[Gross_Sales]]*Table1[[#This Row],[Discount_Rate]]</f>
        <v>1512.768</v>
      </c>
      <c r="T345">
        <f>Table1[[#This Row],[Gross_Sales]]-Table1[[#This Row],[Discount_Amount]]</f>
        <v>8572.3520000000008</v>
      </c>
      <c r="U345">
        <f>VLOOKUP(Table1[[#This Row],[Category]],REF_Cost!$A$1:$B$6,2,FALSE)*Table1[[#This Row],[Quantity]]</f>
        <v>640</v>
      </c>
      <c r="V345">
        <f>Table1[[#This Row],[Net_Sales]]-Table1[[#This Row],[Total_Cost]]</f>
        <v>7932.3520000000008</v>
      </c>
      <c r="W345" t="str">
        <f>TEXT(Table1[[#This Row],[Order_Date]],"mmm")</f>
        <v>Jan</v>
      </c>
      <c r="X345">
        <f>ROUNDUP(MONTH(Table1[[#This Row],[Order_Date]])/3,0)</f>
        <v>1</v>
      </c>
      <c r="Y345">
        <f>YEAR(Table1[[#This Row],[Order_Date]])</f>
        <v>2024</v>
      </c>
    </row>
    <row r="346" spans="1:25" x14ac:dyDescent="0.25">
      <c r="A346" t="s">
        <v>1454</v>
      </c>
      <c r="B346" t="s">
        <v>1455</v>
      </c>
      <c r="C346" t="s">
        <v>1456</v>
      </c>
      <c r="D346" t="s">
        <v>1457</v>
      </c>
      <c r="E346" t="s">
        <v>83</v>
      </c>
      <c r="F346" t="s">
        <v>40</v>
      </c>
      <c r="G346" t="s">
        <v>315</v>
      </c>
      <c r="H346" t="s">
        <v>72</v>
      </c>
      <c r="I346" t="s">
        <v>66</v>
      </c>
      <c r="J346" t="s">
        <v>34</v>
      </c>
      <c r="K346">
        <v>7</v>
      </c>
      <c r="L346">
        <v>763.6</v>
      </c>
      <c r="M346" s="3">
        <v>0.1</v>
      </c>
      <c r="N346" t="str">
        <f>VLOOKUP(Table1[[#This Row],[Country]],REF_Country!$A$1:$D$11,2,FALSE)</f>
        <v>South Asia</v>
      </c>
      <c r="O346" t="str">
        <f>VLOOKUP(Table1[[#This Row],[Country]],REF_Country!$A$1:$D$11,3,FALSE)</f>
        <v>IN</v>
      </c>
      <c r="P346">
        <f>VLOOKUP(Table1[[#This Row],[Country]],REF_Country!$A$1:$D$11,4,FALSE)</f>
        <v>0.18</v>
      </c>
      <c r="Q346">
        <f>VLOOKUP(Table1[[#This Row],[Category]],REF_Target!$A$1:$E$6,2,FALSE)</f>
        <v>45000</v>
      </c>
      <c r="R346">
        <f>Table1[[#This Row],[Quantity]]*Table1[[#This Row],[Unit_Price]]</f>
        <v>5345.2</v>
      </c>
      <c r="S346">
        <f>Table1[[#This Row],[Gross_Sales]]*Table1[[#This Row],[Discount_Rate]]</f>
        <v>534.52</v>
      </c>
      <c r="T346">
        <f>Table1[[#This Row],[Gross_Sales]]-Table1[[#This Row],[Discount_Amount]]</f>
        <v>4810.68</v>
      </c>
      <c r="U346">
        <f>VLOOKUP(Table1[[#This Row],[Category]],REF_Cost!$A$1:$B$6,2,FALSE)*Table1[[#This Row],[Quantity]]</f>
        <v>560</v>
      </c>
      <c r="V346">
        <f>Table1[[#This Row],[Net_Sales]]-Table1[[#This Row],[Total_Cost]]</f>
        <v>4250.68</v>
      </c>
      <c r="W346" t="str">
        <f>TEXT(Table1[[#This Row],[Order_Date]],"mmm")</f>
        <v>Feb</v>
      </c>
      <c r="X346">
        <f>ROUNDUP(MONTH(Table1[[#This Row],[Order_Date]])/3,0)</f>
        <v>1</v>
      </c>
      <c r="Y346">
        <f>YEAR(Table1[[#This Row],[Order_Date]])</f>
        <v>2024</v>
      </c>
    </row>
    <row r="347" spans="1:25" x14ac:dyDescent="0.25">
      <c r="A347" t="s">
        <v>1458</v>
      </c>
      <c r="B347" t="s">
        <v>1459</v>
      </c>
      <c r="C347" t="s">
        <v>1460</v>
      </c>
      <c r="D347" t="s">
        <v>1461</v>
      </c>
      <c r="E347" t="s">
        <v>48</v>
      </c>
      <c r="F347" t="s">
        <v>30</v>
      </c>
      <c r="G347" t="s">
        <v>195</v>
      </c>
      <c r="H347" t="s">
        <v>58</v>
      </c>
      <c r="I347" t="s">
        <v>33</v>
      </c>
      <c r="J347" t="s">
        <v>73</v>
      </c>
      <c r="K347">
        <v>9</v>
      </c>
      <c r="L347">
        <v>909.75</v>
      </c>
      <c r="M347" s="3">
        <v>0.05</v>
      </c>
      <c r="N347" t="str">
        <f>VLOOKUP(Table1[[#This Row],[Country]],REF_Country!$A$1:$D$11,2,FALSE)</f>
        <v>Southeast Asia</v>
      </c>
      <c r="O347" t="str">
        <f>VLOOKUP(Table1[[#This Row],[Country]],REF_Country!$A$1:$D$11,3,FALSE)</f>
        <v>SG</v>
      </c>
      <c r="P347">
        <f>VLOOKUP(Table1[[#This Row],[Country]],REF_Country!$A$1:$D$11,4,FALSE)</f>
        <v>7.0000000000000007E-2</v>
      </c>
      <c r="Q347">
        <f>VLOOKUP(Table1[[#This Row],[Category]],REF_Target!$A$1:$E$6,2,FALSE)</f>
        <v>40000</v>
      </c>
      <c r="R347">
        <f>Table1[[#This Row],[Quantity]]*Table1[[#This Row],[Unit_Price]]</f>
        <v>8187.75</v>
      </c>
      <c r="S347">
        <f>Table1[[#This Row],[Gross_Sales]]*Table1[[#This Row],[Discount_Rate]]</f>
        <v>409.38750000000005</v>
      </c>
      <c r="T347">
        <f>Table1[[#This Row],[Gross_Sales]]-Table1[[#This Row],[Discount_Amount]]</f>
        <v>7778.3625000000002</v>
      </c>
      <c r="U347">
        <f>VLOOKUP(Table1[[#This Row],[Category]],REF_Cost!$A$1:$B$6,2,FALSE)*Table1[[#This Row],[Quantity]]</f>
        <v>1080</v>
      </c>
      <c r="V347">
        <f>Table1[[#This Row],[Net_Sales]]-Table1[[#This Row],[Total_Cost]]</f>
        <v>6698.3625000000002</v>
      </c>
      <c r="W347" t="str">
        <f>TEXT(Table1[[#This Row],[Order_Date]],"mmm")</f>
        <v>May</v>
      </c>
      <c r="X347">
        <f>ROUNDUP(MONTH(Table1[[#This Row],[Order_Date]])/3,0)</f>
        <v>2</v>
      </c>
      <c r="Y347">
        <f>YEAR(Table1[[#This Row],[Order_Date]])</f>
        <v>2024</v>
      </c>
    </row>
    <row r="348" spans="1:25" x14ac:dyDescent="0.25">
      <c r="A348" t="s">
        <v>1462</v>
      </c>
      <c r="B348" t="s">
        <v>1463</v>
      </c>
      <c r="C348" t="s">
        <v>1464</v>
      </c>
      <c r="D348" t="s">
        <v>1465</v>
      </c>
      <c r="E348" t="s">
        <v>29</v>
      </c>
      <c r="F348" t="s">
        <v>84</v>
      </c>
      <c r="G348" t="s">
        <v>85</v>
      </c>
      <c r="H348" t="s">
        <v>58</v>
      </c>
      <c r="I348" t="s">
        <v>51</v>
      </c>
      <c r="J348" t="s">
        <v>59</v>
      </c>
      <c r="K348">
        <v>3</v>
      </c>
      <c r="L348">
        <v>1472.28</v>
      </c>
      <c r="M348" s="3">
        <v>0.15</v>
      </c>
      <c r="N348" t="str">
        <f>VLOOKUP(Table1[[#This Row],[Country]],REF_Country!$A$1:$D$11,2,FALSE)</f>
        <v>Southeast Asia</v>
      </c>
      <c r="O348" t="str">
        <f>VLOOKUP(Table1[[#This Row],[Country]],REF_Country!$A$1:$D$11,3,FALSE)</f>
        <v>VN</v>
      </c>
      <c r="P348">
        <f>VLOOKUP(Table1[[#This Row],[Country]],REF_Country!$A$1:$D$11,4,FALSE)</f>
        <v>0.1</v>
      </c>
      <c r="Q348">
        <f>VLOOKUP(Table1[[#This Row],[Category]],REF_Target!$A$1:$E$6,2,FALSE)</f>
        <v>30000</v>
      </c>
      <c r="R348">
        <f>Table1[[#This Row],[Quantity]]*Table1[[#This Row],[Unit_Price]]</f>
        <v>4416.84</v>
      </c>
      <c r="S348">
        <f>Table1[[#This Row],[Gross_Sales]]*Table1[[#This Row],[Discount_Rate]]</f>
        <v>662.52599999999995</v>
      </c>
      <c r="T348">
        <f>Table1[[#This Row],[Gross_Sales]]-Table1[[#This Row],[Discount_Amount]]</f>
        <v>3754.3140000000003</v>
      </c>
      <c r="U348">
        <f>VLOOKUP(Table1[[#This Row],[Category]],REF_Cost!$A$1:$B$6,2,FALSE)*Table1[[#This Row],[Quantity]]</f>
        <v>600</v>
      </c>
      <c r="V348">
        <f>Table1[[#This Row],[Net_Sales]]-Table1[[#This Row],[Total_Cost]]</f>
        <v>3154.3140000000003</v>
      </c>
      <c r="W348" t="str">
        <f>TEXT(Table1[[#This Row],[Order_Date]],"mmm")</f>
        <v>Apr</v>
      </c>
      <c r="X348">
        <f>ROUNDUP(MONTH(Table1[[#This Row],[Order_Date]])/3,0)</f>
        <v>2</v>
      </c>
      <c r="Y348">
        <f>YEAR(Table1[[#This Row],[Order_Date]])</f>
        <v>2024</v>
      </c>
    </row>
    <row r="349" spans="1:25" x14ac:dyDescent="0.25">
      <c r="A349" t="s">
        <v>1466</v>
      </c>
      <c r="B349" t="s">
        <v>1467</v>
      </c>
      <c r="C349" t="s">
        <v>1468</v>
      </c>
      <c r="D349" t="s">
        <v>1469</v>
      </c>
      <c r="E349" t="s">
        <v>149</v>
      </c>
      <c r="F349" t="s">
        <v>40</v>
      </c>
      <c r="G349" t="s">
        <v>315</v>
      </c>
      <c r="H349" t="s">
        <v>32</v>
      </c>
      <c r="I349" t="s">
        <v>51</v>
      </c>
      <c r="J349" t="s">
        <v>34</v>
      </c>
      <c r="K349">
        <v>7</v>
      </c>
      <c r="L349">
        <v>1318.05</v>
      </c>
      <c r="M349" s="3">
        <v>0</v>
      </c>
      <c r="N349" t="str">
        <f>VLOOKUP(Table1[[#This Row],[Country]],REF_Country!$A$1:$D$11,2,FALSE)</f>
        <v>East Asia</v>
      </c>
      <c r="O349" t="str">
        <f>VLOOKUP(Table1[[#This Row],[Country]],REF_Country!$A$1:$D$11,3,FALSE)</f>
        <v>JP</v>
      </c>
      <c r="P349">
        <f>VLOOKUP(Table1[[#This Row],[Country]],REF_Country!$A$1:$D$11,4,FALSE)</f>
        <v>0.1</v>
      </c>
      <c r="Q349">
        <f>VLOOKUP(Table1[[#This Row],[Category]],REF_Target!$A$1:$E$6,2,FALSE)</f>
        <v>45000</v>
      </c>
      <c r="R349">
        <f>Table1[[#This Row],[Quantity]]*Table1[[#This Row],[Unit_Price]]</f>
        <v>9226.35</v>
      </c>
      <c r="S349">
        <f>Table1[[#This Row],[Gross_Sales]]*Table1[[#This Row],[Discount_Rate]]</f>
        <v>0</v>
      </c>
      <c r="T349">
        <f>Table1[[#This Row],[Gross_Sales]]-Table1[[#This Row],[Discount_Amount]]</f>
        <v>9226.35</v>
      </c>
      <c r="U349">
        <f>VLOOKUP(Table1[[#This Row],[Category]],REF_Cost!$A$1:$B$6,2,FALSE)*Table1[[#This Row],[Quantity]]</f>
        <v>560</v>
      </c>
      <c r="V349">
        <f>Table1[[#This Row],[Net_Sales]]-Table1[[#This Row],[Total_Cost]]</f>
        <v>8666.35</v>
      </c>
      <c r="W349" t="str">
        <f>TEXT(Table1[[#This Row],[Order_Date]],"mmm")</f>
        <v>Sep</v>
      </c>
      <c r="X349">
        <f>ROUNDUP(MONTH(Table1[[#This Row],[Order_Date]])/3,0)</f>
        <v>3</v>
      </c>
      <c r="Y349">
        <f>YEAR(Table1[[#This Row],[Order_Date]])</f>
        <v>2024</v>
      </c>
    </row>
    <row r="350" spans="1:25" x14ac:dyDescent="0.25">
      <c r="A350" t="s">
        <v>1470</v>
      </c>
      <c r="B350" t="s">
        <v>1471</v>
      </c>
      <c r="C350" t="s">
        <v>1472</v>
      </c>
      <c r="D350" t="s">
        <v>1473</v>
      </c>
      <c r="E350" t="s">
        <v>39</v>
      </c>
      <c r="F350" t="s">
        <v>84</v>
      </c>
      <c r="G350" t="s">
        <v>85</v>
      </c>
      <c r="H350" t="s">
        <v>32</v>
      </c>
      <c r="I350" t="s">
        <v>66</v>
      </c>
      <c r="J350" t="s">
        <v>73</v>
      </c>
      <c r="K350">
        <v>5</v>
      </c>
      <c r="L350">
        <v>1475.55</v>
      </c>
      <c r="M350" s="3">
        <v>0</v>
      </c>
      <c r="N350" t="str">
        <f>VLOOKUP(Table1[[#This Row],[Country]],REF_Country!$A$1:$D$11,2,FALSE)</f>
        <v>Southeast Asia</v>
      </c>
      <c r="O350" t="str">
        <f>VLOOKUP(Table1[[#This Row],[Country]],REF_Country!$A$1:$D$11,3,FALSE)</f>
        <v>TH</v>
      </c>
      <c r="P350">
        <f>VLOOKUP(Table1[[#This Row],[Country]],REF_Country!$A$1:$D$11,4,FALSE)</f>
        <v>7.0000000000000007E-2</v>
      </c>
      <c r="Q350">
        <f>VLOOKUP(Table1[[#This Row],[Category]],REF_Target!$A$1:$E$6,2,FALSE)</f>
        <v>30000</v>
      </c>
      <c r="R350">
        <f>Table1[[#This Row],[Quantity]]*Table1[[#This Row],[Unit_Price]]</f>
        <v>7377.75</v>
      </c>
      <c r="S350">
        <f>Table1[[#This Row],[Gross_Sales]]*Table1[[#This Row],[Discount_Rate]]</f>
        <v>0</v>
      </c>
      <c r="T350">
        <f>Table1[[#This Row],[Gross_Sales]]-Table1[[#This Row],[Discount_Amount]]</f>
        <v>7377.75</v>
      </c>
      <c r="U350">
        <f>VLOOKUP(Table1[[#This Row],[Category]],REF_Cost!$A$1:$B$6,2,FALSE)*Table1[[#This Row],[Quantity]]</f>
        <v>1000</v>
      </c>
      <c r="V350">
        <f>Table1[[#This Row],[Net_Sales]]-Table1[[#This Row],[Total_Cost]]</f>
        <v>6377.75</v>
      </c>
      <c r="W350" t="str">
        <f>TEXT(Table1[[#This Row],[Order_Date]],"mmm")</f>
        <v>Jan</v>
      </c>
      <c r="X350">
        <f>ROUNDUP(MONTH(Table1[[#This Row],[Order_Date]])/3,0)</f>
        <v>1</v>
      </c>
      <c r="Y350">
        <f>YEAR(Table1[[#This Row],[Order_Date]])</f>
        <v>2024</v>
      </c>
    </row>
    <row r="351" spans="1:25" x14ac:dyDescent="0.25">
      <c r="A351" t="s">
        <v>1474</v>
      </c>
      <c r="B351" t="s">
        <v>1475</v>
      </c>
      <c r="C351" t="s">
        <v>1476</v>
      </c>
      <c r="D351" t="s">
        <v>1477</v>
      </c>
      <c r="E351" t="s">
        <v>200</v>
      </c>
      <c r="F351" t="s">
        <v>56</v>
      </c>
      <c r="G351" t="s">
        <v>111</v>
      </c>
      <c r="H351" t="s">
        <v>42</v>
      </c>
      <c r="I351" t="s">
        <v>43</v>
      </c>
      <c r="J351" t="s">
        <v>59</v>
      </c>
      <c r="K351">
        <v>9</v>
      </c>
      <c r="L351">
        <v>1304.03</v>
      </c>
      <c r="M351" s="3">
        <v>0</v>
      </c>
      <c r="N351" t="str">
        <f>VLOOKUP(Table1[[#This Row],[Country]],REF_Country!$A$1:$D$11,2,FALSE)</f>
        <v>East Asia</v>
      </c>
      <c r="O351" t="str">
        <f>VLOOKUP(Table1[[#This Row],[Country]],REF_Country!$A$1:$D$11,3,FALSE)</f>
        <v>KR</v>
      </c>
      <c r="P351">
        <f>VLOOKUP(Table1[[#This Row],[Country]],REF_Country!$A$1:$D$11,4,FALSE)</f>
        <v>0.1</v>
      </c>
      <c r="Q351">
        <f>VLOOKUP(Table1[[#This Row],[Category]],REF_Target!$A$1:$E$6,2,FALSE)</f>
        <v>50000</v>
      </c>
      <c r="R351">
        <f>Table1[[#This Row],[Quantity]]*Table1[[#This Row],[Unit_Price]]</f>
        <v>11736.27</v>
      </c>
      <c r="S351">
        <f>Table1[[#This Row],[Gross_Sales]]*Table1[[#This Row],[Discount_Rate]]</f>
        <v>0</v>
      </c>
      <c r="T351">
        <f>Table1[[#This Row],[Gross_Sales]]-Table1[[#This Row],[Discount_Amount]]</f>
        <v>11736.27</v>
      </c>
      <c r="U351">
        <f>VLOOKUP(Table1[[#This Row],[Category]],REF_Cost!$A$1:$B$6,2,FALSE)*Table1[[#This Row],[Quantity]]</f>
        <v>4050</v>
      </c>
      <c r="V351">
        <f>Table1[[#This Row],[Net_Sales]]-Table1[[#This Row],[Total_Cost]]</f>
        <v>7686.27</v>
      </c>
      <c r="W351" t="str">
        <f>TEXT(Table1[[#This Row],[Order_Date]],"mmm")</f>
        <v>Jan</v>
      </c>
      <c r="X351">
        <f>ROUNDUP(MONTH(Table1[[#This Row],[Order_Date]])/3,0)</f>
        <v>1</v>
      </c>
      <c r="Y351">
        <f>YEAR(Table1[[#This Row],[Order_Date]])</f>
        <v>2024</v>
      </c>
    </row>
    <row r="352" spans="1:25" x14ac:dyDescent="0.25">
      <c r="A352" t="s">
        <v>1478</v>
      </c>
      <c r="B352" t="s">
        <v>1479</v>
      </c>
      <c r="C352" t="s">
        <v>1480</v>
      </c>
      <c r="D352" t="s">
        <v>1481</v>
      </c>
      <c r="E352" t="s">
        <v>149</v>
      </c>
      <c r="F352" t="s">
        <v>84</v>
      </c>
      <c r="G352" t="s">
        <v>90</v>
      </c>
      <c r="H352" t="s">
        <v>42</v>
      </c>
      <c r="I352" t="s">
        <v>43</v>
      </c>
      <c r="J352" t="s">
        <v>59</v>
      </c>
      <c r="K352">
        <v>5</v>
      </c>
      <c r="L352">
        <v>94.9</v>
      </c>
      <c r="M352" s="3">
        <v>0</v>
      </c>
      <c r="N352" t="str">
        <f>VLOOKUP(Table1[[#This Row],[Country]],REF_Country!$A$1:$D$11,2,FALSE)</f>
        <v>East Asia</v>
      </c>
      <c r="O352" t="str">
        <f>VLOOKUP(Table1[[#This Row],[Country]],REF_Country!$A$1:$D$11,3,FALSE)</f>
        <v>JP</v>
      </c>
      <c r="P352">
        <f>VLOOKUP(Table1[[#This Row],[Country]],REF_Country!$A$1:$D$11,4,FALSE)</f>
        <v>0.1</v>
      </c>
      <c r="Q352">
        <f>VLOOKUP(Table1[[#This Row],[Category]],REF_Target!$A$1:$E$6,2,FALSE)</f>
        <v>30000</v>
      </c>
      <c r="R352">
        <f>Table1[[#This Row],[Quantity]]*Table1[[#This Row],[Unit_Price]]</f>
        <v>474.5</v>
      </c>
      <c r="S352">
        <f>Table1[[#This Row],[Gross_Sales]]*Table1[[#This Row],[Discount_Rate]]</f>
        <v>0</v>
      </c>
      <c r="T352">
        <f>Table1[[#This Row],[Gross_Sales]]-Table1[[#This Row],[Discount_Amount]]</f>
        <v>474.5</v>
      </c>
      <c r="U352">
        <f>VLOOKUP(Table1[[#This Row],[Category]],REF_Cost!$A$1:$B$6,2,FALSE)*Table1[[#This Row],[Quantity]]</f>
        <v>1000</v>
      </c>
      <c r="V352">
        <f>Table1[[#This Row],[Net_Sales]]-Table1[[#This Row],[Total_Cost]]</f>
        <v>-525.5</v>
      </c>
      <c r="W352" t="str">
        <f>TEXT(Table1[[#This Row],[Order_Date]],"mmm")</f>
        <v>Jan</v>
      </c>
      <c r="X352">
        <f>ROUNDUP(MONTH(Table1[[#This Row],[Order_Date]])/3,0)</f>
        <v>1</v>
      </c>
      <c r="Y352">
        <f>YEAR(Table1[[#This Row],[Order_Date]])</f>
        <v>2024</v>
      </c>
    </row>
    <row r="353" spans="1:25" x14ac:dyDescent="0.25">
      <c r="A353" t="s">
        <v>1482</v>
      </c>
      <c r="B353" t="s">
        <v>1483</v>
      </c>
      <c r="C353" t="s">
        <v>1484</v>
      </c>
      <c r="D353" t="s">
        <v>1485</v>
      </c>
      <c r="E353" t="s">
        <v>39</v>
      </c>
      <c r="F353" t="s">
        <v>30</v>
      </c>
      <c r="G353" t="s">
        <v>65</v>
      </c>
      <c r="H353" t="s">
        <v>72</v>
      </c>
      <c r="I353" t="s">
        <v>33</v>
      </c>
      <c r="J353" t="s">
        <v>126</v>
      </c>
      <c r="K353">
        <v>2</v>
      </c>
      <c r="L353">
        <v>681.49</v>
      </c>
      <c r="M353" s="3">
        <v>0</v>
      </c>
      <c r="N353" t="str">
        <f>VLOOKUP(Table1[[#This Row],[Country]],REF_Country!$A$1:$D$11,2,FALSE)</f>
        <v>Southeast Asia</v>
      </c>
      <c r="O353" t="str">
        <f>VLOOKUP(Table1[[#This Row],[Country]],REF_Country!$A$1:$D$11,3,FALSE)</f>
        <v>TH</v>
      </c>
      <c r="P353">
        <f>VLOOKUP(Table1[[#This Row],[Country]],REF_Country!$A$1:$D$11,4,FALSE)</f>
        <v>7.0000000000000007E-2</v>
      </c>
      <c r="Q353">
        <f>VLOOKUP(Table1[[#This Row],[Category]],REF_Target!$A$1:$E$6,2,FALSE)</f>
        <v>40000</v>
      </c>
      <c r="R353">
        <f>Table1[[#This Row],[Quantity]]*Table1[[#This Row],[Unit_Price]]</f>
        <v>1362.98</v>
      </c>
      <c r="S353">
        <f>Table1[[#This Row],[Gross_Sales]]*Table1[[#This Row],[Discount_Rate]]</f>
        <v>0</v>
      </c>
      <c r="T353">
        <f>Table1[[#This Row],[Gross_Sales]]-Table1[[#This Row],[Discount_Amount]]</f>
        <v>1362.98</v>
      </c>
      <c r="U353">
        <f>VLOOKUP(Table1[[#This Row],[Category]],REF_Cost!$A$1:$B$6,2,FALSE)*Table1[[#This Row],[Quantity]]</f>
        <v>240</v>
      </c>
      <c r="V353">
        <f>Table1[[#This Row],[Net_Sales]]-Table1[[#This Row],[Total_Cost]]</f>
        <v>1122.98</v>
      </c>
      <c r="W353" t="str">
        <f>TEXT(Table1[[#This Row],[Order_Date]],"mmm")</f>
        <v>Oct</v>
      </c>
      <c r="X353">
        <f>ROUNDUP(MONTH(Table1[[#This Row],[Order_Date]])/3,0)</f>
        <v>4</v>
      </c>
      <c r="Y353">
        <f>YEAR(Table1[[#This Row],[Order_Date]])</f>
        <v>2024</v>
      </c>
    </row>
    <row r="354" spans="1:25" x14ac:dyDescent="0.25">
      <c r="A354" t="s">
        <v>1486</v>
      </c>
      <c r="B354" t="s">
        <v>1487</v>
      </c>
      <c r="C354" t="s">
        <v>1488</v>
      </c>
      <c r="D354" t="s">
        <v>1489</v>
      </c>
      <c r="E354" t="s">
        <v>78</v>
      </c>
      <c r="F354" t="s">
        <v>84</v>
      </c>
      <c r="G354" t="s">
        <v>85</v>
      </c>
      <c r="H354" t="s">
        <v>58</v>
      </c>
      <c r="I354" t="s">
        <v>96</v>
      </c>
      <c r="J354" t="s">
        <v>73</v>
      </c>
      <c r="K354">
        <v>5</v>
      </c>
      <c r="L354">
        <v>253.98</v>
      </c>
      <c r="M354" s="3">
        <v>0</v>
      </c>
      <c r="N354" t="str">
        <f>VLOOKUP(Table1[[#This Row],[Country]],REF_Country!$A$1:$D$11,2,FALSE)</f>
        <v>Oceania</v>
      </c>
      <c r="O354" t="str">
        <f>VLOOKUP(Table1[[#This Row],[Country]],REF_Country!$A$1:$D$11,3,FALSE)</f>
        <v>AU</v>
      </c>
      <c r="P354">
        <f>VLOOKUP(Table1[[#This Row],[Country]],REF_Country!$A$1:$D$11,4,FALSE)</f>
        <v>0.1</v>
      </c>
      <c r="Q354">
        <f>VLOOKUP(Table1[[#This Row],[Category]],REF_Target!$A$1:$E$6,2,FALSE)</f>
        <v>30000</v>
      </c>
      <c r="R354">
        <f>Table1[[#This Row],[Quantity]]*Table1[[#This Row],[Unit_Price]]</f>
        <v>1269.8999999999999</v>
      </c>
      <c r="S354">
        <f>Table1[[#This Row],[Gross_Sales]]*Table1[[#This Row],[Discount_Rate]]</f>
        <v>0</v>
      </c>
      <c r="T354">
        <f>Table1[[#This Row],[Gross_Sales]]-Table1[[#This Row],[Discount_Amount]]</f>
        <v>1269.8999999999999</v>
      </c>
      <c r="U354">
        <f>VLOOKUP(Table1[[#This Row],[Category]],REF_Cost!$A$1:$B$6,2,FALSE)*Table1[[#This Row],[Quantity]]</f>
        <v>1000</v>
      </c>
      <c r="V354">
        <f>Table1[[#This Row],[Net_Sales]]-Table1[[#This Row],[Total_Cost]]</f>
        <v>269.89999999999986</v>
      </c>
      <c r="W354" t="str">
        <f>TEXT(Table1[[#This Row],[Order_Date]],"mmm")</f>
        <v>Jan</v>
      </c>
      <c r="X354">
        <f>ROUNDUP(MONTH(Table1[[#This Row],[Order_Date]])/3,0)</f>
        <v>1</v>
      </c>
      <c r="Y354">
        <f>YEAR(Table1[[#This Row],[Order_Date]])</f>
        <v>2024</v>
      </c>
    </row>
    <row r="355" spans="1:25" x14ac:dyDescent="0.25">
      <c r="A355" t="s">
        <v>1490</v>
      </c>
      <c r="B355" t="s">
        <v>1491</v>
      </c>
      <c r="C355" t="s">
        <v>1492</v>
      </c>
      <c r="D355" t="s">
        <v>1493</v>
      </c>
      <c r="E355" t="s">
        <v>64</v>
      </c>
      <c r="F355" t="s">
        <v>40</v>
      </c>
      <c r="G355" t="s">
        <v>315</v>
      </c>
      <c r="H355" t="s">
        <v>58</v>
      </c>
      <c r="I355" t="s">
        <v>51</v>
      </c>
      <c r="J355" t="s">
        <v>59</v>
      </c>
      <c r="K355">
        <v>10</v>
      </c>
      <c r="L355">
        <v>743.47</v>
      </c>
      <c r="M355" s="3">
        <v>0.15</v>
      </c>
      <c r="N355" t="str">
        <f>VLOOKUP(Table1[[#This Row],[Country]],REF_Country!$A$1:$D$11,2,FALSE)</f>
        <v>Southeast Asia</v>
      </c>
      <c r="O355" t="str">
        <f>VLOOKUP(Table1[[#This Row],[Country]],REF_Country!$A$1:$D$11,3,FALSE)</f>
        <v>ID</v>
      </c>
      <c r="P355">
        <f>VLOOKUP(Table1[[#This Row],[Country]],REF_Country!$A$1:$D$11,4,FALSE)</f>
        <v>0.11</v>
      </c>
      <c r="Q355">
        <f>VLOOKUP(Table1[[#This Row],[Category]],REF_Target!$A$1:$E$6,2,FALSE)</f>
        <v>45000</v>
      </c>
      <c r="R355">
        <f>Table1[[#This Row],[Quantity]]*Table1[[#This Row],[Unit_Price]]</f>
        <v>7434.7000000000007</v>
      </c>
      <c r="S355">
        <f>Table1[[#This Row],[Gross_Sales]]*Table1[[#This Row],[Discount_Rate]]</f>
        <v>1115.2050000000002</v>
      </c>
      <c r="T355">
        <f>Table1[[#This Row],[Gross_Sales]]-Table1[[#This Row],[Discount_Amount]]</f>
        <v>6319.4950000000008</v>
      </c>
      <c r="U355">
        <f>VLOOKUP(Table1[[#This Row],[Category]],REF_Cost!$A$1:$B$6,2,FALSE)*Table1[[#This Row],[Quantity]]</f>
        <v>800</v>
      </c>
      <c r="V355">
        <f>Table1[[#This Row],[Net_Sales]]-Table1[[#This Row],[Total_Cost]]</f>
        <v>5519.4950000000008</v>
      </c>
      <c r="W355" t="str">
        <f>TEXT(Table1[[#This Row],[Order_Date]],"mmm")</f>
        <v>Mar</v>
      </c>
      <c r="X355">
        <f>ROUNDUP(MONTH(Table1[[#This Row],[Order_Date]])/3,0)</f>
        <v>1</v>
      </c>
      <c r="Y355">
        <f>YEAR(Table1[[#This Row],[Order_Date]])</f>
        <v>2024</v>
      </c>
    </row>
    <row r="356" spans="1:25" x14ac:dyDescent="0.25">
      <c r="A356" t="s">
        <v>1494</v>
      </c>
      <c r="B356" t="s">
        <v>1495</v>
      </c>
      <c r="C356" t="s">
        <v>1496</v>
      </c>
      <c r="D356" t="s">
        <v>1497</v>
      </c>
      <c r="E356" t="s">
        <v>116</v>
      </c>
      <c r="F356" t="s">
        <v>40</v>
      </c>
      <c r="G356" t="s">
        <v>106</v>
      </c>
      <c r="H356" t="s">
        <v>32</v>
      </c>
      <c r="I356" t="s">
        <v>66</v>
      </c>
      <c r="J356" t="s">
        <v>73</v>
      </c>
      <c r="K356">
        <v>9</v>
      </c>
      <c r="L356">
        <v>632.66</v>
      </c>
      <c r="M356" s="3">
        <v>0.1</v>
      </c>
      <c r="N356" t="str">
        <f>VLOOKUP(Table1[[#This Row],[Country]],REF_Country!$A$1:$D$11,2,FALSE)</f>
        <v>Southeast Asia</v>
      </c>
      <c r="O356" t="str">
        <f>VLOOKUP(Table1[[#This Row],[Country]],REF_Country!$A$1:$D$11,3,FALSE)</f>
        <v>MY</v>
      </c>
      <c r="P356">
        <f>VLOOKUP(Table1[[#This Row],[Country]],REF_Country!$A$1:$D$11,4,FALSE)</f>
        <v>0.06</v>
      </c>
      <c r="Q356">
        <f>VLOOKUP(Table1[[#This Row],[Category]],REF_Target!$A$1:$E$6,2,FALSE)</f>
        <v>45000</v>
      </c>
      <c r="R356">
        <f>Table1[[#This Row],[Quantity]]*Table1[[#This Row],[Unit_Price]]</f>
        <v>5693.94</v>
      </c>
      <c r="S356">
        <f>Table1[[#This Row],[Gross_Sales]]*Table1[[#This Row],[Discount_Rate]]</f>
        <v>569.39400000000001</v>
      </c>
      <c r="T356">
        <f>Table1[[#This Row],[Gross_Sales]]-Table1[[#This Row],[Discount_Amount]]</f>
        <v>5124.5459999999994</v>
      </c>
      <c r="U356">
        <f>VLOOKUP(Table1[[#This Row],[Category]],REF_Cost!$A$1:$B$6,2,FALSE)*Table1[[#This Row],[Quantity]]</f>
        <v>720</v>
      </c>
      <c r="V356">
        <f>Table1[[#This Row],[Net_Sales]]-Table1[[#This Row],[Total_Cost]]</f>
        <v>4404.5459999999994</v>
      </c>
      <c r="W356" t="str">
        <f>TEXT(Table1[[#This Row],[Order_Date]],"mmm")</f>
        <v>Apr</v>
      </c>
      <c r="X356">
        <f>ROUNDUP(MONTH(Table1[[#This Row],[Order_Date]])/3,0)</f>
        <v>2</v>
      </c>
      <c r="Y356">
        <f>YEAR(Table1[[#This Row],[Order_Date]])</f>
        <v>2024</v>
      </c>
    </row>
    <row r="357" spans="1:25" x14ac:dyDescent="0.25">
      <c r="A357" t="s">
        <v>1498</v>
      </c>
      <c r="B357" t="s">
        <v>1499</v>
      </c>
      <c r="C357" t="s">
        <v>1500</v>
      </c>
      <c r="D357" t="s">
        <v>1501</v>
      </c>
      <c r="E357" t="s">
        <v>71</v>
      </c>
      <c r="F357" t="s">
        <v>84</v>
      </c>
      <c r="G357" t="s">
        <v>85</v>
      </c>
      <c r="H357" t="s">
        <v>42</v>
      </c>
      <c r="I357" t="s">
        <v>33</v>
      </c>
      <c r="J357" t="s">
        <v>126</v>
      </c>
      <c r="K357">
        <v>10</v>
      </c>
      <c r="L357">
        <v>1426.21</v>
      </c>
      <c r="M357" s="3">
        <v>0.15</v>
      </c>
      <c r="N357" t="str">
        <f>VLOOKUP(Table1[[#This Row],[Country]],REF_Country!$A$1:$D$11,2,FALSE)</f>
        <v>Southeast Asia</v>
      </c>
      <c r="O357" t="str">
        <f>VLOOKUP(Table1[[#This Row],[Country]],REF_Country!$A$1:$D$11,3,FALSE)</f>
        <v>PH</v>
      </c>
      <c r="P357">
        <f>VLOOKUP(Table1[[#This Row],[Country]],REF_Country!$A$1:$D$11,4,FALSE)</f>
        <v>0.12</v>
      </c>
      <c r="Q357">
        <f>VLOOKUP(Table1[[#This Row],[Category]],REF_Target!$A$1:$E$6,2,FALSE)</f>
        <v>30000</v>
      </c>
      <c r="R357">
        <f>Table1[[#This Row],[Quantity]]*Table1[[#This Row],[Unit_Price]]</f>
        <v>14262.1</v>
      </c>
      <c r="S357">
        <f>Table1[[#This Row],[Gross_Sales]]*Table1[[#This Row],[Discount_Rate]]</f>
        <v>2139.3150000000001</v>
      </c>
      <c r="T357">
        <f>Table1[[#This Row],[Gross_Sales]]-Table1[[#This Row],[Discount_Amount]]</f>
        <v>12122.785</v>
      </c>
      <c r="U357">
        <f>VLOOKUP(Table1[[#This Row],[Category]],REF_Cost!$A$1:$B$6,2,FALSE)*Table1[[#This Row],[Quantity]]</f>
        <v>2000</v>
      </c>
      <c r="V357">
        <f>Table1[[#This Row],[Net_Sales]]-Table1[[#This Row],[Total_Cost]]</f>
        <v>10122.785</v>
      </c>
      <c r="W357" t="str">
        <f>TEXT(Table1[[#This Row],[Order_Date]],"mmm")</f>
        <v>Dec</v>
      </c>
      <c r="X357">
        <f>ROUNDUP(MONTH(Table1[[#This Row],[Order_Date]])/3,0)</f>
        <v>4</v>
      </c>
      <c r="Y357">
        <f>YEAR(Table1[[#This Row],[Order_Date]])</f>
        <v>2024</v>
      </c>
    </row>
    <row r="358" spans="1:25" x14ac:dyDescent="0.25">
      <c r="A358" t="s">
        <v>1502</v>
      </c>
      <c r="B358" t="s">
        <v>1503</v>
      </c>
      <c r="C358" t="s">
        <v>1504</v>
      </c>
      <c r="D358" t="s">
        <v>1505</v>
      </c>
      <c r="E358" t="s">
        <v>39</v>
      </c>
      <c r="F358" t="s">
        <v>40</v>
      </c>
      <c r="G358" t="s">
        <v>41</v>
      </c>
      <c r="H358" t="s">
        <v>58</v>
      </c>
      <c r="I358" t="s">
        <v>96</v>
      </c>
      <c r="J358" t="s">
        <v>126</v>
      </c>
      <c r="K358">
        <v>1</v>
      </c>
      <c r="L358">
        <v>377.08</v>
      </c>
      <c r="M358" s="3">
        <v>0.2</v>
      </c>
      <c r="N358" t="str">
        <f>VLOOKUP(Table1[[#This Row],[Country]],REF_Country!$A$1:$D$11,2,FALSE)</f>
        <v>Southeast Asia</v>
      </c>
      <c r="O358" t="str">
        <f>VLOOKUP(Table1[[#This Row],[Country]],REF_Country!$A$1:$D$11,3,FALSE)</f>
        <v>TH</v>
      </c>
      <c r="P358">
        <f>VLOOKUP(Table1[[#This Row],[Country]],REF_Country!$A$1:$D$11,4,FALSE)</f>
        <v>7.0000000000000007E-2</v>
      </c>
      <c r="Q358">
        <f>VLOOKUP(Table1[[#This Row],[Category]],REF_Target!$A$1:$E$6,2,FALSE)</f>
        <v>45000</v>
      </c>
      <c r="R358">
        <f>Table1[[#This Row],[Quantity]]*Table1[[#This Row],[Unit_Price]]</f>
        <v>377.08</v>
      </c>
      <c r="S358">
        <f>Table1[[#This Row],[Gross_Sales]]*Table1[[#This Row],[Discount_Rate]]</f>
        <v>75.415999999999997</v>
      </c>
      <c r="T358">
        <f>Table1[[#This Row],[Gross_Sales]]-Table1[[#This Row],[Discount_Amount]]</f>
        <v>301.66399999999999</v>
      </c>
      <c r="U358">
        <f>VLOOKUP(Table1[[#This Row],[Category]],REF_Cost!$A$1:$B$6,2,FALSE)*Table1[[#This Row],[Quantity]]</f>
        <v>80</v>
      </c>
      <c r="V358">
        <f>Table1[[#This Row],[Net_Sales]]-Table1[[#This Row],[Total_Cost]]</f>
        <v>221.66399999999999</v>
      </c>
      <c r="W358" t="str">
        <f>TEXT(Table1[[#This Row],[Order_Date]],"mmm")</f>
        <v>Dec</v>
      </c>
      <c r="X358">
        <f>ROUNDUP(MONTH(Table1[[#This Row],[Order_Date]])/3,0)</f>
        <v>4</v>
      </c>
      <c r="Y358">
        <f>YEAR(Table1[[#This Row],[Order_Date]])</f>
        <v>2024</v>
      </c>
    </row>
    <row r="359" spans="1:25" x14ac:dyDescent="0.25">
      <c r="A359" t="s">
        <v>1506</v>
      </c>
      <c r="B359" t="s">
        <v>1507</v>
      </c>
      <c r="C359" t="s">
        <v>1508</v>
      </c>
      <c r="D359" t="s">
        <v>1509</v>
      </c>
      <c r="E359" t="s">
        <v>29</v>
      </c>
      <c r="F359" t="s">
        <v>56</v>
      </c>
      <c r="G359" t="s">
        <v>111</v>
      </c>
      <c r="H359" t="s">
        <v>42</v>
      </c>
      <c r="I359" t="s">
        <v>96</v>
      </c>
      <c r="J359" t="s">
        <v>126</v>
      </c>
      <c r="K359">
        <v>6</v>
      </c>
      <c r="L359">
        <v>1235.83</v>
      </c>
      <c r="M359" s="3">
        <v>0.15</v>
      </c>
      <c r="N359" t="str">
        <f>VLOOKUP(Table1[[#This Row],[Country]],REF_Country!$A$1:$D$11,2,FALSE)</f>
        <v>Southeast Asia</v>
      </c>
      <c r="O359" t="str">
        <f>VLOOKUP(Table1[[#This Row],[Country]],REF_Country!$A$1:$D$11,3,FALSE)</f>
        <v>VN</v>
      </c>
      <c r="P359">
        <f>VLOOKUP(Table1[[#This Row],[Country]],REF_Country!$A$1:$D$11,4,FALSE)</f>
        <v>0.1</v>
      </c>
      <c r="Q359">
        <f>VLOOKUP(Table1[[#This Row],[Category]],REF_Target!$A$1:$E$6,2,FALSE)</f>
        <v>50000</v>
      </c>
      <c r="R359">
        <f>Table1[[#This Row],[Quantity]]*Table1[[#This Row],[Unit_Price]]</f>
        <v>7414.98</v>
      </c>
      <c r="S359">
        <f>Table1[[#This Row],[Gross_Sales]]*Table1[[#This Row],[Discount_Rate]]</f>
        <v>1112.2469999999998</v>
      </c>
      <c r="T359">
        <f>Table1[[#This Row],[Gross_Sales]]-Table1[[#This Row],[Discount_Amount]]</f>
        <v>6302.7330000000002</v>
      </c>
      <c r="U359">
        <f>VLOOKUP(Table1[[#This Row],[Category]],REF_Cost!$A$1:$B$6,2,FALSE)*Table1[[#This Row],[Quantity]]</f>
        <v>2700</v>
      </c>
      <c r="V359">
        <f>Table1[[#This Row],[Net_Sales]]-Table1[[#This Row],[Total_Cost]]</f>
        <v>3602.7330000000002</v>
      </c>
      <c r="W359" t="str">
        <f>TEXT(Table1[[#This Row],[Order_Date]],"mmm")</f>
        <v>May</v>
      </c>
      <c r="X359">
        <f>ROUNDUP(MONTH(Table1[[#This Row],[Order_Date]])/3,0)</f>
        <v>2</v>
      </c>
      <c r="Y359">
        <f>YEAR(Table1[[#This Row],[Order_Date]])</f>
        <v>2024</v>
      </c>
    </row>
    <row r="360" spans="1:25" x14ac:dyDescent="0.25">
      <c r="A360" t="s">
        <v>1510</v>
      </c>
      <c r="B360" t="s">
        <v>1511</v>
      </c>
      <c r="C360" t="s">
        <v>1512</v>
      </c>
      <c r="D360" t="s">
        <v>1513</v>
      </c>
      <c r="E360" t="s">
        <v>78</v>
      </c>
      <c r="F360" t="s">
        <v>56</v>
      </c>
      <c r="G360" t="s">
        <v>101</v>
      </c>
      <c r="H360" t="s">
        <v>32</v>
      </c>
      <c r="I360" t="s">
        <v>51</v>
      </c>
      <c r="J360" t="s">
        <v>73</v>
      </c>
      <c r="K360">
        <v>9</v>
      </c>
      <c r="L360">
        <v>263.58</v>
      </c>
      <c r="M360" s="3">
        <v>0.15</v>
      </c>
      <c r="N360" t="str">
        <f>VLOOKUP(Table1[[#This Row],[Country]],REF_Country!$A$1:$D$11,2,FALSE)</f>
        <v>Oceania</v>
      </c>
      <c r="O360" t="str">
        <f>VLOOKUP(Table1[[#This Row],[Country]],REF_Country!$A$1:$D$11,3,FALSE)</f>
        <v>AU</v>
      </c>
      <c r="P360">
        <f>VLOOKUP(Table1[[#This Row],[Country]],REF_Country!$A$1:$D$11,4,FALSE)</f>
        <v>0.1</v>
      </c>
      <c r="Q360">
        <f>VLOOKUP(Table1[[#This Row],[Category]],REF_Target!$A$1:$E$6,2,FALSE)</f>
        <v>50000</v>
      </c>
      <c r="R360">
        <f>Table1[[#This Row],[Quantity]]*Table1[[#This Row],[Unit_Price]]</f>
        <v>2372.2199999999998</v>
      </c>
      <c r="S360">
        <f>Table1[[#This Row],[Gross_Sales]]*Table1[[#This Row],[Discount_Rate]]</f>
        <v>355.83299999999997</v>
      </c>
      <c r="T360">
        <f>Table1[[#This Row],[Gross_Sales]]-Table1[[#This Row],[Discount_Amount]]</f>
        <v>2016.3869999999997</v>
      </c>
      <c r="U360">
        <f>VLOOKUP(Table1[[#This Row],[Category]],REF_Cost!$A$1:$B$6,2,FALSE)*Table1[[#This Row],[Quantity]]</f>
        <v>4050</v>
      </c>
      <c r="V360">
        <f>Table1[[#This Row],[Net_Sales]]-Table1[[#This Row],[Total_Cost]]</f>
        <v>-2033.6130000000003</v>
      </c>
      <c r="W360" t="str">
        <f>TEXT(Table1[[#This Row],[Order_Date]],"mmm")</f>
        <v>Nov</v>
      </c>
      <c r="X360">
        <f>ROUNDUP(MONTH(Table1[[#This Row],[Order_Date]])/3,0)</f>
        <v>4</v>
      </c>
      <c r="Y360">
        <f>YEAR(Table1[[#This Row],[Order_Date]])</f>
        <v>2024</v>
      </c>
    </row>
    <row r="361" spans="1:25" x14ac:dyDescent="0.25">
      <c r="A361" t="s">
        <v>1514</v>
      </c>
      <c r="B361" t="s">
        <v>1515</v>
      </c>
      <c r="C361" t="s">
        <v>1516</v>
      </c>
      <c r="D361" t="s">
        <v>1517</v>
      </c>
      <c r="E361" t="s">
        <v>149</v>
      </c>
      <c r="F361" t="s">
        <v>56</v>
      </c>
      <c r="G361" t="s">
        <v>95</v>
      </c>
      <c r="H361" t="s">
        <v>32</v>
      </c>
      <c r="I361" t="s">
        <v>43</v>
      </c>
      <c r="J361" t="s">
        <v>126</v>
      </c>
      <c r="K361">
        <v>7</v>
      </c>
      <c r="L361">
        <v>813.57</v>
      </c>
      <c r="M361" s="3">
        <v>0.2</v>
      </c>
      <c r="N361" t="str">
        <f>VLOOKUP(Table1[[#This Row],[Country]],REF_Country!$A$1:$D$11,2,FALSE)</f>
        <v>East Asia</v>
      </c>
      <c r="O361" t="str">
        <f>VLOOKUP(Table1[[#This Row],[Country]],REF_Country!$A$1:$D$11,3,FALSE)</f>
        <v>JP</v>
      </c>
      <c r="P361">
        <f>VLOOKUP(Table1[[#This Row],[Country]],REF_Country!$A$1:$D$11,4,FALSE)</f>
        <v>0.1</v>
      </c>
      <c r="Q361">
        <f>VLOOKUP(Table1[[#This Row],[Category]],REF_Target!$A$1:$E$6,2,FALSE)</f>
        <v>50000</v>
      </c>
      <c r="R361">
        <f>Table1[[#This Row],[Quantity]]*Table1[[#This Row],[Unit_Price]]</f>
        <v>5694.9900000000007</v>
      </c>
      <c r="S361">
        <f>Table1[[#This Row],[Gross_Sales]]*Table1[[#This Row],[Discount_Rate]]</f>
        <v>1138.9980000000003</v>
      </c>
      <c r="T361">
        <f>Table1[[#This Row],[Gross_Sales]]-Table1[[#This Row],[Discount_Amount]]</f>
        <v>4555.9920000000002</v>
      </c>
      <c r="U361">
        <f>VLOOKUP(Table1[[#This Row],[Category]],REF_Cost!$A$1:$B$6,2,FALSE)*Table1[[#This Row],[Quantity]]</f>
        <v>3150</v>
      </c>
      <c r="V361">
        <f>Table1[[#This Row],[Net_Sales]]-Table1[[#This Row],[Total_Cost]]</f>
        <v>1405.9920000000002</v>
      </c>
      <c r="W361" t="str">
        <f>TEXT(Table1[[#This Row],[Order_Date]],"mmm")</f>
        <v>Nov</v>
      </c>
      <c r="X361">
        <f>ROUNDUP(MONTH(Table1[[#This Row],[Order_Date]])/3,0)</f>
        <v>4</v>
      </c>
      <c r="Y361">
        <f>YEAR(Table1[[#This Row],[Order_Date]])</f>
        <v>2024</v>
      </c>
    </row>
    <row r="362" spans="1:25" x14ac:dyDescent="0.25">
      <c r="A362" t="s">
        <v>1518</v>
      </c>
      <c r="B362" t="s">
        <v>1519</v>
      </c>
      <c r="C362" t="s">
        <v>1520</v>
      </c>
      <c r="D362" t="s">
        <v>1521</v>
      </c>
      <c r="E362" t="s">
        <v>116</v>
      </c>
      <c r="F362" t="s">
        <v>56</v>
      </c>
      <c r="G362" t="s">
        <v>95</v>
      </c>
      <c r="H362" t="s">
        <v>72</v>
      </c>
      <c r="I362" t="s">
        <v>66</v>
      </c>
      <c r="J362" t="s">
        <v>34</v>
      </c>
      <c r="K362">
        <v>9</v>
      </c>
      <c r="L362">
        <v>1194.4100000000001</v>
      </c>
      <c r="M362" s="3">
        <v>0</v>
      </c>
      <c r="N362" t="str">
        <f>VLOOKUP(Table1[[#This Row],[Country]],REF_Country!$A$1:$D$11,2,FALSE)</f>
        <v>Southeast Asia</v>
      </c>
      <c r="O362" t="str">
        <f>VLOOKUP(Table1[[#This Row],[Country]],REF_Country!$A$1:$D$11,3,FALSE)</f>
        <v>MY</v>
      </c>
      <c r="P362">
        <f>VLOOKUP(Table1[[#This Row],[Country]],REF_Country!$A$1:$D$11,4,FALSE)</f>
        <v>0.06</v>
      </c>
      <c r="Q362">
        <f>VLOOKUP(Table1[[#This Row],[Category]],REF_Target!$A$1:$E$6,2,FALSE)</f>
        <v>50000</v>
      </c>
      <c r="R362">
        <f>Table1[[#This Row],[Quantity]]*Table1[[#This Row],[Unit_Price]]</f>
        <v>10749.69</v>
      </c>
      <c r="S362">
        <f>Table1[[#This Row],[Gross_Sales]]*Table1[[#This Row],[Discount_Rate]]</f>
        <v>0</v>
      </c>
      <c r="T362">
        <f>Table1[[#This Row],[Gross_Sales]]-Table1[[#This Row],[Discount_Amount]]</f>
        <v>10749.69</v>
      </c>
      <c r="U362">
        <f>VLOOKUP(Table1[[#This Row],[Category]],REF_Cost!$A$1:$B$6,2,FALSE)*Table1[[#This Row],[Quantity]]</f>
        <v>4050</v>
      </c>
      <c r="V362">
        <f>Table1[[#This Row],[Net_Sales]]-Table1[[#This Row],[Total_Cost]]</f>
        <v>6699.6900000000005</v>
      </c>
      <c r="W362" t="str">
        <f>TEXT(Table1[[#This Row],[Order_Date]],"mmm")</f>
        <v>Jun</v>
      </c>
      <c r="X362">
        <f>ROUNDUP(MONTH(Table1[[#This Row],[Order_Date]])/3,0)</f>
        <v>2</v>
      </c>
      <c r="Y362">
        <f>YEAR(Table1[[#This Row],[Order_Date]])</f>
        <v>2024</v>
      </c>
    </row>
    <row r="363" spans="1:25" x14ac:dyDescent="0.25">
      <c r="A363" t="s">
        <v>1522</v>
      </c>
      <c r="B363" t="s">
        <v>1523</v>
      </c>
      <c r="C363" t="s">
        <v>1524</v>
      </c>
      <c r="D363" t="s">
        <v>1525</v>
      </c>
      <c r="E363" t="s">
        <v>149</v>
      </c>
      <c r="F363" t="s">
        <v>84</v>
      </c>
      <c r="G363" t="s">
        <v>205</v>
      </c>
      <c r="H363" t="s">
        <v>32</v>
      </c>
      <c r="I363" t="s">
        <v>33</v>
      </c>
      <c r="J363" t="s">
        <v>126</v>
      </c>
      <c r="K363">
        <v>2</v>
      </c>
      <c r="L363">
        <v>593.41</v>
      </c>
      <c r="M363" s="3">
        <v>0.15</v>
      </c>
      <c r="N363" t="str">
        <f>VLOOKUP(Table1[[#This Row],[Country]],REF_Country!$A$1:$D$11,2,FALSE)</f>
        <v>East Asia</v>
      </c>
      <c r="O363" t="str">
        <f>VLOOKUP(Table1[[#This Row],[Country]],REF_Country!$A$1:$D$11,3,FALSE)</f>
        <v>JP</v>
      </c>
      <c r="P363">
        <f>VLOOKUP(Table1[[#This Row],[Country]],REF_Country!$A$1:$D$11,4,FALSE)</f>
        <v>0.1</v>
      </c>
      <c r="Q363">
        <f>VLOOKUP(Table1[[#This Row],[Category]],REF_Target!$A$1:$E$6,2,FALSE)</f>
        <v>30000</v>
      </c>
      <c r="R363">
        <f>Table1[[#This Row],[Quantity]]*Table1[[#This Row],[Unit_Price]]</f>
        <v>1186.82</v>
      </c>
      <c r="S363">
        <f>Table1[[#This Row],[Gross_Sales]]*Table1[[#This Row],[Discount_Rate]]</f>
        <v>178.023</v>
      </c>
      <c r="T363">
        <f>Table1[[#This Row],[Gross_Sales]]-Table1[[#This Row],[Discount_Amount]]</f>
        <v>1008.7969999999999</v>
      </c>
      <c r="U363">
        <f>VLOOKUP(Table1[[#This Row],[Category]],REF_Cost!$A$1:$B$6,2,FALSE)*Table1[[#This Row],[Quantity]]</f>
        <v>400</v>
      </c>
      <c r="V363">
        <f>Table1[[#This Row],[Net_Sales]]-Table1[[#This Row],[Total_Cost]]</f>
        <v>608.79699999999991</v>
      </c>
      <c r="W363" t="str">
        <f>TEXT(Table1[[#This Row],[Order_Date]],"mmm")</f>
        <v>Aug</v>
      </c>
      <c r="X363">
        <f>ROUNDUP(MONTH(Table1[[#This Row],[Order_Date]])/3,0)</f>
        <v>3</v>
      </c>
      <c r="Y363">
        <f>YEAR(Table1[[#This Row],[Order_Date]])</f>
        <v>2024</v>
      </c>
    </row>
    <row r="364" spans="1:25" x14ac:dyDescent="0.25">
      <c r="A364" t="s">
        <v>1526</v>
      </c>
      <c r="B364" t="s">
        <v>1527</v>
      </c>
      <c r="C364" t="s">
        <v>1528</v>
      </c>
      <c r="D364" t="s">
        <v>1529</v>
      </c>
      <c r="E364" t="s">
        <v>116</v>
      </c>
      <c r="F364" t="s">
        <v>84</v>
      </c>
      <c r="G364" t="s">
        <v>90</v>
      </c>
      <c r="H364" t="s">
        <v>32</v>
      </c>
      <c r="I364" t="s">
        <v>66</v>
      </c>
      <c r="J364" t="s">
        <v>34</v>
      </c>
      <c r="K364">
        <v>5</v>
      </c>
      <c r="L364">
        <v>172.61</v>
      </c>
      <c r="M364" s="3">
        <v>0.15</v>
      </c>
      <c r="N364" t="str">
        <f>VLOOKUP(Table1[[#This Row],[Country]],REF_Country!$A$1:$D$11,2,FALSE)</f>
        <v>Southeast Asia</v>
      </c>
      <c r="O364" t="str">
        <f>VLOOKUP(Table1[[#This Row],[Country]],REF_Country!$A$1:$D$11,3,FALSE)</f>
        <v>MY</v>
      </c>
      <c r="P364">
        <f>VLOOKUP(Table1[[#This Row],[Country]],REF_Country!$A$1:$D$11,4,FALSE)</f>
        <v>0.06</v>
      </c>
      <c r="Q364">
        <f>VLOOKUP(Table1[[#This Row],[Category]],REF_Target!$A$1:$E$6,2,FALSE)</f>
        <v>30000</v>
      </c>
      <c r="R364">
        <f>Table1[[#This Row],[Quantity]]*Table1[[#This Row],[Unit_Price]]</f>
        <v>863.05000000000007</v>
      </c>
      <c r="S364">
        <f>Table1[[#This Row],[Gross_Sales]]*Table1[[#This Row],[Discount_Rate]]</f>
        <v>129.45750000000001</v>
      </c>
      <c r="T364">
        <f>Table1[[#This Row],[Gross_Sales]]-Table1[[#This Row],[Discount_Amount]]</f>
        <v>733.59250000000009</v>
      </c>
      <c r="U364">
        <f>VLOOKUP(Table1[[#This Row],[Category]],REF_Cost!$A$1:$B$6,2,FALSE)*Table1[[#This Row],[Quantity]]</f>
        <v>1000</v>
      </c>
      <c r="V364">
        <f>Table1[[#This Row],[Net_Sales]]-Table1[[#This Row],[Total_Cost]]</f>
        <v>-266.40749999999991</v>
      </c>
      <c r="W364" t="str">
        <f>TEXT(Table1[[#This Row],[Order_Date]],"mmm")</f>
        <v>Jan</v>
      </c>
      <c r="X364">
        <f>ROUNDUP(MONTH(Table1[[#This Row],[Order_Date]])/3,0)</f>
        <v>1</v>
      </c>
      <c r="Y364">
        <f>YEAR(Table1[[#This Row],[Order_Date]])</f>
        <v>2024</v>
      </c>
    </row>
    <row r="365" spans="1:25" x14ac:dyDescent="0.25">
      <c r="A365" t="s">
        <v>1530</v>
      </c>
      <c r="B365" t="s">
        <v>1531</v>
      </c>
      <c r="C365" t="s">
        <v>1532</v>
      </c>
      <c r="D365" t="s">
        <v>1533</v>
      </c>
      <c r="E365" t="s">
        <v>200</v>
      </c>
      <c r="F365" t="s">
        <v>30</v>
      </c>
      <c r="G365" t="s">
        <v>139</v>
      </c>
      <c r="H365" t="s">
        <v>58</v>
      </c>
      <c r="I365" t="s">
        <v>43</v>
      </c>
      <c r="J365" t="s">
        <v>59</v>
      </c>
      <c r="K365">
        <v>7</v>
      </c>
      <c r="L365">
        <v>341.5</v>
      </c>
      <c r="M365" s="3">
        <v>0.15</v>
      </c>
      <c r="N365" t="str">
        <f>VLOOKUP(Table1[[#This Row],[Country]],REF_Country!$A$1:$D$11,2,FALSE)</f>
        <v>East Asia</v>
      </c>
      <c r="O365" t="str">
        <f>VLOOKUP(Table1[[#This Row],[Country]],REF_Country!$A$1:$D$11,3,FALSE)</f>
        <v>KR</v>
      </c>
      <c r="P365">
        <f>VLOOKUP(Table1[[#This Row],[Country]],REF_Country!$A$1:$D$11,4,FALSE)</f>
        <v>0.1</v>
      </c>
      <c r="Q365">
        <f>VLOOKUP(Table1[[#This Row],[Category]],REF_Target!$A$1:$E$6,2,FALSE)</f>
        <v>40000</v>
      </c>
      <c r="R365">
        <f>Table1[[#This Row],[Quantity]]*Table1[[#This Row],[Unit_Price]]</f>
        <v>2390.5</v>
      </c>
      <c r="S365">
        <f>Table1[[#This Row],[Gross_Sales]]*Table1[[#This Row],[Discount_Rate]]</f>
        <v>358.57499999999999</v>
      </c>
      <c r="T365">
        <f>Table1[[#This Row],[Gross_Sales]]-Table1[[#This Row],[Discount_Amount]]</f>
        <v>2031.925</v>
      </c>
      <c r="U365">
        <f>VLOOKUP(Table1[[#This Row],[Category]],REF_Cost!$A$1:$B$6,2,FALSE)*Table1[[#This Row],[Quantity]]</f>
        <v>840</v>
      </c>
      <c r="V365">
        <f>Table1[[#This Row],[Net_Sales]]-Table1[[#This Row],[Total_Cost]]</f>
        <v>1191.925</v>
      </c>
      <c r="W365" t="str">
        <f>TEXT(Table1[[#This Row],[Order_Date]],"mmm")</f>
        <v>Jul</v>
      </c>
      <c r="X365">
        <f>ROUNDUP(MONTH(Table1[[#This Row],[Order_Date]])/3,0)</f>
        <v>3</v>
      </c>
      <c r="Y365">
        <f>YEAR(Table1[[#This Row],[Order_Date]])</f>
        <v>2024</v>
      </c>
    </row>
    <row r="366" spans="1:25" x14ac:dyDescent="0.25">
      <c r="A366" t="s">
        <v>1534</v>
      </c>
      <c r="B366" t="s">
        <v>1535</v>
      </c>
      <c r="C366" t="s">
        <v>1536</v>
      </c>
      <c r="D366" t="s">
        <v>1537</v>
      </c>
      <c r="E366" t="s">
        <v>78</v>
      </c>
      <c r="F366" t="s">
        <v>40</v>
      </c>
      <c r="G366" t="s">
        <v>106</v>
      </c>
      <c r="H366" t="s">
        <v>42</v>
      </c>
      <c r="I366" t="s">
        <v>33</v>
      </c>
      <c r="J366" t="s">
        <v>126</v>
      </c>
      <c r="K366">
        <v>1</v>
      </c>
      <c r="L366">
        <v>198</v>
      </c>
      <c r="M366" s="3">
        <v>0.15</v>
      </c>
      <c r="N366" t="str">
        <f>VLOOKUP(Table1[[#This Row],[Country]],REF_Country!$A$1:$D$11,2,FALSE)</f>
        <v>Oceania</v>
      </c>
      <c r="O366" t="str">
        <f>VLOOKUP(Table1[[#This Row],[Country]],REF_Country!$A$1:$D$11,3,FALSE)</f>
        <v>AU</v>
      </c>
      <c r="P366">
        <f>VLOOKUP(Table1[[#This Row],[Country]],REF_Country!$A$1:$D$11,4,FALSE)</f>
        <v>0.1</v>
      </c>
      <c r="Q366">
        <f>VLOOKUP(Table1[[#This Row],[Category]],REF_Target!$A$1:$E$6,2,FALSE)</f>
        <v>45000</v>
      </c>
      <c r="R366">
        <f>Table1[[#This Row],[Quantity]]*Table1[[#This Row],[Unit_Price]]</f>
        <v>198</v>
      </c>
      <c r="S366">
        <f>Table1[[#This Row],[Gross_Sales]]*Table1[[#This Row],[Discount_Rate]]</f>
        <v>29.7</v>
      </c>
      <c r="T366">
        <f>Table1[[#This Row],[Gross_Sales]]-Table1[[#This Row],[Discount_Amount]]</f>
        <v>168.3</v>
      </c>
      <c r="U366">
        <f>VLOOKUP(Table1[[#This Row],[Category]],REF_Cost!$A$1:$B$6,2,FALSE)*Table1[[#This Row],[Quantity]]</f>
        <v>80</v>
      </c>
      <c r="V366">
        <f>Table1[[#This Row],[Net_Sales]]-Table1[[#This Row],[Total_Cost]]</f>
        <v>88.300000000000011</v>
      </c>
      <c r="W366" t="str">
        <f>TEXT(Table1[[#This Row],[Order_Date]],"mmm")</f>
        <v>Nov</v>
      </c>
      <c r="X366">
        <f>ROUNDUP(MONTH(Table1[[#This Row],[Order_Date]])/3,0)</f>
        <v>4</v>
      </c>
      <c r="Y366">
        <f>YEAR(Table1[[#This Row],[Order_Date]])</f>
        <v>2024</v>
      </c>
    </row>
    <row r="367" spans="1:25" x14ac:dyDescent="0.25">
      <c r="A367" t="s">
        <v>1538</v>
      </c>
      <c r="B367" t="s">
        <v>1539</v>
      </c>
      <c r="C367" t="s">
        <v>1540</v>
      </c>
      <c r="D367" t="s">
        <v>1541</v>
      </c>
      <c r="E367" t="s">
        <v>71</v>
      </c>
      <c r="F367" t="s">
        <v>30</v>
      </c>
      <c r="G367" t="s">
        <v>195</v>
      </c>
      <c r="H367" t="s">
        <v>72</v>
      </c>
      <c r="I367" t="s">
        <v>43</v>
      </c>
      <c r="J367" t="s">
        <v>73</v>
      </c>
      <c r="K367">
        <v>9</v>
      </c>
      <c r="L367">
        <v>1359.86</v>
      </c>
      <c r="M367" s="3">
        <v>0</v>
      </c>
      <c r="N367" t="str">
        <f>VLOOKUP(Table1[[#This Row],[Country]],REF_Country!$A$1:$D$11,2,FALSE)</f>
        <v>Southeast Asia</v>
      </c>
      <c r="O367" t="str">
        <f>VLOOKUP(Table1[[#This Row],[Country]],REF_Country!$A$1:$D$11,3,FALSE)</f>
        <v>PH</v>
      </c>
      <c r="P367">
        <f>VLOOKUP(Table1[[#This Row],[Country]],REF_Country!$A$1:$D$11,4,FALSE)</f>
        <v>0.12</v>
      </c>
      <c r="Q367">
        <f>VLOOKUP(Table1[[#This Row],[Category]],REF_Target!$A$1:$E$6,2,FALSE)</f>
        <v>40000</v>
      </c>
      <c r="R367">
        <f>Table1[[#This Row],[Quantity]]*Table1[[#This Row],[Unit_Price]]</f>
        <v>12238.74</v>
      </c>
      <c r="S367">
        <f>Table1[[#This Row],[Gross_Sales]]*Table1[[#This Row],[Discount_Rate]]</f>
        <v>0</v>
      </c>
      <c r="T367">
        <f>Table1[[#This Row],[Gross_Sales]]-Table1[[#This Row],[Discount_Amount]]</f>
        <v>12238.74</v>
      </c>
      <c r="U367">
        <f>VLOOKUP(Table1[[#This Row],[Category]],REF_Cost!$A$1:$B$6,2,FALSE)*Table1[[#This Row],[Quantity]]</f>
        <v>1080</v>
      </c>
      <c r="V367">
        <f>Table1[[#This Row],[Net_Sales]]-Table1[[#This Row],[Total_Cost]]</f>
        <v>11158.74</v>
      </c>
      <c r="W367" t="str">
        <f>TEXT(Table1[[#This Row],[Order_Date]],"mmm")</f>
        <v>Apr</v>
      </c>
      <c r="X367">
        <f>ROUNDUP(MONTH(Table1[[#This Row],[Order_Date]])/3,0)</f>
        <v>2</v>
      </c>
      <c r="Y367">
        <f>YEAR(Table1[[#This Row],[Order_Date]])</f>
        <v>2024</v>
      </c>
    </row>
    <row r="368" spans="1:25" x14ac:dyDescent="0.25">
      <c r="A368" t="s">
        <v>1542</v>
      </c>
      <c r="B368" t="s">
        <v>1543</v>
      </c>
      <c r="C368" t="s">
        <v>1544</v>
      </c>
      <c r="D368" t="s">
        <v>1545</v>
      </c>
      <c r="E368" t="s">
        <v>48</v>
      </c>
      <c r="F368" t="s">
        <v>40</v>
      </c>
      <c r="G368" t="s">
        <v>144</v>
      </c>
      <c r="H368" t="s">
        <v>32</v>
      </c>
      <c r="I368" t="s">
        <v>66</v>
      </c>
      <c r="J368" t="s">
        <v>126</v>
      </c>
      <c r="K368">
        <v>9</v>
      </c>
      <c r="L368">
        <v>1279.31</v>
      </c>
      <c r="M368" s="3">
        <v>0.1</v>
      </c>
      <c r="N368" t="str">
        <f>VLOOKUP(Table1[[#This Row],[Country]],REF_Country!$A$1:$D$11,2,FALSE)</f>
        <v>Southeast Asia</v>
      </c>
      <c r="O368" t="str">
        <f>VLOOKUP(Table1[[#This Row],[Country]],REF_Country!$A$1:$D$11,3,FALSE)</f>
        <v>SG</v>
      </c>
      <c r="P368">
        <f>VLOOKUP(Table1[[#This Row],[Country]],REF_Country!$A$1:$D$11,4,FALSE)</f>
        <v>7.0000000000000007E-2</v>
      </c>
      <c r="Q368">
        <f>VLOOKUP(Table1[[#This Row],[Category]],REF_Target!$A$1:$E$6,2,FALSE)</f>
        <v>45000</v>
      </c>
      <c r="R368">
        <f>Table1[[#This Row],[Quantity]]*Table1[[#This Row],[Unit_Price]]</f>
        <v>11513.789999999999</v>
      </c>
      <c r="S368">
        <f>Table1[[#This Row],[Gross_Sales]]*Table1[[#This Row],[Discount_Rate]]</f>
        <v>1151.3789999999999</v>
      </c>
      <c r="T368">
        <f>Table1[[#This Row],[Gross_Sales]]-Table1[[#This Row],[Discount_Amount]]</f>
        <v>10362.411</v>
      </c>
      <c r="U368">
        <f>VLOOKUP(Table1[[#This Row],[Category]],REF_Cost!$A$1:$B$6,2,FALSE)*Table1[[#This Row],[Quantity]]</f>
        <v>720</v>
      </c>
      <c r="V368">
        <f>Table1[[#This Row],[Net_Sales]]-Table1[[#This Row],[Total_Cost]]</f>
        <v>9642.4110000000001</v>
      </c>
      <c r="W368" t="str">
        <f>TEXT(Table1[[#This Row],[Order_Date]],"mmm")</f>
        <v>May</v>
      </c>
      <c r="X368">
        <f>ROUNDUP(MONTH(Table1[[#This Row],[Order_Date]])/3,0)</f>
        <v>2</v>
      </c>
      <c r="Y368">
        <f>YEAR(Table1[[#This Row],[Order_Date]])</f>
        <v>2024</v>
      </c>
    </row>
    <row r="369" spans="1:25" x14ac:dyDescent="0.25">
      <c r="A369" t="s">
        <v>1546</v>
      </c>
      <c r="B369" t="s">
        <v>1547</v>
      </c>
      <c r="C369" t="s">
        <v>1548</v>
      </c>
      <c r="D369" t="s">
        <v>1549</v>
      </c>
      <c r="E369" t="s">
        <v>83</v>
      </c>
      <c r="F369" t="s">
        <v>49</v>
      </c>
      <c r="G369" t="s">
        <v>50</v>
      </c>
      <c r="H369" t="s">
        <v>58</v>
      </c>
      <c r="I369" t="s">
        <v>33</v>
      </c>
      <c r="J369" t="s">
        <v>126</v>
      </c>
      <c r="K369">
        <v>4</v>
      </c>
      <c r="L369">
        <v>545.35</v>
      </c>
      <c r="M369" s="3">
        <v>0</v>
      </c>
      <c r="N369" t="str">
        <f>VLOOKUP(Table1[[#This Row],[Country]],REF_Country!$A$1:$D$11,2,FALSE)</f>
        <v>South Asia</v>
      </c>
      <c r="O369" t="str">
        <f>VLOOKUP(Table1[[#This Row],[Country]],REF_Country!$A$1:$D$11,3,FALSE)</f>
        <v>IN</v>
      </c>
      <c r="P369">
        <f>VLOOKUP(Table1[[#This Row],[Country]],REF_Country!$A$1:$D$11,4,FALSE)</f>
        <v>0.18</v>
      </c>
      <c r="Q369">
        <f>VLOOKUP(Table1[[#This Row],[Category]],REF_Target!$A$1:$E$6,2,FALSE)</f>
        <v>35000</v>
      </c>
      <c r="R369">
        <f>Table1[[#This Row],[Quantity]]*Table1[[#This Row],[Unit_Price]]</f>
        <v>2181.4</v>
      </c>
      <c r="S369">
        <f>Table1[[#This Row],[Gross_Sales]]*Table1[[#This Row],[Discount_Rate]]</f>
        <v>0</v>
      </c>
      <c r="T369">
        <f>Table1[[#This Row],[Gross_Sales]]-Table1[[#This Row],[Discount_Amount]]</f>
        <v>2181.4</v>
      </c>
      <c r="U369">
        <f>VLOOKUP(Table1[[#This Row],[Category]],REF_Cost!$A$1:$B$6,2,FALSE)*Table1[[#This Row],[Quantity]]</f>
        <v>600</v>
      </c>
      <c r="V369">
        <f>Table1[[#This Row],[Net_Sales]]-Table1[[#This Row],[Total_Cost]]</f>
        <v>1581.4</v>
      </c>
      <c r="W369" t="str">
        <f>TEXT(Table1[[#This Row],[Order_Date]],"mmm")</f>
        <v>Feb</v>
      </c>
      <c r="X369">
        <f>ROUNDUP(MONTH(Table1[[#This Row],[Order_Date]])/3,0)</f>
        <v>1</v>
      </c>
      <c r="Y369">
        <f>YEAR(Table1[[#This Row],[Order_Date]])</f>
        <v>2024</v>
      </c>
    </row>
    <row r="370" spans="1:25" x14ac:dyDescent="0.25">
      <c r="A370" t="s">
        <v>1550</v>
      </c>
      <c r="B370" t="s">
        <v>1551</v>
      </c>
      <c r="C370" t="s">
        <v>1552</v>
      </c>
      <c r="D370" t="s">
        <v>1553</v>
      </c>
      <c r="E370" t="s">
        <v>71</v>
      </c>
      <c r="F370" t="s">
        <v>40</v>
      </c>
      <c r="G370" t="s">
        <v>315</v>
      </c>
      <c r="H370" t="s">
        <v>58</v>
      </c>
      <c r="I370" t="s">
        <v>66</v>
      </c>
      <c r="J370" t="s">
        <v>34</v>
      </c>
      <c r="K370">
        <v>3</v>
      </c>
      <c r="L370">
        <v>1044.79</v>
      </c>
      <c r="M370" s="3">
        <v>0.15</v>
      </c>
      <c r="N370" t="str">
        <f>VLOOKUP(Table1[[#This Row],[Country]],REF_Country!$A$1:$D$11,2,FALSE)</f>
        <v>Southeast Asia</v>
      </c>
      <c r="O370" t="str">
        <f>VLOOKUP(Table1[[#This Row],[Country]],REF_Country!$A$1:$D$11,3,FALSE)</f>
        <v>PH</v>
      </c>
      <c r="P370">
        <f>VLOOKUP(Table1[[#This Row],[Country]],REF_Country!$A$1:$D$11,4,FALSE)</f>
        <v>0.12</v>
      </c>
      <c r="Q370">
        <f>VLOOKUP(Table1[[#This Row],[Category]],REF_Target!$A$1:$E$6,2,FALSE)</f>
        <v>45000</v>
      </c>
      <c r="R370">
        <f>Table1[[#This Row],[Quantity]]*Table1[[#This Row],[Unit_Price]]</f>
        <v>3134.37</v>
      </c>
      <c r="S370">
        <f>Table1[[#This Row],[Gross_Sales]]*Table1[[#This Row],[Discount_Rate]]</f>
        <v>470.15549999999996</v>
      </c>
      <c r="T370">
        <f>Table1[[#This Row],[Gross_Sales]]-Table1[[#This Row],[Discount_Amount]]</f>
        <v>2664.2145</v>
      </c>
      <c r="U370">
        <f>VLOOKUP(Table1[[#This Row],[Category]],REF_Cost!$A$1:$B$6,2,FALSE)*Table1[[#This Row],[Quantity]]</f>
        <v>240</v>
      </c>
      <c r="V370">
        <f>Table1[[#This Row],[Net_Sales]]-Table1[[#This Row],[Total_Cost]]</f>
        <v>2424.2145</v>
      </c>
      <c r="W370" t="str">
        <f>TEXT(Table1[[#This Row],[Order_Date]],"mmm")</f>
        <v>Jun</v>
      </c>
      <c r="X370">
        <f>ROUNDUP(MONTH(Table1[[#This Row],[Order_Date]])/3,0)</f>
        <v>2</v>
      </c>
      <c r="Y370">
        <f>YEAR(Table1[[#This Row],[Order_Date]])</f>
        <v>2024</v>
      </c>
    </row>
    <row r="371" spans="1:25" x14ac:dyDescent="0.25">
      <c r="A371" t="s">
        <v>1554</v>
      </c>
      <c r="B371" t="s">
        <v>1555</v>
      </c>
      <c r="C371" t="s">
        <v>1556</v>
      </c>
      <c r="D371" t="s">
        <v>1557</v>
      </c>
      <c r="E371" t="s">
        <v>39</v>
      </c>
      <c r="F371" t="s">
        <v>49</v>
      </c>
      <c r="G371" t="s">
        <v>50</v>
      </c>
      <c r="H371" t="s">
        <v>58</v>
      </c>
      <c r="I371" t="s">
        <v>96</v>
      </c>
      <c r="J371" t="s">
        <v>34</v>
      </c>
      <c r="K371">
        <v>3</v>
      </c>
      <c r="L371">
        <v>1262.56</v>
      </c>
      <c r="M371" s="3">
        <v>0.2</v>
      </c>
      <c r="N371" t="str">
        <f>VLOOKUP(Table1[[#This Row],[Country]],REF_Country!$A$1:$D$11,2,FALSE)</f>
        <v>Southeast Asia</v>
      </c>
      <c r="O371" t="str">
        <f>VLOOKUP(Table1[[#This Row],[Country]],REF_Country!$A$1:$D$11,3,FALSE)</f>
        <v>TH</v>
      </c>
      <c r="P371">
        <f>VLOOKUP(Table1[[#This Row],[Country]],REF_Country!$A$1:$D$11,4,FALSE)</f>
        <v>7.0000000000000007E-2</v>
      </c>
      <c r="Q371">
        <f>VLOOKUP(Table1[[#This Row],[Category]],REF_Target!$A$1:$E$6,2,FALSE)</f>
        <v>35000</v>
      </c>
      <c r="R371">
        <f>Table1[[#This Row],[Quantity]]*Table1[[#This Row],[Unit_Price]]</f>
        <v>3787.68</v>
      </c>
      <c r="S371">
        <f>Table1[[#This Row],[Gross_Sales]]*Table1[[#This Row],[Discount_Rate]]</f>
        <v>757.53600000000006</v>
      </c>
      <c r="T371">
        <f>Table1[[#This Row],[Gross_Sales]]-Table1[[#This Row],[Discount_Amount]]</f>
        <v>3030.1439999999998</v>
      </c>
      <c r="U371">
        <f>VLOOKUP(Table1[[#This Row],[Category]],REF_Cost!$A$1:$B$6,2,FALSE)*Table1[[#This Row],[Quantity]]</f>
        <v>450</v>
      </c>
      <c r="V371">
        <f>Table1[[#This Row],[Net_Sales]]-Table1[[#This Row],[Total_Cost]]</f>
        <v>2580.1439999999998</v>
      </c>
      <c r="W371" t="str">
        <f>TEXT(Table1[[#This Row],[Order_Date]],"mmm")</f>
        <v>Jan</v>
      </c>
      <c r="X371">
        <f>ROUNDUP(MONTH(Table1[[#This Row],[Order_Date]])/3,0)</f>
        <v>1</v>
      </c>
      <c r="Y371">
        <f>YEAR(Table1[[#This Row],[Order_Date]])</f>
        <v>2024</v>
      </c>
    </row>
    <row r="372" spans="1:25" x14ac:dyDescent="0.25">
      <c r="A372" t="s">
        <v>1558</v>
      </c>
      <c r="B372" t="s">
        <v>1559</v>
      </c>
      <c r="C372" t="s">
        <v>1560</v>
      </c>
      <c r="D372" t="s">
        <v>1561</v>
      </c>
      <c r="E372" t="s">
        <v>78</v>
      </c>
      <c r="F372" t="s">
        <v>56</v>
      </c>
      <c r="G372" t="s">
        <v>95</v>
      </c>
      <c r="H372" t="s">
        <v>72</v>
      </c>
      <c r="I372" t="s">
        <v>33</v>
      </c>
      <c r="J372" t="s">
        <v>73</v>
      </c>
      <c r="K372">
        <v>2</v>
      </c>
      <c r="L372">
        <v>973.64</v>
      </c>
      <c r="M372" s="3">
        <v>0.05</v>
      </c>
      <c r="N372" t="str">
        <f>VLOOKUP(Table1[[#This Row],[Country]],REF_Country!$A$1:$D$11,2,FALSE)</f>
        <v>Oceania</v>
      </c>
      <c r="O372" t="str">
        <f>VLOOKUP(Table1[[#This Row],[Country]],REF_Country!$A$1:$D$11,3,FALSE)</f>
        <v>AU</v>
      </c>
      <c r="P372">
        <f>VLOOKUP(Table1[[#This Row],[Country]],REF_Country!$A$1:$D$11,4,FALSE)</f>
        <v>0.1</v>
      </c>
      <c r="Q372">
        <f>VLOOKUP(Table1[[#This Row],[Category]],REF_Target!$A$1:$E$6,2,FALSE)</f>
        <v>50000</v>
      </c>
      <c r="R372">
        <f>Table1[[#This Row],[Quantity]]*Table1[[#This Row],[Unit_Price]]</f>
        <v>1947.28</v>
      </c>
      <c r="S372">
        <f>Table1[[#This Row],[Gross_Sales]]*Table1[[#This Row],[Discount_Rate]]</f>
        <v>97.364000000000004</v>
      </c>
      <c r="T372">
        <f>Table1[[#This Row],[Gross_Sales]]-Table1[[#This Row],[Discount_Amount]]</f>
        <v>1849.9159999999999</v>
      </c>
      <c r="U372">
        <f>VLOOKUP(Table1[[#This Row],[Category]],REF_Cost!$A$1:$B$6,2,FALSE)*Table1[[#This Row],[Quantity]]</f>
        <v>900</v>
      </c>
      <c r="V372">
        <f>Table1[[#This Row],[Net_Sales]]-Table1[[#This Row],[Total_Cost]]</f>
        <v>949.91599999999994</v>
      </c>
      <c r="W372" t="str">
        <f>TEXT(Table1[[#This Row],[Order_Date]],"mmm")</f>
        <v>Jul</v>
      </c>
      <c r="X372">
        <f>ROUNDUP(MONTH(Table1[[#This Row],[Order_Date]])/3,0)</f>
        <v>3</v>
      </c>
      <c r="Y372">
        <f>YEAR(Table1[[#This Row],[Order_Date]])</f>
        <v>2024</v>
      </c>
    </row>
    <row r="373" spans="1:25" x14ac:dyDescent="0.25">
      <c r="A373" t="s">
        <v>1562</v>
      </c>
      <c r="B373" t="s">
        <v>1563</v>
      </c>
      <c r="C373" t="s">
        <v>1564</v>
      </c>
      <c r="D373" t="s">
        <v>1565</v>
      </c>
      <c r="E373" t="s">
        <v>116</v>
      </c>
      <c r="F373" t="s">
        <v>56</v>
      </c>
      <c r="G373" t="s">
        <v>111</v>
      </c>
      <c r="H373" t="s">
        <v>42</v>
      </c>
      <c r="I373" t="s">
        <v>33</v>
      </c>
      <c r="J373" t="s">
        <v>73</v>
      </c>
      <c r="K373">
        <v>10</v>
      </c>
      <c r="L373">
        <v>952.97</v>
      </c>
      <c r="M373" s="3">
        <v>0.15</v>
      </c>
      <c r="N373" t="str">
        <f>VLOOKUP(Table1[[#This Row],[Country]],REF_Country!$A$1:$D$11,2,FALSE)</f>
        <v>Southeast Asia</v>
      </c>
      <c r="O373" t="str">
        <f>VLOOKUP(Table1[[#This Row],[Country]],REF_Country!$A$1:$D$11,3,FALSE)</f>
        <v>MY</v>
      </c>
      <c r="P373">
        <f>VLOOKUP(Table1[[#This Row],[Country]],REF_Country!$A$1:$D$11,4,FALSE)</f>
        <v>0.06</v>
      </c>
      <c r="Q373">
        <f>VLOOKUP(Table1[[#This Row],[Category]],REF_Target!$A$1:$E$6,2,FALSE)</f>
        <v>50000</v>
      </c>
      <c r="R373">
        <f>Table1[[#This Row],[Quantity]]*Table1[[#This Row],[Unit_Price]]</f>
        <v>9529.7000000000007</v>
      </c>
      <c r="S373">
        <f>Table1[[#This Row],[Gross_Sales]]*Table1[[#This Row],[Discount_Rate]]</f>
        <v>1429.4550000000002</v>
      </c>
      <c r="T373">
        <f>Table1[[#This Row],[Gross_Sales]]-Table1[[#This Row],[Discount_Amount]]</f>
        <v>8100.2450000000008</v>
      </c>
      <c r="U373">
        <f>VLOOKUP(Table1[[#This Row],[Category]],REF_Cost!$A$1:$B$6,2,FALSE)*Table1[[#This Row],[Quantity]]</f>
        <v>4500</v>
      </c>
      <c r="V373">
        <f>Table1[[#This Row],[Net_Sales]]-Table1[[#This Row],[Total_Cost]]</f>
        <v>3600.2450000000008</v>
      </c>
      <c r="W373" t="str">
        <f>TEXT(Table1[[#This Row],[Order_Date]],"mmm")</f>
        <v>Nov</v>
      </c>
      <c r="X373">
        <f>ROUNDUP(MONTH(Table1[[#This Row],[Order_Date]])/3,0)</f>
        <v>4</v>
      </c>
      <c r="Y373">
        <f>YEAR(Table1[[#This Row],[Order_Date]])</f>
        <v>2024</v>
      </c>
    </row>
    <row r="374" spans="1:25" x14ac:dyDescent="0.25">
      <c r="A374" t="s">
        <v>1566</v>
      </c>
      <c r="B374" t="s">
        <v>1567</v>
      </c>
      <c r="C374" t="s">
        <v>1568</v>
      </c>
      <c r="D374" t="s">
        <v>1569</v>
      </c>
      <c r="E374" t="s">
        <v>78</v>
      </c>
      <c r="F374" t="s">
        <v>49</v>
      </c>
      <c r="G374" t="s">
        <v>286</v>
      </c>
      <c r="H374" t="s">
        <v>58</v>
      </c>
      <c r="I374" t="s">
        <v>43</v>
      </c>
      <c r="J374" t="s">
        <v>34</v>
      </c>
      <c r="K374">
        <v>4</v>
      </c>
      <c r="L374">
        <v>558.24</v>
      </c>
      <c r="M374" s="3">
        <v>0.15</v>
      </c>
      <c r="N374" t="str">
        <f>VLOOKUP(Table1[[#This Row],[Country]],REF_Country!$A$1:$D$11,2,FALSE)</f>
        <v>Oceania</v>
      </c>
      <c r="O374" t="str">
        <f>VLOOKUP(Table1[[#This Row],[Country]],REF_Country!$A$1:$D$11,3,FALSE)</f>
        <v>AU</v>
      </c>
      <c r="P374">
        <f>VLOOKUP(Table1[[#This Row],[Country]],REF_Country!$A$1:$D$11,4,FALSE)</f>
        <v>0.1</v>
      </c>
      <c r="Q374">
        <f>VLOOKUP(Table1[[#This Row],[Category]],REF_Target!$A$1:$E$6,2,FALSE)</f>
        <v>35000</v>
      </c>
      <c r="R374">
        <f>Table1[[#This Row],[Quantity]]*Table1[[#This Row],[Unit_Price]]</f>
        <v>2232.96</v>
      </c>
      <c r="S374">
        <f>Table1[[#This Row],[Gross_Sales]]*Table1[[#This Row],[Discount_Rate]]</f>
        <v>334.94400000000002</v>
      </c>
      <c r="T374">
        <f>Table1[[#This Row],[Gross_Sales]]-Table1[[#This Row],[Discount_Amount]]</f>
        <v>1898.0160000000001</v>
      </c>
      <c r="U374">
        <f>VLOOKUP(Table1[[#This Row],[Category]],REF_Cost!$A$1:$B$6,2,FALSE)*Table1[[#This Row],[Quantity]]</f>
        <v>600</v>
      </c>
      <c r="V374">
        <f>Table1[[#This Row],[Net_Sales]]-Table1[[#This Row],[Total_Cost]]</f>
        <v>1298.0160000000001</v>
      </c>
      <c r="W374" t="str">
        <f>TEXT(Table1[[#This Row],[Order_Date]],"mmm")</f>
        <v>Oct</v>
      </c>
      <c r="X374">
        <f>ROUNDUP(MONTH(Table1[[#This Row],[Order_Date]])/3,0)</f>
        <v>4</v>
      </c>
      <c r="Y374">
        <f>YEAR(Table1[[#This Row],[Order_Date]])</f>
        <v>2024</v>
      </c>
    </row>
    <row r="375" spans="1:25" x14ac:dyDescent="0.25">
      <c r="A375" t="s">
        <v>1570</v>
      </c>
      <c r="B375" t="s">
        <v>1571</v>
      </c>
      <c r="C375" t="s">
        <v>1572</v>
      </c>
      <c r="D375" t="s">
        <v>1573</v>
      </c>
      <c r="E375" t="s">
        <v>71</v>
      </c>
      <c r="F375" t="s">
        <v>40</v>
      </c>
      <c r="G375" t="s">
        <v>144</v>
      </c>
      <c r="H375" t="s">
        <v>72</v>
      </c>
      <c r="I375" t="s">
        <v>33</v>
      </c>
      <c r="J375" t="s">
        <v>73</v>
      </c>
      <c r="K375">
        <v>10</v>
      </c>
      <c r="L375">
        <v>999.08</v>
      </c>
      <c r="M375" s="3">
        <v>0.2</v>
      </c>
      <c r="N375" t="str">
        <f>VLOOKUP(Table1[[#This Row],[Country]],REF_Country!$A$1:$D$11,2,FALSE)</f>
        <v>Southeast Asia</v>
      </c>
      <c r="O375" t="str">
        <f>VLOOKUP(Table1[[#This Row],[Country]],REF_Country!$A$1:$D$11,3,FALSE)</f>
        <v>PH</v>
      </c>
      <c r="P375">
        <f>VLOOKUP(Table1[[#This Row],[Country]],REF_Country!$A$1:$D$11,4,FALSE)</f>
        <v>0.12</v>
      </c>
      <c r="Q375">
        <f>VLOOKUP(Table1[[#This Row],[Category]],REF_Target!$A$1:$E$6,2,FALSE)</f>
        <v>45000</v>
      </c>
      <c r="R375">
        <f>Table1[[#This Row],[Quantity]]*Table1[[#This Row],[Unit_Price]]</f>
        <v>9990.8000000000011</v>
      </c>
      <c r="S375">
        <f>Table1[[#This Row],[Gross_Sales]]*Table1[[#This Row],[Discount_Rate]]</f>
        <v>1998.1600000000003</v>
      </c>
      <c r="T375">
        <f>Table1[[#This Row],[Gross_Sales]]-Table1[[#This Row],[Discount_Amount]]</f>
        <v>7992.6400000000012</v>
      </c>
      <c r="U375">
        <f>VLOOKUP(Table1[[#This Row],[Category]],REF_Cost!$A$1:$B$6,2,FALSE)*Table1[[#This Row],[Quantity]]</f>
        <v>800</v>
      </c>
      <c r="V375">
        <f>Table1[[#This Row],[Net_Sales]]-Table1[[#This Row],[Total_Cost]]</f>
        <v>7192.6400000000012</v>
      </c>
      <c r="W375" t="str">
        <f>TEXT(Table1[[#This Row],[Order_Date]],"mmm")</f>
        <v>Sep</v>
      </c>
      <c r="X375">
        <f>ROUNDUP(MONTH(Table1[[#This Row],[Order_Date]])/3,0)</f>
        <v>3</v>
      </c>
      <c r="Y375">
        <f>YEAR(Table1[[#This Row],[Order_Date]])</f>
        <v>2024</v>
      </c>
    </row>
    <row r="376" spans="1:25" x14ac:dyDescent="0.25">
      <c r="A376" t="s">
        <v>1574</v>
      </c>
      <c r="B376" t="s">
        <v>1575</v>
      </c>
      <c r="C376" t="s">
        <v>1576</v>
      </c>
      <c r="D376" t="s">
        <v>1577</v>
      </c>
      <c r="E376" t="s">
        <v>83</v>
      </c>
      <c r="F376" t="s">
        <v>30</v>
      </c>
      <c r="G376" t="s">
        <v>195</v>
      </c>
      <c r="H376" t="s">
        <v>42</v>
      </c>
      <c r="I376" t="s">
        <v>43</v>
      </c>
      <c r="J376" t="s">
        <v>126</v>
      </c>
      <c r="K376">
        <v>1</v>
      </c>
      <c r="L376">
        <v>1409.68</v>
      </c>
      <c r="M376" s="3">
        <v>0</v>
      </c>
      <c r="N376" t="str">
        <f>VLOOKUP(Table1[[#This Row],[Country]],REF_Country!$A$1:$D$11,2,FALSE)</f>
        <v>South Asia</v>
      </c>
      <c r="O376" t="str">
        <f>VLOOKUP(Table1[[#This Row],[Country]],REF_Country!$A$1:$D$11,3,FALSE)</f>
        <v>IN</v>
      </c>
      <c r="P376">
        <f>VLOOKUP(Table1[[#This Row],[Country]],REF_Country!$A$1:$D$11,4,FALSE)</f>
        <v>0.18</v>
      </c>
      <c r="Q376">
        <f>VLOOKUP(Table1[[#This Row],[Category]],REF_Target!$A$1:$E$6,2,FALSE)</f>
        <v>40000</v>
      </c>
      <c r="R376">
        <f>Table1[[#This Row],[Quantity]]*Table1[[#This Row],[Unit_Price]]</f>
        <v>1409.68</v>
      </c>
      <c r="S376">
        <f>Table1[[#This Row],[Gross_Sales]]*Table1[[#This Row],[Discount_Rate]]</f>
        <v>0</v>
      </c>
      <c r="T376">
        <f>Table1[[#This Row],[Gross_Sales]]-Table1[[#This Row],[Discount_Amount]]</f>
        <v>1409.68</v>
      </c>
      <c r="U376">
        <f>VLOOKUP(Table1[[#This Row],[Category]],REF_Cost!$A$1:$B$6,2,FALSE)*Table1[[#This Row],[Quantity]]</f>
        <v>120</v>
      </c>
      <c r="V376">
        <f>Table1[[#This Row],[Net_Sales]]-Table1[[#This Row],[Total_Cost]]</f>
        <v>1289.68</v>
      </c>
      <c r="W376" t="str">
        <f>TEXT(Table1[[#This Row],[Order_Date]],"mmm")</f>
        <v>Mar</v>
      </c>
      <c r="X376">
        <f>ROUNDUP(MONTH(Table1[[#This Row],[Order_Date]])/3,0)</f>
        <v>1</v>
      </c>
      <c r="Y376">
        <f>YEAR(Table1[[#This Row],[Order_Date]])</f>
        <v>2024</v>
      </c>
    </row>
    <row r="377" spans="1:25" x14ac:dyDescent="0.25">
      <c r="A377" t="s">
        <v>1578</v>
      </c>
      <c r="B377" t="s">
        <v>1579</v>
      </c>
      <c r="C377" t="s">
        <v>1580</v>
      </c>
      <c r="D377" t="s">
        <v>1581</v>
      </c>
      <c r="E377" t="s">
        <v>39</v>
      </c>
      <c r="F377" t="s">
        <v>40</v>
      </c>
      <c r="G377" t="s">
        <v>315</v>
      </c>
      <c r="H377" t="s">
        <v>32</v>
      </c>
      <c r="I377" t="s">
        <v>66</v>
      </c>
      <c r="J377" t="s">
        <v>126</v>
      </c>
      <c r="K377">
        <v>8</v>
      </c>
      <c r="L377">
        <v>591.32000000000005</v>
      </c>
      <c r="M377" s="3">
        <v>0</v>
      </c>
      <c r="N377" t="str">
        <f>VLOOKUP(Table1[[#This Row],[Country]],REF_Country!$A$1:$D$11,2,FALSE)</f>
        <v>Southeast Asia</v>
      </c>
      <c r="O377" t="str">
        <f>VLOOKUP(Table1[[#This Row],[Country]],REF_Country!$A$1:$D$11,3,FALSE)</f>
        <v>TH</v>
      </c>
      <c r="P377">
        <f>VLOOKUP(Table1[[#This Row],[Country]],REF_Country!$A$1:$D$11,4,FALSE)</f>
        <v>7.0000000000000007E-2</v>
      </c>
      <c r="Q377">
        <f>VLOOKUP(Table1[[#This Row],[Category]],REF_Target!$A$1:$E$6,2,FALSE)</f>
        <v>45000</v>
      </c>
      <c r="R377">
        <f>Table1[[#This Row],[Quantity]]*Table1[[#This Row],[Unit_Price]]</f>
        <v>4730.5600000000004</v>
      </c>
      <c r="S377">
        <f>Table1[[#This Row],[Gross_Sales]]*Table1[[#This Row],[Discount_Rate]]</f>
        <v>0</v>
      </c>
      <c r="T377">
        <f>Table1[[#This Row],[Gross_Sales]]-Table1[[#This Row],[Discount_Amount]]</f>
        <v>4730.5600000000004</v>
      </c>
      <c r="U377">
        <f>VLOOKUP(Table1[[#This Row],[Category]],REF_Cost!$A$1:$B$6,2,FALSE)*Table1[[#This Row],[Quantity]]</f>
        <v>640</v>
      </c>
      <c r="V377">
        <f>Table1[[#This Row],[Net_Sales]]-Table1[[#This Row],[Total_Cost]]</f>
        <v>4090.5600000000004</v>
      </c>
      <c r="W377" t="str">
        <f>TEXT(Table1[[#This Row],[Order_Date]],"mmm")</f>
        <v>Jul</v>
      </c>
      <c r="X377">
        <f>ROUNDUP(MONTH(Table1[[#This Row],[Order_Date]])/3,0)</f>
        <v>3</v>
      </c>
      <c r="Y377">
        <f>YEAR(Table1[[#This Row],[Order_Date]])</f>
        <v>2024</v>
      </c>
    </row>
    <row r="378" spans="1:25" x14ac:dyDescent="0.25">
      <c r="A378" t="s">
        <v>1582</v>
      </c>
      <c r="B378" t="s">
        <v>1583</v>
      </c>
      <c r="C378" t="s">
        <v>1584</v>
      </c>
      <c r="D378" t="s">
        <v>1585</v>
      </c>
      <c r="E378" t="s">
        <v>29</v>
      </c>
      <c r="F378" t="s">
        <v>40</v>
      </c>
      <c r="G378" t="s">
        <v>41</v>
      </c>
      <c r="H378" t="s">
        <v>42</v>
      </c>
      <c r="I378" t="s">
        <v>66</v>
      </c>
      <c r="J378" t="s">
        <v>126</v>
      </c>
      <c r="K378">
        <v>7</v>
      </c>
      <c r="L378">
        <v>861.69</v>
      </c>
      <c r="M378" s="3">
        <v>0.2</v>
      </c>
      <c r="N378" t="str">
        <f>VLOOKUP(Table1[[#This Row],[Country]],REF_Country!$A$1:$D$11,2,FALSE)</f>
        <v>Southeast Asia</v>
      </c>
      <c r="O378" t="str">
        <f>VLOOKUP(Table1[[#This Row],[Country]],REF_Country!$A$1:$D$11,3,FALSE)</f>
        <v>VN</v>
      </c>
      <c r="P378">
        <f>VLOOKUP(Table1[[#This Row],[Country]],REF_Country!$A$1:$D$11,4,FALSE)</f>
        <v>0.1</v>
      </c>
      <c r="Q378">
        <f>VLOOKUP(Table1[[#This Row],[Category]],REF_Target!$A$1:$E$6,2,FALSE)</f>
        <v>45000</v>
      </c>
      <c r="R378">
        <f>Table1[[#This Row],[Quantity]]*Table1[[#This Row],[Unit_Price]]</f>
        <v>6031.83</v>
      </c>
      <c r="S378">
        <f>Table1[[#This Row],[Gross_Sales]]*Table1[[#This Row],[Discount_Rate]]</f>
        <v>1206.366</v>
      </c>
      <c r="T378">
        <f>Table1[[#This Row],[Gross_Sales]]-Table1[[#This Row],[Discount_Amount]]</f>
        <v>4825.4639999999999</v>
      </c>
      <c r="U378">
        <f>VLOOKUP(Table1[[#This Row],[Category]],REF_Cost!$A$1:$B$6,2,FALSE)*Table1[[#This Row],[Quantity]]</f>
        <v>560</v>
      </c>
      <c r="V378">
        <f>Table1[[#This Row],[Net_Sales]]-Table1[[#This Row],[Total_Cost]]</f>
        <v>4265.4639999999999</v>
      </c>
      <c r="W378" t="str">
        <f>TEXT(Table1[[#This Row],[Order_Date]],"mmm")</f>
        <v>Nov</v>
      </c>
      <c r="X378">
        <f>ROUNDUP(MONTH(Table1[[#This Row],[Order_Date]])/3,0)</f>
        <v>4</v>
      </c>
      <c r="Y378">
        <f>YEAR(Table1[[#This Row],[Order_Date]])</f>
        <v>2024</v>
      </c>
    </row>
    <row r="379" spans="1:25" x14ac:dyDescent="0.25">
      <c r="A379" t="s">
        <v>1586</v>
      </c>
      <c r="B379" t="s">
        <v>1587</v>
      </c>
      <c r="C379" t="s">
        <v>1588</v>
      </c>
      <c r="D379" t="s">
        <v>1589</v>
      </c>
      <c r="E379" t="s">
        <v>39</v>
      </c>
      <c r="F379" t="s">
        <v>40</v>
      </c>
      <c r="G379" t="s">
        <v>565</v>
      </c>
      <c r="H379" t="s">
        <v>42</v>
      </c>
      <c r="I379" t="s">
        <v>33</v>
      </c>
      <c r="J379" t="s">
        <v>126</v>
      </c>
      <c r="K379">
        <v>6</v>
      </c>
      <c r="L379">
        <v>539.04999999999995</v>
      </c>
      <c r="M379" s="3">
        <v>0.1</v>
      </c>
      <c r="N379" t="str">
        <f>VLOOKUP(Table1[[#This Row],[Country]],REF_Country!$A$1:$D$11,2,FALSE)</f>
        <v>Southeast Asia</v>
      </c>
      <c r="O379" t="str">
        <f>VLOOKUP(Table1[[#This Row],[Country]],REF_Country!$A$1:$D$11,3,FALSE)</f>
        <v>TH</v>
      </c>
      <c r="P379">
        <f>VLOOKUP(Table1[[#This Row],[Country]],REF_Country!$A$1:$D$11,4,FALSE)</f>
        <v>7.0000000000000007E-2</v>
      </c>
      <c r="Q379">
        <f>VLOOKUP(Table1[[#This Row],[Category]],REF_Target!$A$1:$E$6,2,FALSE)</f>
        <v>45000</v>
      </c>
      <c r="R379">
        <f>Table1[[#This Row],[Quantity]]*Table1[[#This Row],[Unit_Price]]</f>
        <v>3234.2999999999997</v>
      </c>
      <c r="S379">
        <f>Table1[[#This Row],[Gross_Sales]]*Table1[[#This Row],[Discount_Rate]]</f>
        <v>323.43</v>
      </c>
      <c r="T379">
        <f>Table1[[#This Row],[Gross_Sales]]-Table1[[#This Row],[Discount_Amount]]</f>
        <v>2910.87</v>
      </c>
      <c r="U379">
        <f>VLOOKUP(Table1[[#This Row],[Category]],REF_Cost!$A$1:$B$6,2,FALSE)*Table1[[#This Row],[Quantity]]</f>
        <v>480</v>
      </c>
      <c r="V379">
        <f>Table1[[#This Row],[Net_Sales]]-Table1[[#This Row],[Total_Cost]]</f>
        <v>2430.87</v>
      </c>
      <c r="W379" t="str">
        <f>TEXT(Table1[[#This Row],[Order_Date]],"mmm")</f>
        <v>May</v>
      </c>
      <c r="X379">
        <f>ROUNDUP(MONTH(Table1[[#This Row],[Order_Date]])/3,0)</f>
        <v>2</v>
      </c>
      <c r="Y379">
        <f>YEAR(Table1[[#This Row],[Order_Date]])</f>
        <v>2024</v>
      </c>
    </row>
    <row r="380" spans="1:25" x14ac:dyDescent="0.25">
      <c r="A380" t="s">
        <v>1590</v>
      </c>
      <c r="B380" t="s">
        <v>1591</v>
      </c>
      <c r="C380" t="s">
        <v>1592</v>
      </c>
      <c r="D380" t="s">
        <v>1593</v>
      </c>
      <c r="E380" t="s">
        <v>39</v>
      </c>
      <c r="F380" t="s">
        <v>56</v>
      </c>
      <c r="G380" t="s">
        <v>111</v>
      </c>
      <c r="H380" t="s">
        <v>72</v>
      </c>
      <c r="I380" t="s">
        <v>43</v>
      </c>
      <c r="J380" t="s">
        <v>59</v>
      </c>
      <c r="K380">
        <v>4</v>
      </c>
      <c r="L380">
        <v>970.56</v>
      </c>
      <c r="M380" s="3">
        <v>0</v>
      </c>
      <c r="N380" t="str">
        <f>VLOOKUP(Table1[[#This Row],[Country]],REF_Country!$A$1:$D$11,2,FALSE)</f>
        <v>Southeast Asia</v>
      </c>
      <c r="O380" t="str">
        <f>VLOOKUP(Table1[[#This Row],[Country]],REF_Country!$A$1:$D$11,3,FALSE)</f>
        <v>TH</v>
      </c>
      <c r="P380">
        <f>VLOOKUP(Table1[[#This Row],[Country]],REF_Country!$A$1:$D$11,4,FALSE)</f>
        <v>7.0000000000000007E-2</v>
      </c>
      <c r="Q380">
        <f>VLOOKUP(Table1[[#This Row],[Category]],REF_Target!$A$1:$E$6,2,FALSE)</f>
        <v>50000</v>
      </c>
      <c r="R380">
        <f>Table1[[#This Row],[Quantity]]*Table1[[#This Row],[Unit_Price]]</f>
        <v>3882.24</v>
      </c>
      <c r="S380">
        <f>Table1[[#This Row],[Gross_Sales]]*Table1[[#This Row],[Discount_Rate]]</f>
        <v>0</v>
      </c>
      <c r="T380">
        <f>Table1[[#This Row],[Gross_Sales]]-Table1[[#This Row],[Discount_Amount]]</f>
        <v>3882.24</v>
      </c>
      <c r="U380">
        <f>VLOOKUP(Table1[[#This Row],[Category]],REF_Cost!$A$1:$B$6,2,FALSE)*Table1[[#This Row],[Quantity]]</f>
        <v>1800</v>
      </c>
      <c r="V380">
        <f>Table1[[#This Row],[Net_Sales]]-Table1[[#This Row],[Total_Cost]]</f>
        <v>2082.2399999999998</v>
      </c>
      <c r="W380" t="str">
        <f>TEXT(Table1[[#This Row],[Order_Date]],"mmm")</f>
        <v>Mar</v>
      </c>
      <c r="X380">
        <f>ROUNDUP(MONTH(Table1[[#This Row],[Order_Date]])/3,0)</f>
        <v>1</v>
      </c>
      <c r="Y380">
        <f>YEAR(Table1[[#This Row],[Order_Date]])</f>
        <v>2024</v>
      </c>
    </row>
    <row r="381" spans="1:25" x14ac:dyDescent="0.25">
      <c r="A381" t="s">
        <v>1594</v>
      </c>
      <c r="B381" t="s">
        <v>1595</v>
      </c>
      <c r="C381" t="s">
        <v>1596</v>
      </c>
      <c r="D381" t="s">
        <v>1597</v>
      </c>
      <c r="E381" t="s">
        <v>149</v>
      </c>
      <c r="F381" t="s">
        <v>84</v>
      </c>
      <c r="G381" t="s">
        <v>205</v>
      </c>
      <c r="H381" t="s">
        <v>72</v>
      </c>
      <c r="I381" t="s">
        <v>33</v>
      </c>
      <c r="J381" t="s">
        <v>73</v>
      </c>
      <c r="K381">
        <v>8</v>
      </c>
      <c r="L381">
        <v>730.05</v>
      </c>
      <c r="M381" s="3">
        <v>0.1</v>
      </c>
      <c r="N381" t="str">
        <f>VLOOKUP(Table1[[#This Row],[Country]],REF_Country!$A$1:$D$11,2,FALSE)</f>
        <v>East Asia</v>
      </c>
      <c r="O381" t="str">
        <f>VLOOKUP(Table1[[#This Row],[Country]],REF_Country!$A$1:$D$11,3,FALSE)</f>
        <v>JP</v>
      </c>
      <c r="P381">
        <f>VLOOKUP(Table1[[#This Row],[Country]],REF_Country!$A$1:$D$11,4,FALSE)</f>
        <v>0.1</v>
      </c>
      <c r="Q381">
        <f>VLOOKUP(Table1[[#This Row],[Category]],REF_Target!$A$1:$E$6,2,FALSE)</f>
        <v>30000</v>
      </c>
      <c r="R381">
        <f>Table1[[#This Row],[Quantity]]*Table1[[#This Row],[Unit_Price]]</f>
        <v>5840.4</v>
      </c>
      <c r="S381">
        <f>Table1[[#This Row],[Gross_Sales]]*Table1[[#This Row],[Discount_Rate]]</f>
        <v>584.04</v>
      </c>
      <c r="T381">
        <f>Table1[[#This Row],[Gross_Sales]]-Table1[[#This Row],[Discount_Amount]]</f>
        <v>5256.36</v>
      </c>
      <c r="U381">
        <f>VLOOKUP(Table1[[#This Row],[Category]],REF_Cost!$A$1:$B$6,2,FALSE)*Table1[[#This Row],[Quantity]]</f>
        <v>1600</v>
      </c>
      <c r="V381">
        <f>Table1[[#This Row],[Net_Sales]]-Table1[[#This Row],[Total_Cost]]</f>
        <v>3656.3599999999997</v>
      </c>
      <c r="W381" t="str">
        <f>TEXT(Table1[[#This Row],[Order_Date]],"mmm")</f>
        <v>Mar</v>
      </c>
      <c r="X381">
        <f>ROUNDUP(MONTH(Table1[[#This Row],[Order_Date]])/3,0)</f>
        <v>1</v>
      </c>
      <c r="Y381">
        <f>YEAR(Table1[[#This Row],[Order_Date]])</f>
        <v>2024</v>
      </c>
    </row>
    <row r="382" spans="1:25" x14ac:dyDescent="0.25">
      <c r="A382" t="s">
        <v>1598</v>
      </c>
      <c r="B382" t="s">
        <v>1599</v>
      </c>
      <c r="C382" t="s">
        <v>1600</v>
      </c>
      <c r="D382" t="s">
        <v>1601</v>
      </c>
      <c r="E382" t="s">
        <v>64</v>
      </c>
      <c r="F382" t="s">
        <v>30</v>
      </c>
      <c r="G382" t="s">
        <v>139</v>
      </c>
      <c r="H382" t="s">
        <v>32</v>
      </c>
      <c r="I382" t="s">
        <v>33</v>
      </c>
      <c r="J382" t="s">
        <v>73</v>
      </c>
      <c r="K382">
        <v>3</v>
      </c>
      <c r="L382">
        <v>894.64</v>
      </c>
      <c r="M382" s="3">
        <v>0.2</v>
      </c>
      <c r="N382" t="str">
        <f>VLOOKUP(Table1[[#This Row],[Country]],REF_Country!$A$1:$D$11,2,FALSE)</f>
        <v>Southeast Asia</v>
      </c>
      <c r="O382" t="str">
        <f>VLOOKUP(Table1[[#This Row],[Country]],REF_Country!$A$1:$D$11,3,FALSE)</f>
        <v>ID</v>
      </c>
      <c r="P382">
        <f>VLOOKUP(Table1[[#This Row],[Country]],REF_Country!$A$1:$D$11,4,FALSE)</f>
        <v>0.11</v>
      </c>
      <c r="Q382">
        <f>VLOOKUP(Table1[[#This Row],[Category]],REF_Target!$A$1:$E$6,2,FALSE)</f>
        <v>40000</v>
      </c>
      <c r="R382">
        <f>Table1[[#This Row],[Quantity]]*Table1[[#This Row],[Unit_Price]]</f>
        <v>2683.92</v>
      </c>
      <c r="S382">
        <f>Table1[[#This Row],[Gross_Sales]]*Table1[[#This Row],[Discount_Rate]]</f>
        <v>536.78399999999999</v>
      </c>
      <c r="T382">
        <f>Table1[[#This Row],[Gross_Sales]]-Table1[[#This Row],[Discount_Amount]]</f>
        <v>2147.136</v>
      </c>
      <c r="U382">
        <f>VLOOKUP(Table1[[#This Row],[Category]],REF_Cost!$A$1:$B$6,2,FALSE)*Table1[[#This Row],[Quantity]]</f>
        <v>360</v>
      </c>
      <c r="V382">
        <f>Table1[[#This Row],[Net_Sales]]-Table1[[#This Row],[Total_Cost]]</f>
        <v>1787.136</v>
      </c>
      <c r="W382" t="str">
        <f>TEXT(Table1[[#This Row],[Order_Date]],"mmm")</f>
        <v>Jul</v>
      </c>
      <c r="X382">
        <f>ROUNDUP(MONTH(Table1[[#This Row],[Order_Date]])/3,0)</f>
        <v>3</v>
      </c>
      <c r="Y382">
        <f>YEAR(Table1[[#This Row],[Order_Date]])</f>
        <v>2024</v>
      </c>
    </row>
    <row r="383" spans="1:25" x14ac:dyDescent="0.25">
      <c r="A383" t="s">
        <v>1602</v>
      </c>
      <c r="B383" t="s">
        <v>1603</v>
      </c>
      <c r="C383" t="s">
        <v>1604</v>
      </c>
      <c r="D383" t="s">
        <v>1605</v>
      </c>
      <c r="E383" t="s">
        <v>48</v>
      </c>
      <c r="F383" t="s">
        <v>40</v>
      </c>
      <c r="G383" t="s">
        <v>565</v>
      </c>
      <c r="H383" t="s">
        <v>32</v>
      </c>
      <c r="I383" t="s">
        <v>66</v>
      </c>
      <c r="J383" t="s">
        <v>126</v>
      </c>
      <c r="K383">
        <v>10</v>
      </c>
      <c r="L383">
        <v>905.05</v>
      </c>
      <c r="M383" s="3">
        <v>0.2</v>
      </c>
      <c r="N383" t="str">
        <f>VLOOKUP(Table1[[#This Row],[Country]],REF_Country!$A$1:$D$11,2,FALSE)</f>
        <v>Southeast Asia</v>
      </c>
      <c r="O383" t="str">
        <f>VLOOKUP(Table1[[#This Row],[Country]],REF_Country!$A$1:$D$11,3,FALSE)</f>
        <v>SG</v>
      </c>
      <c r="P383">
        <f>VLOOKUP(Table1[[#This Row],[Country]],REF_Country!$A$1:$D$11,4,FALSE)</f>
        <v>7.0000000000000007E-2</v>
      </c>
      <c r="Q383">
        <f>VLOOKUP(Table1[[#This Row],[Category]],REF_Target!$A$1:$E$6,2,FALSE)</f>
        <v>45000</v>
      </c>
      <c r="R383">
        <f>Table1[[#This Row],[Quantity]]*Table1[[#This Row],[Unit_Price]]</f>
        <v>9050.5</v>
      </c>
      <c r="S383">
        <f>Table1[[#This Row],[Gross_Sales]]*Table1[[#This Row],[Discount_Rate]]</f>
        <v>1810.1000000000001</v>
      </c>
      <c r="T383">
        <f>Table1[[#This Row],[Gross_Sales]]-Table1[[#This Row],[Discount_Amount]]</f>
        <v>7240.4</v>
      </c>
      <c r="U383">
        <f>VLOOKUP(Table1[[#This Row],[Category]],REF_Cost!$A$1:$B$6,2,FALSE)*Table1[[#This Row],[Quantity]]</f>
        <v>800</v>
      </c>
      <c r="V383">
        <f>Table1[[#This Row],[Net_Sales]]-Table1[[#This Row],[Total_Cost]]</f>
        <v>6440.4</v>
      </c>
      <c r="W383" t="str">
        <f>TEXT(Table1[[#This Row],[Order_Date]],"mmm")</f>
        <v>Mar</v>
      </c>
      <c r="X383">
        <f>ROUNDUP(MONTH(Table1[[#This Row],[Order_Date]])/3,0)</f>
        <v>1</v>
      </c>
      <c r="Y383">
        <f>YEAR(Table1[[#This Row],[Order_Date]])</f>
        <v>2024</v>
      </c>
    </row>
    <row r="384" spans="1:25" x14ac:dyDescent="0.25">
      <c r="A384" t="s">
        <v>1606</v>
      </c>
      <c r="B384" t="s">
        <v>1607</v>
      </c>
      <c r="C384" t="s">
        <v>1608</v>
      </c>
      <c r="D384" t="s">
        <v>1609</v>
      </c>
      <c r="E384" t="s">
        <v>200</v>
      </c>
      <c r="F384" t="s">
        <v>30</v>
      </c>
      <c r="G384" t="s">
        <v>31</v>
      </c>
      <c r="H384" t="s">
        <v>72</v>
      </c>
      <c r="I384" t="s">
        <v>33</v>
      </c>
      <c r="J384" t="s">
        <v>59</v>
      </c>
      <c r="K384">
        <v>10</v>
      </c>
      <c r="L384">
        <v>1248.0899999999999</v>
      </c>
      <c r="M384" s="3">
        <v>0</v>
      </c>
      <c r="N384" t="str">
        <f>VLOOKUP(Table1[[#This Row],[Country]],REF_Country!$A$1:$D$11,2,FALSE)</f>
        <v>East Asia</v>
      </c>
      <c r="O384" t="str">
        <f>VLOOKUP(Table1[[#This Row],[Country]],REF_Country!$A$1:$D$11,3,FALSE)</f>
        <v>KR</v>
      </c>
      <c r="P384">
        <f>VLOOKUP(Table1[[#This Row],[Country]],REF_Country!$A$1:$D$11,4,FALSE)</f>
        <v>0.1</v>
      </c>
      <c r="Q384">
        <f>VLOOKUP(Table1[[#This Row],[Category]],REF_Target!$A$1:$E$6,2,FALSE)</f>
        <v>40000</v>
      </c>
      <c r="R384">
        <f>Table1[[#This Row],[Quantity]]*Table1[[#This Row],[Unit_Price]]</f>
        <v>12480.9</v>
      </c>
      <c r="S384">
        <f>Table1[[#This Row],[Gross_Sales]]*Table1[[#This Row],[Discount_Rate]]</f>
        <v>0</v>
      </c>
      <c r="T384">
        <f>Table1[[#This Row],[Gross_Sales]]-Table1[[#This Row],[Discount_Amount]]</f>
        <v>12480.9</v>
      </c>
      <c r="U384">
        <f>VLOOKUP(Table1[[#This Row],[Category]],REF_Cost!$A$1:$B$6,2,FALSE)*Table1[[#This Row],[Quantity]]</f>
        <v>1200</v>
      </c>
      <c r="V384">
        <f>Table1[[#This Row],[Net_Sales]]-Table1[[#This Row],[Total_Cost]]</f>
        <v>11280.9</v>
      </c>
      <c r="W384" t="str">
        <f>TEXT(Table1[[#This Row],[Order_Date]],"mmm")</f>
        <v>Aug</v>
      </c>
      <c r="X384">
        <f>ROUNDUP(MONTH(Table1[[#This Row],[Order_Date]])/3,0)</f>
        <v>3</v>
      </c>
      <c r="Y384">
        <f>YEAR(Table1[[#This Row],[Order_Date]])</f>
        <v>2024</v>
      </c>
    </row>
    <row r="385" spans="1:25" x14ac:dyDescent="0.25">
      <c r="A385" t="s">
        <v>1610</v>
      </c>
      <c r="B385" t="s">
        <v>1611</v>
      </c>
      <c r="C385" t="s">
        <v>1612</v>
      </c>
      <c r="D385" t="s">
        <v>1613</v>
      </c>
      <c r="E385" t="s">
        <v>200</v>
      </c>
      <c r="F385" t="s">
        <v>40</v>
      </c>
      <c r="G385" t="s">
        <v>41</v>
      </c>
      <c r="H385" t="s">
        <v>72</v>
      </c>
      <c r="I385" t="s">
        <v>51</v>
      </c>
      <c r="J385" t="s">
        <v>126</v>
      </c>
      <c r="K385">
        <v>7</v>
      </c>
      <c r="L385">
        <v>117.23</v>
      </c>
      <c r="M385" s="3">
        <v>0.1</v>
      </c>
      <c r="N385" t="str">
        <f>VLOOKUP(Table1[[#This Row],[Country]],REF_Country!$A$1:$D$11,2,FALSE)</f>
        <v>East Asia</v>
      </c>
      <c r="O385" t="str">
        <f>VLOOKUP(Table1[[#This Row],[Country]],REF_Country!$A$1:$D$11,3,FALSE)</f>
        <v>KR</v>
      </c>
      <c r="P385">
        <f>VLOOKUP(Table1[[#This Row],[Country]],REF_Country!$A$1:$D$11,4,FALSE)</f>
        <v>0.1</v>
      </c>
      <c r="Q385">
        <f>VLOOKUP(Table1[[#This Row],[Category]],REF_Target!$A$1:$E$6,2,FALSE)</f>
        <v>45000</v>
      </c>
      <c r="R385">
        <f>Table1[[#This Row],[Quantity]]*Table1[[#This Row],[Unit_Price]]</f>
        <v>820.61</v>
      </c>
      <c r="S385">
        <f>Table1[[#This Row],[Gross_Sales]]*Table1[[#This Row],[Discount_Rate]]</f>
        <v>82.061000000000007</v>
      </c>
      <c r="T385">
        <f>Table1[[#This Row],[Gross_Sales]]-Table1[[#This Row],[Discount_Amount]]</f>
        <v>738.54899999999998</v>
      </c>
      <c r="U385">
        <f>VLOOKUP(Table1[[#This Row],[Category]],REF_Cost!$A$1:$B$6,2,FALSE)*Table1[[#This Row],[Quantity]]</f>
        <v>560</v>
      </c>
      <c r="V385">
        <f>Table1[[#This Row],[Net_Sales]]-Table1[[#This Row],[Total_Cost]]</f>
        <v>178.54899999999998</v>
      </c>
      <c r="W385" t="str">
        <f>TEXT(Table1[[#This Row],[Order_Date]],"mmm")</f>
        <v>Dec</v>
      </c>
      <c r="X385">
        <f>ROUNDUP(MONTH(Table1[[#This Row],[Order_Date]])/3,0)</f>
        <v>4</v>
      </c>
      <c r="Y385">
        <f>YEAR(Table1[[#This Row],[Order_Date]])</f>
        <v>2024</v>
      </c>
    </row>
    <row r="386" spans="1:25" x14ac:dyDescent="0.25">
      <c r="A386" t="s">
        <v>1614</v>
      </c>
      <c r="B386" t="s">
        <v>1615</v>
      </c>
      <c r="C386" t="s">
        <v>1616</v>
      </c>
      <c r="D386" t="s">
        <v>1617</v>
      </c>
      <c r="E386" t="s">
        <v>149</v>
      </c>
      <c r="F386" t="s">
        <v>30</v>
      </c>
      <c r="G386" t="s">
        <v>139</v>
      </c>
      <c r="H386" t="s">
        <v>32</v>
      </c>
      <c r="I386" t="s">
        <v>33</v>
      </c>
      <c r="J386" t="s">
        <v>126</v>
      </c>
      <c r="K386">
        <v>8</v>
      </c>
      <c r="L386">
        <v>158</v>
      </c>
      <c r="M386" s="3">
        <v>0.15</v>
      </c>
      <c r="N386" t="str">
        <f>VLOOKUP(Table1[[#This Row],[Country]],REF_Country!$A$1:$D$11,2,FALSE)</f>
        <v>East Asia</v>
      </c>
      <c r="O386" t="str">
        <f>VLOOKUP(Table1[[#This Row],[Country]],REF_Country!$A$1:$D$11,3,FALSE)</f>
        <v>JP</v>
      </c>
      <c r="P386">
        <f>VLOOKUP(Table1[[#This Row],[Country]],REF_Country!$A$1:$D$11,4,FALSE)</f>
        <v>0.1</v>
      </c>
      <c r="Q386">
        <f>VLOOKUP(Table1[[#This Row],[Category]],REF_Target!$A$1:$E$6,2,FALSE)</f>
        <v>40000</v>
      </c>
      <c r="R386">
        <f>Table1[[#This Row],[Quantity]]*Table1[[#This Row],[Unit_Price]]</f>
        <v>1264</v>
      </c>
      <c r="S386">
        <f>Table1[[#This Row],[Gross_Sales]]*Table1[[#This Row],[Discount_Rate]]</f>
        <v>189.6</v>
      </c>
      <c r="T386">
        <f>Table1[[#This Row],[Gross_Sales]]-Table1[[#This Row],[Discount_Amount]]</f>
        <v>1074.4000000000001</v>
      </c>
      <c r="U386">
        <f>VLOOKUP(Table1[[#This Row],[Category]],REF_Cost!$A$1:$B$6,2,FALSE)*Table1[[#This Row],[Quantity]]</f>
        <v>960</v>
      </c>
      <c r="V386">
        <f>Table1[[#This Row],[Net_Sales]]-Table1[[#This Row],[Total_Cost]]</f>
        <v>114.40000000000009</v>
      </c>
      <c r="W386" t="str">
        <f>TEXT(Table1[[#This Row],[Order_Date]],"mmm")</f>
        <v>Sep</v>
      </c>
      <c r="X386">
        <f>ROUNDUP(MONTH(Table1[[#This Row],[Order_Date]])/3,0)</f>
        <v>3</v>
      </c>
      <c r="Y386">
        <f>YEAR(Table1[[#This Row],[Order_Date]])</f>
        <v>2024</v>
      </c>
    </row>
    <row r="387" spans="1:25" x14ac:dyDescent="0.25">
      <c r="A387" t="s">
        <v>1618</v>
      </c>
      <c r="B387" t="s">
        <v>1619</v>
      </c>
      <c r="C387" t="s">
        <v>1620</v>
      </c>
      <c r="D387" t="s">
        <v>1621</v>
      </c>
      <c r="E387" t="s">
        <v>83</v>
      </c>
      <c r="F387" t="s">
        <v>40</v>
      </c>
      <c r="G387" t="s">
        <v>144</v>
      </c>
      <c r="H387" t="s">
        <v>42</v>
      </c>
      <c r="I387" t="s">
        <v>66</v>
      </c>
      <c r="J387" t="s">
        <v>126</v>
      </c>
      <c r="K387">
        <v>7</v>
      </c>
      <c r="L387">
        <v>1347</v>
      </c>
      <c r="M387" s="3">
        <v>0.15</v>
      </c>
      <c r="N387" t="str">
        <f>VLOOKUP(Table1[[#This Row],[Country]],REF_Country!$A$1:$D$11,2,FALSE)</f>
        <v>South Asia</v>
      </c>
      <c r="O387" t="str">
        <f>VLOOKUP(Table1[[#This Row],[Country]],REF_Country!$A$1:$D$11,3,FALSE)</f>
        <v>IN</v>
      </c>
      <c r="P387">
        <f>VLOOKUP(Table1[[#This Row],[Country]],REF_Country!$A$1:$D$11,4,FALSE)</f>
        <v>0.18</v>
      </c>
      <c r="Q387">
        <f>VLOOKUP(Table1[[#This Row],[Category]],REF_Target!$A$1:$E$6,2,FALSE)</f>
        <v>45000</v>
      </c>
      <c r="R387">
        <f>Table1[[#This Row],[Quantity]]*Table1[[#This Row],[Unit_Price]]</f>
        <v>9429</v>
      </c>
      <c r="S387">
        <f>Table1[[#This Row],[Gross_Sales]]*Table1[[#This Row],[Discount_Rate]]</f>
        <v>1414.35</v>
      </c>
      <c r="T387">
        <f>Table1[[#This Row],[Gross_Sales]]-Table1[[#This Row],[Discount_Amount]]</f>
        <v>8014.65</v>
      </c>
      <c r="U387">
        <f>VLOOKUP(Table1[[#This Row],[Category]],REF_Cost!$A$1:$B$6,2,FALSE)*Table1[[#This Row],[Quantity]]</f>
        <v>560</v>
      </c>
      <c r="V387">
        <f>Table1[[#This Row],[Net_Sales]]-Table1[[#This Row],[Total_Cost]]</f>
        <v>7454.65</v>
      </c>
      <c r="W387" t="str">
        <f>TEXT(Table1[[#This Row],[Order_Date]],"mmm")</f>
        <v>Sep</v>
      </c>
      <c r="X387">
        <f>ROUNDUP(MONTH(Table1[[#This Row],[Order_Date]])/3,0)</f>
        <v>3</v>
      </c>
      <c r="Y387">
        <f>YEAR(Table1[[#This Row],[Order_Date]])</f>
        <v>2024</v>
      </c>
    </row>
    <row r="388" spans="1:25" x14ac:dyDescent="0.25">
      <c r="A388" t="s">
        <v>1622</v>
      </c>
      <c r="B388" t="s">
        <v>1623</v>
      </c>
      <c r="C388" t="s">
        <v>1624</v>
      </c>
      <c r="D388" t="s">
        <v>1625</v>
      </c>
      <c r="E388" t="s">
        <v>200</v>
      </c>
      <c r="F388" t="s">
        <v>49</v>
      </c>
      <c r="G388" t="s">
        <v>50</v>
      </c>
      <c r="H388" t="s">
        <v>42</v>
      </c>
      <c r="I388" t="s">
        <v>43</v>
      </c>
      <c r="J388" t="s">
        <v>59</v>
      </c>
      <c r="K388">
        <v>10</v>
      </c>
      <c r="L388">
        <v>889.74</v>
      </c>
      <c r="M388" s="3">
        <v>0</v>
      </c>
      <c r="N388" t="str">
        <f>VLOOKUP(Table1[[#This Row],[Country]],REF_Country!$A$1:$D$11,2,FALSE)</f>
        <v>East Asia</v>
      </c>
      <c r="O388" t="str">
        <f>VLOOKUP(Table1[[#This Row],[Country]],REF_Country!$A$1:$D$11,3,FALSE)</f>
        <v>KR</v>
      </c>
      <c r="P388">
        <f>VLOOKUP(Table1[[#This Row],[Country]],REF_Country!$A$1:$D$11,4,FALSE)</f>
        <v>0.1</v>
      </c>
      <c r="Q388">
        <f>VLOOKUP(Table1[[#This Row],[Category]],REF_Target!$A$1:$E$6,2,FALSE)</f>
        <v>35000</v>
      </c>
      <c r="R388">
        <f>Table1[[#This Row],[Quantity]]*Table1[[#This Row],[Unit_Price]]</f>
        <v>8897.4</v>
      </c>
      <c r="S388">
        <f>Table1[[#This Row],[Gross_Sales]]*Table1[[#This Row],[Discount_Rate]]</f>
        <v>0</v>
      </c>
      <c r="T388">
        <f>Table1[[#This Row],[Gross_Sales]]-Table1[[#This Row],[Discount_Amount]]</f>
        <v>8897.4</v>
      </c>
      <c r="U388">
        <f>VLOOKUP(Table1[[#This Row],[Category]],REF_Cost!$A$1:$B$6,2,FALSE)*Table1[[#This Row],[Quantity]]</f>
        <v>1500</v>
      </c>
      <c r="V388">
        <f>Table1[[#This Row],[Net_Sales]]-Table1[[#This Row],[Total_Cost]]</f>
        <v>7397.4</v>
      </c>
      <c r="W388" t="str">
        <f>TEXT(Table1[[#This Row],[Order_Date]],"mmm")</f>
        <v>Aug</v>
      </c>
      <c r="X388">
        <f>ROUNDUP(MONTH(Table1[[#This Row],[Order_Date]])/3,0)</f>
        <v>3</v>
      </c>
      <c r="Y388">
        <f>YEAR(Table1[[#This Row],[Order_Date]])</f>
        <v>2024</v>
      </c>
    </row>
    <row r="389" spans="1:25" x14ac:dyDescent="0.25">
      <c r="A389" t="s">
        <v>1626</v>
      </c>
      <c r="B389" t="s">
        <v>1627</v>
      </c>
      <c r="C389" t="s">
        <v>1628</v>
      </c>
      <c r="D389" t="s">
        <v>1629</v>
      </c>
      <c r="E389" t="s">
        <v>83</v>
      </c>
      <c r="F389" t="s">
        <v>40</v>
      </c>
      <c r="G389" t="s">
        <v>565</v>
      </c>
      <c r="H389" t="s">
        <v>32</v>
      </c>
      <c r="I389" t="s">
        <v>33</v>
      </c>
      <c r="J389" t="s">
        <v>126</v>
      </c>
      <c r="K389">
        <v>1</v>
      </c>
      <c r="L389">
        <v>397.84</v>
      </c>
      <c r="M389" s="3">
        <v>0.2</v>
      </c>
      <c r="N389" t="str">
        <f>VLOOKUP(Table1[[#This Row],[Country]],REF_Country!$A$1:$D$11,2,FALSE)</f>
        <v>South Asia</v>
      </c>
      <c r="O389" t="str">
        <f>VLOOKUP(Table1[[#This Row],[Country]],REF_Country!$A$1:$D$11,3,FALSE)</f>
        <v>IN</v>
      </c>
      <c r="P389">
        <f>VLOOKUP(Table1[[#This Row],[Country]],REF_Country!$A$1:$D$11,4,FALSE)</f>
        <v>0.18</v>
      </c>
      <c r="Q389">
        <f>VLOOKUP(Table1[[#This Row],[Category]],REF_Target!$A$1:$E$6,2,FALSE)</f>
        <v>45000</v>
      </c>
      <c r="R389">
        <f>Table1[[#This Row],[Quantity]]*Table1[[#This Row],[Unit_Price]]</f>
        <v>397.84</v>
      </c>
      <c r="S389">
        <f>Table1[[#This Row],[Gross_Sales]]*Table1[[#This Row],[Discount_Rate]]</f>
        <v>79.567999999999998</v>
      </c>
      <c r="T389">
        <f>Table1[[#This Row],[Gross_Sales]]-Table1[[#This Row],[Discount_Amount]]</f>
        <v>318.27199999999999</v>
      </c>
      <c r="U389">
        <f>VLOOKUP(Table1[[#This Row],[Category]],REF_Cost!$A$1:$B$6,2,FALSE)*Table1[[#This Row],[Quantity]]</f>
        <v>80</v>
      </c>
      <c r="V389">
        <f>Table1[[#This Row],[Net_Sales]]-Table1[[#This Row],[Total_Cost]]</f>
        <v>238.27199999999999</v>
      </c>
      <c r="W389" t="str">
        <f>TEXT(Table1[[#This Row],[Order_Date]],"mmm")</f>
        <v>Apr</v>
      </c>
      <c r="X389">
        <f>ROUNDUP(MONTH(Table1[[#This Row],[Order_Date]])/3,0)</f>
        <v>2</v>
      </c>
      <c r="Y389">
        <f>YEAR(Table1[[#This Row],[Order_Date]])</f>
        <v>2024</v>
      </c>
    </row>
    <row r="390" spans="1:25" x14ac:dyDescent="0.25">
      <c r="A390" t="s">
        <v>1630</v>
      </c>
      <c r="B390" t="s">
        <v>1631</v>
      </c>
      <c r="C390" t="s">
        <v>1632</v>
      </c>
      <c r="D390" t="s">
        <v>1633</v>
      </c>
      <c r="E390" t="s">
        <v>39</v>
      </c>
      <c r="F390" t="s">
        <v>84</v>
      </c>
      <c r="G390" t="s">
        <v>264</v>
      </c>
      <c r="H390" t="s">
        <v>58</v>
      </c>
      <c r="I390" t="s">
        <v>66</v>
      </c>
      <c r="J390" t="s">
        <v>34</v>
      </c>
      <c r="K390">
        <v>3</v>
      </c>
      <c r="L390">
        <v>552.97</v>
      </c>
      <c r="M390" s="3">
        <v>0.1</v>
      </c>
      <c r="N390" t="str">
        <f>VLOOKUP(Table1[[#This Row],[Country]],REF_Country!$A$1:$D$11,2,FALSE)</f>
        <v>Southeast Asia</v>
      </c>
      <c r="O390" t="str">
        <f>VLOOKUP(Table1[[#This Row],[Country]],REF_Country!$A$1:$D$11,3,FALSE)</f>
        <v>TH</v>
      </c>
      <c r="P390">
        <f>VLOOKUP(Table1[[#This Row],[Country]],REF_Country!$A$1:$D$11,4,FALSE)</f>
        <v>7.0000000000000007E-2</v>
      </c>
      <c r="Q390">
        <f>VLOOKUP(Table1[[#This Row],[Category]],REF_Target!$A$1:$E$6,2,FALSE)</f>
        <v>30000</v>
      </c>
      <c r="R390">
        <f>Table1[[#This Row],[Quantity]]*Table1[[#This Row],[Unit_Price]]</f>
        <v>1658.91</v>
      </c>
      <c r="S390">
        <f>Table1[[#This Row],[Gross_Sales]]*Table1[[#This Row],[Discount_Rate]]</f>
        <v>165.89100000000002</v>
      </c>
      <c r="T390">
        <f>Table1[[#This Row],[Gross_Sales]]-Table1[[#This Row],[Discount_Amount]]</f>
        <v>1493.019</v>
      </c>
      <c r="U390">
        <f>VLOOKUP(Table1[[#This Row],[Category]],REF_Cost!$A$1:$B$6,2,FALSE)*Table1[[#This Row],[Quantity]]</f>
        <v>600</v>
      </c>
      <c r="V390">
        <f>Table1[[#This Row],[Net_Sales]]-Table1[[#This Row],[Total_Cost]]</f>
        <v>893.01900000000001</v>
      </c>
      <c r="W390" t="str">
        <f>TEXT(Table1[[#This Row],[Order_Date]],"mmm")</f>
        <v>Jan</v>
      </c>
      <c r="X390">
        <f>ROUNDUP(MONTH(Table1[[#This Row],[Order_Date]])/3,0)</f>
        <v>1</v>
      </c>
      <c r="Y390">
        <f>YEAR(Table1[[#This Row],[Order_Date]])</f>
        <v>2024</v>
      </c>
    </row>
    <row r="391" spans="1:25" x14ac:dyDescent="0.25">
      <c r="A391" t="s">
        <v>1634</v>
      </c>
      <c r="B391" t="s">
        <v>1635</v>
      </c>
      <c r="C391" t="s">
        <v>1636</v>
      </c>
      <c r="D391" t="s">
        <v>1637</v>
      </c>
      <c r="E391" t="s">
        <v>149</v>
      </c>
      <c r="F391" t="s">
        <v>30</v>
      </c>
      <c r="G391" t="s">
        <v>195</v>
      </c>
      <c r="H391" t="s">
        <v>72</v>
      </c>
      <c r="I391" t="s">
        <v>66</v>
      </c>
      <c r="J391" t="s">
        <v>34</v>
      </c>
      <c r="K391">
        <v>9</v>
      </c>
      <c r="L391">
        <v>834.88</v>
      </c>
      <c r="M391" s="3">
        <v>0.1</v>
      </c>
      <c r="N391" t="str">
        <f>VLOOKUP(Table1[[#This Row],[Country]],REF_Country!$A$1:$D$11,2,FALSE)</f>
        <v>East Asia</v>
      </c>
      <c r="O391" t="str">
        <f>VLOOKUP(Table1[[#This Row],[Country]],REF_Country!$A$1:$D$11,3,FALSE)</f>
        <v>JP</v>
      </c>
      <c r="P391">
        <f>VLOOKUP(Table1[[#This Row],[Country]],REF_Country!$A$1:$D$11,4,FALSE)</f>
        <v>0.1</v>
      </c>
      <c r="Q391">
        <f>VLOOKUP(Table1[[#This Row],[Category]],REF_Target!$A$1:$E$6,2,FALSE)</f>
        <v>40000</v>
      </c>
      <c r="R391">
        <f>Table1[[#This Row],[Quantity]]*Table1[[#This Row],[Unit_Price]]</f>
        <v>7513.92</v>
      </c>
      <c r="S391">
        <f>Table1[[#This Row],[Gross_Sales]]*Table1[[#This Row],[Discount_Rate]]</f>
        <v>751.39200000000005</v>
      </c>
      <c r="T391">
        <f>Table1[[#This Row],[Gross_Sales]]-Table1[[#This Row],[Discount_Amount]]</f>
        <v>6762.5280000000002</v>
      </c>
      <c r="U391">
        <f>VLOOKUP(Table1[[#This Row],[Category]],REF_Cost!$A$1:$B$6,2,FALSE)*Table1[[#This Row],[Quantity]]</f>
        <v>1080</v>
      </c>
      <c r="V391">
        <f>Table1[[#This Row],[Net_Sales]]-Table1[[#This Row],[Total_Cost]]</f>
        <v>5682.5280000000002</v>
      </c>
      <c r="W391" t="str">
        <f>TEXT(Table1[[#This Row],[Order_Date]],"mmm")</f>
        <v>Jul</v>
      </c>
      <c r="X391">
        <f>ROUNDUP(MONTH(Table1[[#This Row],[Order_Date]])/3,0)</f>
        <v>3</v>
      </c>
      <c r="Y391">
        <f>YEAR(Table1[[#This Row],[Order_Date]])</f>
        <v>2024</v>
      </c>
    </row>
    <row r="392" spans="1:25" x14ac:dyDescent="0.25">
      <c r="A392" t="s">
        <v>1638</v>
      </c>
      <c r="B392" t="s">
        <v>1639</v>
      </c>
      <c r="C392" t="s">
        <v>1640</v>
      </c>
      <c r="D392" t="s">
        <v>1641</v>
      </c>
      <c r="E392" t="s">
        <v>149</v>
      </c>
      <c r="F392" t="s">
        <v>30</v>
      </c>
      <c r="G392" t="s">
        <v>269</v>
      </c>
      <c r="H392" t="s">
        <v>72</v>
      </c>
      <c r="I392" t="s">
        <v>51</v>
      </c>
      <c r="J392" t="s">
        <v>73</v>
      </c>
      <c r="K392">
        <v>8</v>
      </c>
      <c r="L392">
        <v>1125.5</v>
      </c>
      <c r="M392" s="3">
        <v>0.2</v>
      </c>
      <c r="N392" t="str">
        <f>VLOOKUP(Table1[[#This Row],[Country]],REF_Country!$A$1:$D$11,2,FALSE)</f>
        <v>East Asia</v>
      </c>
      <c r="O392" t="str">
        <f>VLOOKUP(Table1[[#This Row],[Country]],REF_Country!$A$1:$D$11,3,FALSE)</f>
        <v>JP</v>
      </c>
      <c r="P392">
        <f>VLOOKUP(Table1[[#This Row],[Country]],REF_Country!$A$1:$D$11,4,FALSE)</f>
        <v>0.1</v>
      </c>
      <c r="Q392">
        <f>VLOOKUP(Table1[[#This Row],[Category]],REF_Target!$A$1:$E$6,2,FALSE)</f>
        <v>40000</v>
      </c>
      <c r="R392">
        <f>Table1[[#This Row],[Quantity]]*Table1[[#This Row],[Unit_Price]]</f>
        <v>9004</v>
      </c>
      <c r="S392">
        <f>Table1[[#This Row],[Gross_Sales]]*Table1[[#This Row],[Discount_Rate]]</f>
        <v>1800.8000000000002</v>
      </c>
      <c r="T392">
        <f>Table1[[#This Row],[Gross_Sales]]-Table1[[#This Row],[Discount_Amount]]</f>
        <v>7203.2</v>
      </c>
      <c r="U392">
        <f>VLOOKUP(Table1[[#This Row],[Category]],REF_Cost!$A$1:$B$6,2,FALSE)*Table1[[#This Row],[Quantity]]</f>
        <v>960</v>
      </c>
      <c r="V392">
        <f>Table1[[#This Row],[Net_Sales]]-Table1[[#This Row],[Total_Cost]]</f>
        <v>6243.2</v>
      </c>
      <c r="W392" t="str">
        <f>TEXT(Table1[[#This Row],[Order_Date]],"mmm")</f>
        <v>Jun</v>
      </c>
      <c r="X392">
        <f>ROUNDUP(MONTH(Table1[[#This Row],[Order_Date]])/3,0)</f>
        <v>2</v>
      </c>
      <c r="Y392">
        <f>YEAR(Table1[[#This Row],[Order_Date]])</f>
        <v>2024</v>
      </c>
    </row>
    <row r="393" spans="1:25" x14ac:dyDescent="0.25">
      <c r="A393" t="s">
        <v>1642</v>
      </c>
      <c r="B393" t="s">
        <v>1643</v>
      </c>
      <c r="C393" t="s">
        <v>1644</v>
      </c>
      <c r="D393" t="s">
        <v>1645</v>
      </c>
      <c r="E393" t="s">
        <v>78</v>
      </c>
      <c r="F393" t="s">
        <v>40</v>
      </c>
      <c r="G393" t="s">
        <v>144</v>
      </c>
      <c r="H393" t="s">
        <v>72</v>
      </c>
      <c r="I393" t="s">
        <v>96</v>
      </c>
      <c r="J393" t="s">
        <v>34</v>
      </c>
      <c r="K393">
        <v>1</v>
      </c>
      <c r="L393">
        <v>253.7</v>
      </c>
      <c r="M393" s="3">
        <v>0</v>
      </c>
      <c r="N393" t="str">
        <f>VLOOKUP(Table1[[#This Row],[Country]],REF_Country!$A$1:$D$11,2,FALSE)</f>
        <v>Oceania</v>
      </c>
      <c r="O393" t="str">
        <f>VLOOKUP(Table1[[#This Row],[Country]],REF_Country!$A$1:$D$11,3,FALSE)</f>
        <v>AU</v>
      </c>
      <c r="P393">
        <f>VLOOKUP(Table1[[#This Row],[Country]],REF_Country!$A$1:$D$11,4,FALSE)</f>
        <v>0.1</v>
      </c>
      <c r="Q393">
        <f>VLOOKUP(Table1[[#This Row],[Category]],REF_Target!$A$1:$E$6,2,FALSE)</f>
        <v>45000</v>
      </c>
      <c r="R393">
        <f>Table1[[#This Row],[Quantity]]*Table1[[#This Row],[Unit_Price]]</f>
        <v>253.7</v>
      </c>
      <c r="S393">
        <f>Table1[[#This Row],[Gross_Sales]]*Table1[[#This Row],[Discount_Rate]]</f>
        <v>0</v>
      </c>
      <c r="T393">
        <f>Table1[[#This Row],[Gross_Sales]]-Table1[[#This Row],[Discount_Amount]]</f>
        <v>253.7</v>
      </c>
      <c r="U393">
        <f>VLOOKUP(Table1[[#This Row],[Category]],REF_Cost!$A$1:$B$6,2,FALSE)*Table1[[#This Row],[Quantity]]</f>
        <v>80</v>
      </c>
      <c r="V393">
        <f>Table1[[#This Row],[Net_Sales]]-Table1[[#This Row],[Total_Cost]]</f>
        <v>173.7</v>
      </c>
      <c r="W393" t="str">
        <f>TEXT(Table1[[#This Row],[Order_Date]],"mmm")</f>
        <v>Jul</v>
      </c>
      <c r="X393">
        <f>ROUNDUP(MONTH(Table1[[#This Row],[Order_Date]])/3,0)</f>
        <v>3</v>
      </c>
      <c r="Y393">
        <f>YEAR(Table1[[#This Row],[Order_Date]])</f>
        <v>2024</v>
      </c>
    </row>
    <row r="394" spans="1:25" x14ac:dyDescent="0.25">
      <c r="A394" t="s">
        <v>1646</v>
      </c>
      <c r="B394" t="s">
        <v>1647</v>
      </c>
      <c r="C394" t="s">
        <v>1648</v>
      </c>
      <c r="D394" t="s">
        <v>1649</v>
      </c>
      <c r="E394" t="s">
        <v>71</v>
      </c>
      <c r="F394" t="s">
        <v>56</v>
      </c>
      <c r="G394" t="s">
        <v>111</v>
      </c>
      <c r="H394" t="s">
        <v>58</v>
      </c>
      <c r="I394" t="s">
        <v>33</v>
      </c>
      <c r="J394" t="s">
        <v>126</v>
      </c>
      <c r="K394">
        <v>7</v>
      </c>
      <c r="L394">
        <v>71.069999999999993</v>
      </c>
      <c r="M394" s="3">
        <v>0.1</v>
      </c>
      <c r="N394" t="str">
        <f>VLOOKUP(Table1[[#This Row],[Country]],REF_Country!$A$1:$D$11,2,FALSE)</f>
        <v>Southeast Asia</v>
      </c>
      <c r="O394" t="str">
        <f>VLOOKUP(Table1[[#This Row],[Country]],REF_Country!$A$1:$D$11,3,FALSE)</f>
        <v>PH</v>
      </c>
      <c r="P394">
        <f>VLOOKUP(Table1[[#This Row],[Country]],REF_Country!$A$1:$D$11,4,FALSE)</f>
        <v>0.12</v>
      </c>
      <c r="Q394">
        <f>VLOOKUP(Table1[[#This Row],[Category]],REF_Target!$A$1:$E$6,2,FALSE)</f>
        <v>50000</v>
      </c>
      <c r="R394">
        <f>Table1[[#This Row],[Quantity]]*Table1[[#This Row],[Unit_Price]]</f>
        <v>497.48999999999995</v>
      </c>
      <c r="S394">
        <f>Table1[[#This Row],[Gross_Sales]]*Table1[[#This Row],[Discount_Rate]]</f>
        <v>49.748999999999995</v>
      </c>
      <c r="T394">
        <f>Table1[[#This Row],[Gross_Sales]]-Table1[[#This Row],[Discount_Amount]]</f>
        <v>447.74099999999999</v>
      </c>
      <c r="U394">
        <f>VLOOKUP(Table1[[#This Row],[Category]],REF_Cost!$A$1:$B$6,2,FALSE)*Table1[[#This Row],[Quantity]]</f>
        <v>3150</v>
      </c>
      <c r="V394">
        <f>Table1[[#This Row],[Net_Sales]]-Table1[[#This Row],[Total_Cost]]</f>
        <v>-2702.259</v>
      </c>
      <c r="W394" t="str">
        <f>TEXT(Table1[[#This Row],[Order_Date]],"mmm")</f>
        <v>Feb</v>
      </c>
      <c r="X394">
        <f>ROUNDUP(MONTH(Table1[[#This Row],[Order_Date]])/3,0)</f>
        <v>1</v>
      </c>
      <c r="Y394">
        <f>YEAR(Table1[[#This Row],[Order_Date]])</f>
        <v>2024</v>
      </c>
    </row>
    <row r="395" spans="1:25" x14ac:dyDescent="0.25">
      <c r="A395" t="s">
        <v>1650</v>
      </c>
      <c r="B395" t="s">
        <v>1651</v>
      </c>
      <c r="C395" t="s">
        <v>1652</v>
      </c>
      <c r="D395" t="s">
        <v>1653</v>
      </c>
      <c r="E395" t="s">
        <v>64</v>
      </c>
      <c r="F395" t="s">
        <v>30</v>
      </c>
      <c r="G395" t="s">
        <v>139</v>
      </c>
      <c r="H395" t="s">
        <v>72</v>
      </c>
      <c r="I395" t="s">
        <v>33</v>
      </c>
      <c r="J395" t="s">
        <v>73</v>
      </c>
      <c r="K395">
        <v>1</v>
      </c>
      <c r="L395">
        <v>439.72</v>
      </c>
      <c r="M395" s="3">
        <v>0.15</v>
      </c>
      <c r="N395" t="str">
        <f>VLOOKUP(Table1[[#This Row],[Country]],REF_Country!$A$1:$D$11,2,FALSE)</f>
        <v>Southeast Asia</v>
      </c>
      <c r="O395" t="str">
        <f>VLOOKUP(Table1[[#This Row],[Country]],REF_Country!$A$1:$D$11,3,FALSE)</f>
        <v>ID</v>
      </c>
      <c r="P395">
        <f>VLOOKUP(Table1[[#This Row],[Country]],REF_Country!$A$1:$D$11,4,FALSE)</f>
        <v>0.11</v>
      </c>
      <c r="Q395">
        <f>VLOOKUP(Table1[[#This Row],[Category]],REF_Target!$A$1:$E$6,2,FALSE)</f>
        <v>40000</v>
      </c>
      <c r="R395">
        <f>Table1[[#This Row],[Quantity]]*Table1[[#This Row],[Unit_Price]]</f>
        <v>439.72</v>
      </c>
      <c r="S395">
        <f>Table1[[#This Row],[Gross_Sales]]*Table1[[#This Row],[Discount_Rate]]</f>
        <v>65.957999999999998</v>
      </c>
      <c r="T395">
        <f>Table1[[#This Row],[Gross_Sales]]-Table1[[#This Row],[Discount_Amount]]</f>
        <v>373.76200000000006</v>
      </c>
      <c r="U395">
        <f>VLOOKUP(Table1[[#This Row],[Category]],REF_Cost!$A$1:$B$6,2,FALSE)*Table1[[#This Row],[Quantity]]</f>
        <v>120</v>
      </c>
      <c r="V395">
        <f>Table1[[#This Row],[Net_Sales]]-Table1[[#This Row],[Total_Cost]]</f>
        <v>253.76200000000006</v>
      </c>
      <c r="W395" t="str">
        <f>TEXT(Table1[[#This Row],[Order_Date]],"mmm")</f>
        <v>Nov</v>
      </c>
      <c r="X395">
        <f>ROUNDUP(MONTH(Table1[[#This Row],[Order_Date]])/3,0)</f>
        <v>4</v>
      </c>
      <c r="Y395">
        <f>YEAR(Table1[[#This Row],[Order_Date]])</f>
        <v>2024</v>
      </c>
    </row>
    <row r="396" spans="1:25" x14ac:dyDescent="0.25">
      <c r="A396" t="s">
        <v>1654</v>
      </c>
      <c r="B396" t="s">
        <v>1655</v>
      </c>
      <c r="C396" t="s">
        <v>1656</v>
      </c>
      <c r="D396" t="s">
        <v>1657</v>
      </c>
      <c r="E396" t="s">
        <v>64</v>
      </c>
      <c r="F396" t="s">
        <v>30</v>
      </c>
      <c r="G396" t="s">
        <v>269</v>
      </c>
      <c r="H396" t="s">
        <v>42</v>
      </c>
      <c r="I396" t="s">
        <v>96</v>
      </c>
      <c r="J396" t="s">
        <v>73</v>
      </c>
      <c r="K396">
        <v>7</v>
      </c>
      <c r="L396">
        <v>1495.27</v>
      </c>
      <c r="M396" s="3">
        <v>0.05</v>
      </c>
      <c r="N396" t="str">
        <f>VLOOKUP(Table1[[#This Row],[Country]],REF_Country!$A$1:$D$11,2,FALSE)</f>
        <v>Southeast Asia</v>
      </c>
      <c r="O396" t="str">
        <f>VLOOKUP(Table1[[#This Row],[Country]],REF_Country!$A$1:$D$11,3,FALSE)</f>
        <v>ID</v>
      </c>
      <c r="P396">
        <f>VLOOKUP(Table1[[#This Row],[Country]],REF_Country!$A$1:$D$11,4,FALSE)</f>
        <v>0.11</v>
      </c>
      <c r="Q396">
        <f>VLOOKUP(Table1[[#This Row],[Category]],REF_Target!$A$1:$E$6,2,FALSE)</f>
        <v>40000</v>
      </c>
      <c r="R396">
        <f>Table1[[#This Row],[Quantity]]*Table1[[#This Row],[Unit_Price]]</f>
        <v>10466.89</v>
      </c>
      <c r="S396">
        <f>Table1[[#This Row],[Gross_Sales]]*Table1[[#This Row],[Discount_Rate]]</f>
        <v>523.34450000000004</v>
      </c>
      <c r="T396">
        <f>Table1[[#This Row],[Gross_Sales]]-Table1[[#This Row],[Discount_Amount]]</f>
        <v>9943.5455000000002</v>
      </c>
      <c r="U396">
        <f>VLOOKUP(Table1[[#This Row],[Category]],REF_Cost!$A$1:$B$6,2,FALSE)*Table1[[#This Row],[Quantity]]</f>
        <v>840</v>
      </c>
      <c r="V396">
        <f>Table1[[#This Row],[Net_Sales]]-Table1[[#This Row],[Total_Cost]]</f>
        <v>9103.5455000000002</v>
      </c>
      <c r="W396" t="str">
        <f>TEXT(Table1[[#This Row],[Order_Date]],"mmm")</f>
        <v>Jan</v>
      </c>
      <c r="X396">
        <f>ROUNDUP(MONTH(Table1[[#This Row],[Order_Date]])/3,0)</f>
        <v>1</v>
      </c>
      <c r="Y396">
        <f>YEAR(Table1[[#This Row],[Order_Date]])</f>
        <v>2024</v>
      </c>
    </row>
    <row r="397" spans="1:25" x14ac:dyDescent="0.25">
      <c r="A397" t="s">
        <v>1658</v>
      </c>
      <c r="B397" t="s">
        <v>1659</v>
      </c>
      <c r="C397" t="s">
        <v>1660</v>
      </c>
      <c r="D397" t="s">
        <v>1661</v>
      </c>
      <c r="E397" t="s">
        <v>116</v>
      </c>
      <c r="F397" t="s">
        <v>56</v>
      </c>
      <c r="G397" t="s">
        <v>111</v>
      </c>
      <c r="H397" t="s">
        <v>58</v>
      </c>
      <c r="I397" t="s">
        <v>66</v>
      </c>
      <c r="J397" t="s">
        <v>59</v>
      </c>
      <c r="K397">
        <v>9</v>
      </c>
      <c r="L397">
        <v>437.47</v>
      </c>
      <c r="M397" s="3">
        <v>0.15</v>
      </c>
      <c r="N397" t="str">
        <f>VLOOKUP(Table1[[#This Row],[Country]],REF_Country!$A$1:$D$11,2,FALSE)</f>
        <v>Southeast Asia</v>
      </c>
      <c r="O397" t="str">
        <f>VLOOKUP(Table1[[#This Row],[Country]],REF_Country!$A$1:$D$11,3,FALSE)</f>
        <v>MY</v>
      </c>
      <c r="P397">
        <f>VLOOKUP(Table1[[#This Row],[Country]],REF_Country!$A$1:$D$11,4,FALSE)</f>
        <v>0.06</v>
      </c>
      <c r="Q397">
        <f>VLOOKUP(Table1[[#This Row],[Category]],REF_Target!$A$1:$E$6,2,FALSE)</f>
        <v>50000</v>
      </c>
      <c r="R397">
        <f>Table1[[#This Row],[Quantity]]*Table1[[#This Row],[Unit_Price]]</f>
        <v>3937.2300000000005</v>
      </c>
      <c r="S397">
        <f>Table1[[#This Row],[Gross_Sales]]*Table1[[#This Row],[Discount_Rate]]</f>
        <v>590.58450000000005</v>
      </c>
      <c r="T397">
        <f>Table1[[#This Row],[Gross_Sales]]-Table1[[#This Row],[Discount_Amount]]</f>
        <v>3346.6455000000005</v>
      </c>
      <c r="U397">
        <f>VLOOKUP(Table1[[#This Row],[Category]],REF_Cost!$A$1:$B$6,2,FALSE)*Table1[[#This Row],[Quantity]]</f>
        <v>4050</v>
      </c>
      <c r="V397">
        <f>Table1[[#This Row],[Net_Sales]]-Table1[[#This Row],[Total_Cost]]</f>
        <v>-703.35449999999946</v>
      </c>
      <c r="W397" t="str">
        <f>TEXT(Table1[[#This Row],[Order_Date]],"mmm")</f>
        <v>Jan</v>
      </c>
      <c r="X397">
        <f>ROUNDUP(MONTH(Table1[[#This Row],[Order_Date]])/3,0)</f>
        <v>1</v>
      </c>
      <c r="Y397">
        <f>YEAR(Table1[[#This Row],[Order_Date]])</f>
        <v>2024</v>
      </c>
    </row>
    <row r="398" spans="1:25" x14ac:dyDescent="0.25">
      <c r="A398" t="s">
        <v>1662</v>
      </c>
      <c r="B398" t="s">
        <v>1663</v>
      </c>
      <c r="C398" t="s">
        <v>1664</v>
      </c>
      <c r="D398" t="s">
        <v>1665</v>
      </c>
      <c r="E398" t="s">
        <v>149</v>
      </c>
      <c r="F398" t="s">
        <v>40</v>
      </c>
      <c r="G398" t="s">
        <v>144</v>
      </c>
      <c r="H398" t="s">
        <v>32</v>
      </c>
      <c r="I398" t="s">
        <v>33</v>
      </c>
      <c r="J398" t="s">
        <v>126</v>
      </c>
      <c r="K398">
        <v>7</v>
      </c>
      <c r="L398">
        <v>402.74</v>
      </c>
      <c r="M398" s="3">
        <v>0.15</v>
      </c>
      <c r="N398" t="str">
        <f>VLOOKUP(Table1[[#This Row],[Country]],REF_Country!$A$1:$D$11,2,FALSE)</f>
        <v>East Asia</v>
      </c>
      <c r="O398" t="str">
        <f>VLOOKUP(Table1[[#This Row],[Country]],REF_Country!$A$1:$D$11,3,FALSE)</f>
        <v>JP</v>
      </c>
      <c r="P398">
        <f>VLOOKUP(Table1[[#This Row],[Country]],REF_Country!$A$1:$D$11,4,FALSE)</f>
        <v>0.1</v>
      </c>
      <c r="Q398">
        <f>VLOOKUP(Table1[[#This Row],[Category]],REF_Target!$A$1:$E$6,2,FALSE)</f>
        <v>45000</v>
      </c>
      <c r="R398">
        <f>Table1[[#This Row],[Quantity]]*Table1[[#This Row],[Unit_Price]]</f>
        <v>2819.1800000000003</v>
      </c>
      <c r="S398">
        <f>Table1[[#This Row],[Gross_Sales]]*Table1[[#This Row],[Discount_Rate]]</f>
        <v>422.87700000000001</v>
      </c>
      <c r="T398">
        <f>Table1[[#This Row],[Gross_Sales]]-Table1[[#This Row],[Discount_Amount]]</f>
        <v>2396.3030000000003</v>
      </c>
      <c r="U398">
        <f>VLOOKUP(Table1[[#This Row],[Category]],REF_Cost!$A$1:$B$6,2,FALSE)*Table1[[#This Row],[Quantity]]</f>
        <v>560</v>
      </c>
      <c r="V398">
        <f>Table1[[#This Row],[Net_Sales]]-Table1[[#This Row],[Total_Cost]]</f>
        <v>1836.3030000000003</v>
      </c>
      <c r="W398" t="str">
        <f>TEXT(Table1[[#This Row],[Order_Date]],"mmm")</f>
        <v>Nov</v>
      </c>
      <c r="X398">
        <f>ROUNDUP(MONTH(Table1[[#This Row],[Order_Date]])/3,0)</f>
        <v>4</v>
      </c>
      <c r="Y398">
        <f>YEAR(Table1[[#This Row],[Order_Date]])</f>
        <v>2024</v>
      </c>
    </row>
    <row r="399" spans="1:25" x14ac:dyDescent="0.25">
      <c r="A399" t="s">
        <v>1666</v>
      </c>
      <c r="B399" t="s">
        <v>1667</v>
      </c>
      <c r="C399" t="s">
        <v>1668</v>
      </c>
      <c r="D399" t="s">
        <v>1669</v>
      </c>
      <c r="E399" t="s">
        <v>78</v>
      </c>
      <c r="F399" t="s">
        <v>84</v>
      </c>
      <c r="G399" t="s">
        <v>90</v>
      </c>
      <c r="H399" t="s">
        <v>42</v>
      </c>
      <c r="I399" t="s">
        <v>96</v>
      </c>
      <c r="J399" t="s">
        <v>34</v>
      </c>
      <c r="K399">
        <v>10</v>
      </c>
      <c r="L399">
        <v>1222.52</v>
      </c>
      <c r="M399" s="3">
        <v>0.05</v>
      </c>
      <c r="N399" t="str">
        <f>VLOOKUP(Table1[[#This Row],[Country]],REF_Country!$A$1:$D$11,2,FALSE)</f>
        <v>Oceania</v>
      </c>
      <c r="O399" t="str">
        <f>VLOOKUP(Table1[[#This Row],[Country]],REF_Country!$A$1:$D$11,3,FALSE)</f>
        <v>AU</v>
      </c>
      <c r="P399">
        <f>VLOOKUP(Table1[[#This Row],[Country]],REF_Country!$A$1:$D$11,4,FALSE)</f>
        <v>0.1</v>
      </c>
      <c r="Q399">
        <f>VLOOKUP(Table1[[#This Row],[Category]],REF_Target!$A$1:$E$6,2,FALSE)</f>
        <v>30000</v>
      </c>
      <c r="R399">
        <f>Table1[[#This Row],[Quantity]]*Table1[[#This Row],[Unit_Price]]</f>
        <v>12225.2</v>
      </c>
      <c r="S399">
        <f>Table1[[#This Row],[Gross_Sales]]*Table1[[#This Row],[Discount_Rate]]</f>
        <v>611.2600000000001</v>
      </c>
      <c r="T399">
        <f>Table1[[#This Row],[Gross_Sales]]-Table1[[#This Row],[Discount_Amount]]</f>
        <v>11613.94</v>
      </c>
      <c r="U399">
        <f>VLOOKUP(Table1[[#This Row],[Category]],REF_Cost!$A$1:$B$6,2,FALSE)*Table1[[#This Row],[Quantity]]</f>
        <v>2000</v>
      </c>
      <c r="V399">
        <f>Table1[[#This Row],[Net_Sales]]-Table1[[#This Row],[Total_Cost]]</f>
        <v>9613.94</v>
      </c>
      <c r="W399" t="str">
        <f>TEXT(Table1[[#This Row],[Order_Date]],"mmm")</f>
        <v>May</v>
      </c>
      <c r="X399">
        <f>ROUNDUP(MONTH(Table1[[#This Row],[Order_Date]])/3,0)</f>
        <v>2</v>
      </c>
      <c r="Y399">
        <f>YEAR(Table1[[#This Row],[Order_Date]])</f>
        <v>2024</v>
      </c>
    </row>
    <row r="400" spans="1:25" x14ac:dyDescent="0.25">
      <c r="A400" t="s">
        <v>1670</v>
      </c>
      <c r="B400" t="s">
        <v>1671</v>
      </c>
      <c r="C400" t="s">
        <v>1672</v>
      </c>
      <c r="D400" t="s">
        <v>1673</v>
      </c>
      <c r="E400" t="s">
        <v>200</v>
      </c>
      <c r="F400" t="s">
        <v>40</v>
      </c>
      <c r="G400" t="s">
        <v>144</v>
      </c>
      <c r="H400" t="s">
        <v>42</v>
      </c>
      <c r="I400" t="s">
        <v>43</v>
      </c>
      <c r="J400" t="s">
        <v>73</v>
      </c>
      <c r="K400">
        <v>5</v>
      </c>
      <c r="L400">
        <v>730.73</v>
      </c>
      <c r="M400" s="3">
        <v>0</v>
      </c>
      <c r="N400" t="str">
        <f>VLOOKUP(Table1[[#This Row],[Country]],REF_Country!$A$1:$D$11,2,FALSE)</f>
        <v>East Asia</v>
      </c>
      <c r="O400" t="str">
        <f>VLOOKUP(Table1[[#This Row],[Country]],REF_Country!$A$1:$D$11,3,FALSE)</f>
        <v>KR</v>
      </c>
      <c r="P400">
        <f>VLOOKUP(Table1[[#This Row],[Country]],REF_Country!$A$1:$D$11,4,FALSE)</f>
        <v>0.1</v>
      </c>
      <c r="Q400">
        <f>VLOOKUP(Table1[[#This Row],[Category]],REF_Target!$A$1:$E$6,2,FALSE)</f>
        <v>45000</v>
      </c>
      <c r="R400">
        <f>Table1[[#This Row],[Quantity]]*Table1[[#This Row],[Unit_Price]]</f>
        <v>3653.65</v>
      </c>
      <c r="S400">
        <f>Table1[[#This Row],[Gross_Sales]]*Table1[[#This Row],[Discount_Rate]]</f>
        <v>0</v>
      </c>
      <c r="T400">
        <f>Table1[[#This Row],[Gross_Sales]]-Table1[[#This Row],[Discount_Amount]]</f>
        <v>3653.65</v>
      </c>
      <c r="U400">
        <f>VLOOKUP(Table1[[#This Row],[Category]],REF_Cost!$A$1:$B$6,2,FALSE)*Table1[[#This Row],[Quantity]]</f>
        <v>400</v>
      </c>
      <c r="V400">
        <f>Table1[[#This Row],[Net_Sales]]-Table1[[#This Row],[Total_Cost]]</f>
        <v>3253.65</v>
      </c>
      <c r="W400" t="str">
        <f>TEXT(Table1[[#This Row],[Order_Date]],"mmm")</f>
        <v>Jun</v>
      </c>
      <c r="X400">
        <f>ROUNDUP(MONTH(Table1[[#This Row],[Order_Date]])/3,0)</f>
        <v>2</v>
      </c>
      <c r="Y400">
        <f>YEAR(Table1[[#This Row],[Order_Date]])</f>
        <v>2024</v>
      </c>
    </row>
    <row r="401" spans="1:25" x14ac:dyDescent="0.25">
      <c r="A401" t="s">
        <v>1674</v>
      </c>
      <c r="B401" t="s">
        <v>1675</v>
      </c>
      <c r="C401" t="s">
        <v>1676</v>
      </c>
      <c r="D401" t="s">
        <v>1677</v>
      </c>
      <c r="E401" t="s">
        <v>78</v>
      </c>
      <c r="F401" t="s">
        <v>56</v>
      </c>
      <c r="G401" t="s">
        <v>190</v>
      </c>
      <c r="H401" t="s">
        <v>58</v>
      </c>
      <c r="I401" t="s">
        <v>51</v>
      </c>
      <c r="J401" t="s">
        <v>73</v>
      </c>
      <c r="K401">
        <v>2</v>
      </c>
      <c r="L401">
        <v>383.66</v>
      </c>
      <c r="M401" s="3">
        <v>0.1</v>
      </c>
      <c r="N401" t="str">
        <f>VLOOKUP(Table1[[#This Row],[Country]],REF_Country!$A$1:$D$11,2,FALSE)</f>
        <v>Oceania</v>
      </c>
      <c r="O401" t="str">
        <f>VLOOKUP(Table1[[#This Row],[Country]],REF_Country!$A$1:$D$11,3,FALSE)</f>
        <v>AU</v>
      </c>
      <c r="P401">
        <f>VLOOKUP(Table1[[#This Row],[Country]],REF_Country!$A$1:$D$11,4,FALSE)</f>
        <v>0.1</v>
      </c>
      <c r="Q401">
        <f>VLOOKUP(Table1[[#This Row],[Category]],REF_Target!$A$1:$E$6,2,FALSE)</f>
        <v>50000</v>
      </c>
      <c r="R401">
        <f>Table1[[#This Row],[Quantity]]*Table1[[#This Row],[Unit_Price]]</f>
        <v>767.32</v>
      </c>
      <c r="S401">
        <f>Table1[[#This Row],[Gross_Sales]]*Table1[[#This Row],[Discount_Rate]]</f>
        <v>76.732000000000014</v>
      </c>
      <c r="T401">
        <f>Table1[[#This Row],[Gross_Sales]]-Table1[[#This Row],[Discount_Amount]]</f>
        <v>690.58800000000008</v>
      </c>
      <c r="U401">
        <f>VLOOKUP(Table1[[#This Row],[Category]],REF_Cost!$A$1:$B$6,2,FALSE)*Table1[[#This Row],[Quantity]]</f>
        <v>900</v>
      </c>
      <c r="V401">
        <f>Table1[[#This Row],[Net_Sales]]-Table1[[#This Row],[Total_Cost]]</f>
        <v>-209.41199999999992</v>
      </c>
      <c r="W401" t="str">
        <f>TEXT(Table1[[#This Row],[Order_Date]],"mmm")</f>
        <v>Jul</v>
      </c>
      <c r="X401">
        <f>ROUNDUP(MONTH(Table1[[#This Row],[Order_Date]])/3,0)</f>
        <v>3</v>
      </c>
      <c r="Y401">
        <f>YEAR(Table1[[#This Row],[Order_Date]])</f>
        <v>2024</v>
      </c>
    </row>
    <row r="402" spans="1:25" x14ac:dyDescent="0.25">
      <c r="A402" t="s">
        <v>1678</v>
      </c>
      <c r="B402" t="s">
        <v>1679</v>
      </c>
      <c r="C402" t="s">
        <v>1680</v>
      </c>
      <c r="D402" t="s">
        <v>1681</v>
      </c>
      <c r="E402" t="s">
        <v>83</v>
      </c>
      <c r="F402" t="s">
        <v>84</v>
      </c>
      <c r="G402" t="s">
        <v>85</v>
      </c>
      <c r="H402" t="s">
        <v>72</v>
      </c>
      <c r="I402" t="s">
        <v>43</v>
      </c>
      <c r="J402" t="s">
        <v>73</v>
      </c>
      <c r="K402">
        <v>4</v>
      </c>
      <c r="L402">
        <v>1421.47</v>
      </c>
      <c r="M402" s="3">
        <v>0.1</v>
      </c>
      <c r="N402" t="str">
        <f>VLOOKUP(Table1[[#This Row],[Country]],REF_Country!$A$1:$D$11,2,FALSE)</f>
        <v>South Asia</v>
      </c>
      <c r="O402" t="str">
        <f>VLOOKUP(Table1[[#This Row],[Country]],REF_Country!$A$1:$D$11,3,FALSE)</f>
        <v>IN</v>
      </c>
      <c r="P402">
        <f>VLOOKUP(Table1[[#This Row],[Country]],REF_Country!$A$1:$D$11,4,FALSE)</f>
        <v>0.18</v>
      </c>
      <c r="Q402">
        <f>VLOOKUP(Table1[[#This Row],[Category]],REF_Target!$A$1:$E$6,2,FALSE)</f>
        <v>30000</v>
      </c>
      <c r="R402">
        <f>Table1[[#This Row],[Quantity]]*Table1[[#This Row],[Unit_Price]]</f>
        <v>5685.88</v>
      </c>
      <c r="S402">
        <f>Table1[[#This Row],[Gross_Sales]]*Table1[[#This Row],[Discount_Rate]]</f>
        <v>568.58800000000008</v>
      </c>
      <c r="T402">
        <f>Table1[[#This Row],[Gross_Sales]]-Table1[[#This Row],[Discount_Amount]]</f>
        <v>5117.2920000000004</v>
      </c>
      <c r="U402">
        <f>VLOOKUP(Table1[[#This Row],[Category]],REF_Cost!$A$1:$B$6,2,FALSE)*Table1[[#This Row],[Quantity]]</f>
        <v>800</v>
      </c>
      <c r="V402">
        <f>Table1[[#This Row],[Net_Sales]]-Table1[[#This Row],[Total_Cost]]</f>
        <v>4317.2920000000004</v>
      </c>
      <c r="W402" t="str">
        <f>TEXT(Table1[[#This Row],[Order_Date]],"mmm")</f>
        <v>Jun</v>
      </c>
      <c r="X402">
        <f>ROUNDUP(MONTH(Table1[[#This Row],[Order_Date]])/3,0)</f>
        <v>2</v>
      </c>
      <c r="Y402">
        <f>YEAR(Table1[[#This Row],[Order_Date]])</f>
        <v>2024</v>
      </c>
    </row>
    <row r="403" spans="1:25" x14ac:dyDescent="0.25">
      <c r="A403" t="s">
        <v>1682</v>
      </c>
      <c r="B403" t="s">
        <v>1683</v>
      </c>
      <c r="C403" t="s">
        <v>1684</v>
      </c>
      <c r="D403" t="s">
        <v>1685</v>
      </c>
      <c r="E403" t="s">
        <v>39</v>
      </c>
      <c r="F403" t="s">
        <v>40</v>
      </c>
      <c r="G403" t="s">
        <v>315</v>
      </c>
      <c r="H403" t="s">
        <v>32</v>
      </c>
      <c r="I403" t="s">
        <v>96</v>
      </c>
      <c r="J403" t="s">
        <v>126</v>
      </c>
      <c r="K403">
        <v>2</v>
      </c>
      <c r="L403">
        <v>246.65</v>
      </c>
      <c r="M403" s="3">
        <v>0</v>
      </c>
      <c r="N403" t="str">
        <f>VLOOKUP(Table1[[#This Row],[Country]],REF_Country!$A$1:$D$11,2,FALSE)</f>
        <v>Southeast Asia</v>
      </c>
      <c r="O403" t="str">
        <f>VLOOKUP(Table1[[#This Row],[Country]],REF_Country!$A$1:$D$11,3,FALSE)</f>
        <v>TH</v>
      </c>
      <c r="P403">
        <f>VLOOKUP(Table1[[#This Row],[Country]],REF_Country!$A$1:$D$11,4,FALSE)</f>
        <v>7.0000000000000007E-2</v>
      </c>
      <c r="Q403">
        <f>VLOOKUP(Table1[[#This Row],[Category]],REF_Target!$A$1:$E$6,2,FALSE)</f>
        <v>45000</v>
      </c>
      <c r="R403">
        <f>Table1[[#This Row],[Quantity]]*Table1[[#This Row],[Unit_Price]]</f>
        <v>493.3</v>
      </c>
      <c r="S403">
        <f>Table1[[#This Row],[Gross_Sales]]*Table1[[#This Row],[Discount_Rate]]</f>
        <v>0</v>
      </c>
      <c r="T403">
        <f>Table1[[#This Row],[Gross_Sales]]-Table1[[#This Row],[Discount_Amount]]</f>
        <v>493.3</v>
      </c>
      <c r="U403">
        <f>VLOOKUP(Table1[[#This Row],[Category]],REF_Cost!$A$1:$B$6,2,FALSE)*Table1[[#This Row],[Quantity]]</f>
        <v>160</v>
      </c>
      <c r="V403">
        <f>Table1[[#This Row],[Net_Sales]]-Table1[[#This Row],[Total_Cost]]</f>
        <v>333.3</v>
      </c>
      <c r="W403" t="str">
        <f>TEXT(Table1[[#This Row],[Order_Date]],"mmm")</f>
        <v>Apr</v>
      </c>
      <c r="X403">
        <f>ROUNDUP(MONTH(Table1[[#This Row],[Order_Date]])/3,0)</f>
        <v>2</v>
      </c>
      <c r="Y403">
        <f>YEAR(Table1[[#This Row],[Order_Date]])</f>
        <v>2024</v>
      </c>
    </row>
    <row r="404" spans="1:25" x14ac:dyDescent="0.25">
      <c r="A404" t="s">
        <v>1686</v>
      </c>
      <c r="B404" t="s">
        <v>1687</v>
      </c>
      <c r="C404" t="s">
        <v>1688</v>
      </c>
      <c r="D404" t="s">
        <v>1689</v>
      </c>
      <c r="E404" t="s">
        <v>83</v>
      </c>
      <c r="F404" t="s">
        <v>84</v>
      </c>
      <c r="G404" t="s">
        <v>264</v>
      </c>
      <c r="H404" t="s">
        <v>42</v>
      </c>
      <c r="I404" t="s">
        <v>43</v>
      </c>
      <c r="J404" t="s">
        <v>59</v>
      </c>
      <c r="K404">
        <v>10</v>
      </c>
      <c r="L404">
        <v>1348.71</v>
      </c>
      <c r="M404" s="3">
        <v>0.05</v>
      </c>
      <c r="N404" t="str">
        <f>VLOOKUP(Table1[[#This Row],[Country]],REF_Country!$A$1:$D$11,2,FALSE)</f>
        <v>South Asia</v>
      </c>
      <c r="O404" t="str">
        <f>VLOOKUP(Table1[[#This Row],[Country]],REF_Country!$A$1:$D$11,3,FALSE)</f>
        <v>IN</v>
      </c>
      <c r="P404">
        <f>VLOOKUP(Table1[[#This Row],[Country]],REF_Country!$A$1:$D$11,4,FALSE)</f>
        <v>0.18</v>
      </c>
      <c r="Q404">
        <f>VLOOKUP(Table1[[#This Row],[Category]],REF_Target!$A$1:$E$6,2,FALSE)</f>
        <v>30000</v>
      </c>
      <c r="R404">
        <f>Table1[[#This Row],[Quantity]]*Table1[[#This Row],[Unit_Price]]</f>
        <v>13487.1</v>
      </c>
      <c r="S404">
        <f>Table1[[#This Row],[Gross_Sales]]*Table1[[#This Row],[Discount_Rate]]</f>
        <v>674.35500000000002</v>
      </c>
      <c r="T404">
        <f>Table1[[#This Row],[Gross_Sales]]-Table1[[#This Row],[Discount_Amount]]</f>
        <v>12812.745000000001</v>
      </c>
      <c r="U404">
        <f>VLOOKUP(Table1[[#This Row],[Category]],REF_Cost!$A$1:$B$6,2,FALSE)*Table1[[#This Row],[Quantity]]</f>
        <v>2000</v>
      </c>
      <c r="V404">
        <f>Table1[[#This Row],[Net_Sales]]-Table1[[#This Row],[Total_Cost]]</f>
        <v>10812.745000000001</v>
      </c>
      <c r="W404" t="str">
        <f>TEXT(Table1[[#This Row],[Order_Date]],"mmm")</f>
        <v>Jan</v>
      </c>
      <c r="X404">
        <f>ROUNDUP(MONTH(Table1[[#This Row],[Order_Date]])/3,0)</f>
        <v>1</v>
      </c>
      <c r="Y404">
        <f>YEAR(Table1[[#This Row],[Order_Date]])</f>
        <v>2024</v>
      </c>
    </row>
    <row r="405" spans="1:25" x14ac:dyDescent="0.25">
      <c r="A405" t="s">
        <v>1690</v>
      </c>
      <c r="B405" t="s">
        <v>1691</v>
      </c>
      <c r="C405" t="s">
        <v>1692</v>
      </c>
      <c r="D405" t="s">
        <v>1693</v>
      </c>
      <c r="E405" t="s">
        <v>64</v>
      </c>
      <c r="F405" t="s">
        <v>40</v>
      </c>
      <c r="G405" t="s">
        <v>565</v>
      </c>
      <c r="H405" t="s">
        <v>58</v>
      </c>
      <c r="I405" t="s">
        <v>96</v>
      </c>
      <c r="J405" t="s">
        <v>73</v>
      </c>
      <c r="K405">
        <v>9</v>
      </c>
      <c r="L405">
        <v>725.31</v>
      </c>
      <c r="M405" s="3">
        <v>0</v>
      </c>
      <c r="N405" t="str">
        <f>VLOOKUP(Table1[[#This Row],[Country]],REF_Country!$A$1:$D$11,2,FALSE)</f>
        <v>Southeast Asia</v>
      </c>
      <c r="O405" t="str">
        <f>VLOOKUP(Table1[[#This Row],[Country]],REF_Country!$A$1:$D$11,3,FALSE)</f>
        <v>ID</v>
      </c>
      <c r="P405">
        <f>VLOOKUP(Table1[[#This Row],[Country]],REF_Country!$A$1:$D$11,4,FALSE)</f>
        <v>0.11</v>
      </c>
      <c r="Q405">
        <f>VLOOKUP(Table1[[#This Row],[Category]],REF_Target!$A$1:$E$6,2,FALSE)</f>
        <v>45000</v>
      </c>
      <c r="R405">
        <f>Table1[[#This Row],[Quantity]]*Table1[[#This Row],[Unit_Price]]</f>
        <v>6527.7899999999991</v>
      </c>
      <c r="S405">
        <f>Table1[[#This Row],[Gross_Sales]]*Table1[[#This Row],[Discount_Rate]]</f>
        <v>0</v>
      </c>
      <c r="T405">
        <f>Table1[[#This Row],[Gross_Sales]]-Table1[[#This Row],[Discount_Amount]]</f>
        <v>6527.7899999999991</v>
      </c>
      <c r="U405">
        <f>VLOOKUP(Table1[[#This Row],[Category]],REF_Cost!$A$1:$B$6,2,FALSE)*Table1[[#This Row],[Quantity]]</f>
        <v>720</v>
      </c>
      <c r="V405">
        <f>Table1[[#This Row],[Net_Sales]]-Table1[[#This Row],[Total_Cost]]</f>
        <v>5807.7899999999991</v>
      </c>
      <c r="W405" t="str">
        <f>TEXT(Table1[[#This Row],[Order_Date]],"mmm")</f>
        <v>Apr</v>
      </c>
      <c r="X405">
        <f>ROUNDUP(MONTH(Table1[[#This Row],[Order_Date]])/3,0)</f>
        <v>2</v>
      </c>
      <c r="Y405">
        <f>YEAR(Table1[[#This Row],[Order_Date]])</f>
        <v>2024</v>
      </c>
    </row>
    <row r="406" spans="1:25" x14ac:dyDescent="0.25">
      <c r="A406" t="s">
        <v>1694</v>
      </c>
      <c r="B406" t="s">
        <v>1695</v>
      </c>
      <c r="C406" t="s">
        <v>1696</v>
      </c>
      <c r="D406" t="s">
        <v>1697</v>
      </c>
      <c r="E406" t="s">
        <v>200</v>
      </c>
      <c r="F406" t="s">
        <v>84</v>
      </c>
      <c r="G406" t="s">
        <v>205</v>
      </c>
      <c r="H406" t="s">
        <v>32</v>
      </c>
      <c r="I406" t="s">
        <v>66</v>
      </c>
      <c r="J406" t="s">
        <v>59</v>
      </c>
      <c r="K406">
        <v>4</v>
      </c>
      <c r="L406">
        <v>32.549999999999997</v>
      </c>
      <c r="M406" s="3">
        <v>0.1</v>
      </c>
      <c r="N406" t="str">
        <f>VLOOKUP(Table1[[#This Row],[Country]],REF_Country!$A$1:$D$11,2,FALSE)</f>
        <v>East Asia</v>
      </c>
      <c r="O406" t="str">
        <f>VLOOKUP(Table1[[#This Row],[Country]],REF_Country!$A$1:$D$11,3,FALSE)</f>
        <v>KR</v>
      </c>
      <c r="P406">
        <f>VLOOKUP(Table1[[#This Row],[Country]],REF_Country!$A$1:$D$11,4,FALSE)</f>
        <v>0.1</v>
      </c>
      <c r="Q406">
        <f>VLOOKUP(Table1[[#This Row],[Category]],REF_Target!$A$1:$E$6,2,FALSE)</f>
        <v>30000</v>
      </c>
      <c r="R406">
        <f>Table1[[#This Row],[Quantity]]*Table1[[#This Row],[Unit_Price]]</f>
        <v>130.19999999999999</v>
      </c>
      <c r="S406">
        <f>Table1[[#This Row],[Gross_Sales]]*Table1[[#This Row],[Discount_Rate]]</f>
        <v>13.02</v>
      </c>
      <c r="T406">
        <f>Table1[[#This Row],[Gross_Sales]]-Table1[[#This Row],[Discount_Amount]]</f>
        <v>117.17999999999999</v>
      </c>
      <c r="U406">
        <f>VLOOKUP(Table1[[#This Row],[Category]],REF_Cost!$A$1:$B$6,2,FALSE)*Table1[[#This Row],[Quantity]]</f>
        <v>800</v>
      </c>
      <c r="V406">
        <f>Table1[[#This Row],[Net_Sales]]-Table1[[#This Row],[Total_Cost]]</f>
        <v>-682.82</v>
      </c>
      <c r="W406" t="str">
        <f>TEXT(Table1[[#This Row],[Order_Date]],"mmm")</f>
        <v>Mar</v>
      </c>
      <c r="X406">
        <f>ROUNDUP(MONTH(Table1[[#This Row],[Order_Date]])/3,0)</f>
        <v>1</v>
      </c>
      <c r="Y406">
        <f>YEAR(Table1[[#This Row],[Order_Date]])</f>
        <v>2024</v>
      </c>
    </row>
    <row r="407" spans="1:25" x14ac:dyDescent="0.25">
      <c r="A407" t="s">
        <v>1698</v>
      </c>
      <c r="B407" t="s">
        <v>1699</v>
      </c>
      <c r="C407" t="s">
        <v>1700</v>
      </c>
      <c r="D407" t="s">
        <v>1701</v>
      </c>
      <c r="E407" t="s">
        <v>29</v>
      </c>
      <c r="F407" t="s">
        <v>30</v>
      </c>
      <c r="G407" t="s">
        <v>65</v>
      </c>
      <c r="H407" t="s">
        <v>58</v>
      </c>
      <c r="I407" t="s">
        <v>43</v>
      </c>
      <c r="J407" t="s">
        <v>34</v>
      </c>
      <c r="K407">
        <v>10</v>
      </c>
      <c r="L407">
        <v>714.95</v>
      </c>
      <c r="M407" s="3">
        <v>0.05</v>
      </c>
      <c r="N407" t="str">
        <f>VLOOKUP(Table1[[#This Row],[Country]],REF_Country!$A$1:$D$11,2,FALSE)</f>
        <v>Southeast Asia</v>
      </c>
      <c r="O407" t="str">
        <f>VLOOKUP(Table1[[#This Row],[Country]],REF_Country!$A$1:$D$11,3,FALSE)</f>
        <v>VN</v>
      </c>
      <c r="P407">
        <f>VLOOKUP(Table1[[#This Row],[Country]],REF_Country!$A$1:$D$11,4,FALSE)</f>
        <v>0.1</v>
      </c>
      <c r="Q407">
        <f>VLOOKUP(Table1[[#This Row],[Category]],REF_Target!$A$1:$E$6,2,FALSE)</f>
        <v>40000</v>
      </c>
      <c r="R407">
        <f>Table1[[#This Row],[Quantity]]*Table1[[#This Row],[Unit_Price]]</f>
        <v>7149.5</v>
      </c>
      <c r="S407">
        <f>Table1[[#This Row],[Gross_Sales]]*Table1[[#This Row],[Discount_Rate]]</f>
        <v>357.47500000000002</v>
      </c>
      <c r="T407">
        <f>Table1[[#This Row],[Gross_Sales]]-Table1[[#This Row],[Discount_Amount]]</f>
        <v>6792.0249999999996</v>
      </c>
      <c r="U407">
        <f>VLOOKUP(Table1[[#This Row],[Category]],REF_Cost!$A$1:$B$6,2,FALSE)*Table1[[#This Row],[Quantity]]</f>
        <v>1200</v>
      </c>
      <c r="V407">
        <f>Table1[[#This Row],[Net_Sales]]-Table1[[#This Row],[Total_Cost]]</f>
        <v>5592.0249999999996</v>
      </c>
      <c r="W407" t="str">
        <f>TEXT(Table1[[#This Row],[Order_Date]],"mmm")</f>
        <v>May</v>
      </c>
      <c r="X407">
        <f>ROUNDUP(MONTH(Table1[[#This Row],[Order_Date]])/3,0)</f>
        <v>2</v>
      </c>
      <c r="Y407">
        <f>YEAR(Table1[[#This Row],[Order_Date]])</f>
        <v>2024</v>
      </c>
    </row>
    <row r="408" spans="1:25" x14ac:dyDescent="0.25">
      <c r="A408" t="s">
        <v>1702</v>
      </c>
      <c r="B408" t="s">
        <v>1703</v>
      </c>
      <c r="C408" t="s">
        <v>1704</v>
      </c>
      <c r="D408" t="s">
        <v>1705</v>
      </c>
      <c r="E408" t="s">
        <v>71</v>
      </c>
      <c r="F408" t="s">
        <v>84</v>
      </c>
      <c r="G408" t="s">
        <v>264</v>
      </c>
      <c r="H408" t="s">
        <v>72</v>
      </c>
      <c r="I408" t="s">
        <v>33</v>
      </c>
      <c r="J408" t="s">
        <v>73</v>
      </c>
      <c r="K408">
        <v>3</v>
      </c>
      <c r="L408">
        <v>430.25</v>
      </c>
      <c r="M408" s="3">
        <v>0.15</v>
      </c>
      <c r="N408" t="str">
        <f>VLOOKUP(Table1[[#This Row],[Country]],REF_Country!$A$1:$D$11,2,FALSE)</f>
        <v>Southeast Asia</v>
      </c>
      <c r="O408" t="str">
        <f>VLOOKUP(Table1[[#This Row],[Country]],REF_Country!$A$1:$D$11,3,FALSE)</f>
        <v>PH</v>
      </c>
      <c r="P408">
        <f>VLOOKUP(Table1[[#This Row],[Country]],REF_Country!$A$1:$D$11,4,FALSE)</f>
        <v>0.12</v>
      </c>
      <c r="Q408">
        <f>VLOOKUP(Table1[[#This Row],[Category]],REF_Target!$A$1:$E$6,2,FALSE)</f>
        <v>30000</v>
      </c>
      <c r="R408">
        <f>Table1[[#This Row],[Quantity]]*Table1[[#This Row],[Unit_Price]]</f>
        <v>1290.75</v>
      </c>
      <c r="S408">
        <f>Table1[[#This Row],[Gross_Sales]]*Table1[[#This Row],[Discount_Rate]]</f>
        <v>193.61249999999998</v>
      </c>
      <c r="T408">
        <f>Table1[[#This Row],[Gross_Sales]]-Table1[[#This Row],[Discount_Amount]]</f>
        <v>1097.1375</v>
      </c>
      <c r="U408">
        <f>VLOOKUP(Table1[[#This Row],[Category]],REF_Cost!$A$1:$B$6,2,FALSE)*Table1[[#This Row],[Quantity]]</f>
        <v>600</v>
      </c>
      <c r="V408">
        <f>Table1[[#This Row],[Net_Sales]]-Table1[[#This Row],[Total_Cost]]</f>
        <v>497.13750000000005</v>
      </c>
      <c r="W408" t="str">
        <f>TEXT(Table1[[#This Row],[Order_Date]],"mmm")</f>
        <v>Apr</v>
      </c>
      <c r="X408">
        <f>ROUNDUP(MONTH(Table1[[#This Row],[Order_Date]])/3,0)</f>
        <v>2</v>
      </c>
      <c r="Y408">
        <f>YEAR(Table1[[#This Row],[Order_Date]])</f>
        <v>2024</v>
      </c>
    </row>
    <row r="409" spans="1:25" x14ac:dyDescent="0.25">
      <c r="A409" t="s">
        <v>1706</v>
      </c>
      <c r="B409" t="s">
        <v>1707</v>
      </c>
      <c r="C409" t="s">
        <v>1708</v>
      </c>
      <c r="D409" t="s">
        <v>1709</v>
      </c>
      <c r="E409" t="s">
        <v>149</v>
      </c>
      <c r="F409" t="s">
        <v>49</v>
      </c>
      <c r="G409" t="s">
        <v>286</v>
      </c>
      <c r="H409" t="s">
        <v>32</v>
      </c>
      <c r="I409" t="s">
        <v>43</v>
      </c>
      <c r="J409" t="s">
        <v>34</v>
      </c>
      <c r="K409">
        <v>3</v>
      </c>
      <c r="L409">
        <v>231.58</v>
      </c>
      <c r="M409" s="3">
        <v>0.1</v>
      </c>
      <c r="N409" t="str">
        <f>VLOOKUP(Table1[[#This Row],[Country]],REF_Country!$A$1:$D$11,2,FALSE)</f>
        <v>East Asia</v>
      </c>
      <c r="O409" t="str">
        <f>VLOOKUP(Table1[[#This Row],[Country]],REF_Country!$A$1:$D$11,3,FALSE)</f>
        <v>JP</v>
      </c>
      <c r="P409">
        <f>VLOOKUP(Table1[[#This Row],[Country]],REF_Country!$A$1:$D$11,4,FALSE)</f>
        <v>0.1</v>
      </c>
      <c r="Q409">
        <f>VLOOKUP(Table1[[#This Row],[Category]],REF_Target!$A$1:$E$6,2,FALSE)</f>
        <v>35000</v>
      </c>
      <c r="R409">
        <f>Table1[[#This Row],[Quantity]]*Table1[[#This Row],[Unit_Price]]</f>
        <v>694.74</v>
      </c>
      <c r="S409">
        <f>Table1[[#This Row],[Gross_Sales]]*Table1[[#This Row],[Discount_Rate]]</f>
        <v>69.474000000000004</v>
      </c>
      <c r="T409">
        <f>Table1[[#This Row],[Gross_Sales]]-Table1[[#This Row],[Discount_Amount]]</f>
        <v>625.26599999999996</v>
      </c>
      <c r="U409">
        <f>VLOOKUP(Table1[[#This Row],[Category]],REF_Cost!$A$1:$B$6,2,FALSE)*Table1[[#This Row],[Quantity]]</f>
        <v>450</v>
      </c>
      <c r="V409">
        <f>Table1[[#This Row],[Net_Sales]]-Table1[[#This Row],[Total_Cost]]</f>
        <v>175.26599999999996</v>
      </c>
      <c r="W409" t="str">
        <f>TEXT(Table1[[#This Row],[Order_Date]],"mmm")</f>
        <v>May</v>
      </c>
      <c r="X409">
        <f>ROUNDUP(MONTH(Table1[[#This Row],[Order_Date]])/3,0)</f>
        <v>2</v>
      </c>
      <c r="Y409">
        <f>YEAR(Table1[[#This Row],[Order_Date]])</f>
        <v>2024</v>
      </c>
    </row>
    <row r="410" spans="1:25" x14ac:dyDescent="0.25">
      <c r="A410" t="s">
        <v>1710</v>
      </c>
      <c r="B410" t="s">
        <v>1711</v>
      </c>
      <c r="C410" t="s">
        <v>1712</v>
      </c>
      <c r="D410" t="s">
        <v>1713</v>
      </c>
      <c r="E410" t="s">
        <v>78</v>
      </c>
      <c r="F410" t="s">
        <v>84</v>
      </c>
      <c r="G410" t="s">
        <v>264</v>
      </c>
      <c r="H410" t="s">
        <v>32</v>
      </c>
      <c r="I410" t="s">
        <v>96</v>
      </c>
      <c r="J410" t="s">
        <v>126</v>
      </c>
      <c r="K410">
        <v>9</v>
      </c>
      <c r="L410">
        <v>460.55</v>
      </c>
      <c r="M410" s="3">
        <v>0.15</v>
      </c>
      <c r="N410" t="str">
        <f>VLOOKUP(Table1[[#This Row],[Country]],REF_Country!$A$1:$D$11,2,FALSE)</f>
        <v>Oceania</v>
      </c>
      <c r="O410" t="str">
        <f>VLOOKUP(Table1[[#This Row],[Country]],REF_Country!$A$1:$D$11,3,FALSE)</f>
        <v>AU</v>
      </c>
      <c r="P410">
        <f>VLOOKUP(Table1[[#This Row],[Country]],REF_Country!$A$1:$D$11,4,FALSE)</f>
        <v>0.1</v>
      </c>
      <c r="Q410">
        <f>VLOOKUP(Table1[[#This Row],[Category]],REF_Target!$A$1:$E$6,2,FALSE)</f>
        <v>30000</v>
      </c>
      <c r="R410">
        <f>Table1[[#This Row],[Quantity]]*Table1[[#This Row],[Unit_Price]]</f>
        <v>4144.95</v>
      </c>
      <c r="S410">
        <f>Table1[[#This Row],[Gross_Sales]]*Table1[[#This Row],[Discount_Rate]]</f>
        <v>621.74249999999995</v>
      </c>
      <c r="T410">
        <f>Table1[[#This Row],[Gross_Sales]]-Table1[[#This Row],[Discount_Amount]]</f>
        <v>3523.2075</v>
      </c>
      <c r="U410">
        <f>VLOOKUP(Table1[[#This Row],[Category]],REF_Cost!$A$1:$B$6,2,FALSE)*Table1[[#This Row],[Quantity]]</f>
        <v>1800</v>
      </c>
      <c r="V410">
        <f>Table1[[#This Row],[Net_Sales]]-Table1[[#This Row],[Total_Cost]]</f>
        <v>1723.2075</v>
      </c>
      <c r="W410" t="str">
        <f>TEXT(Table1[[#This Row],[Order_Date]],"mmm")</f>
        <v>Mar</v>
      </c>
      <c r="X410">
        <f>ROUNDUP(MONTH(Table1[[#This Row],[Order_Date]])/3,0)</f>
        <v>1</v>
      </c>
      <c r="Y410">
        <f>YEAR(Table1[[#This Row],[Order_Date]])</f>
        <v>2024</v>
      </c>
    </row>
    <row r="411" spans="1:25" x14ac:dyDescent="0.25">
      <c r="A411" t="s">
        <v>1714</v>
      </c>
      <c r="B411" t="s">
        <v>1715</v>
      </c>
      <c r="C411" t="s">
        <v>1716</v>
      </c>
      <c r="D411" t="s">
        <v>1717</v>
      </c>
      <c r="E411" t="s">
        <v>29</v>
      </c>
      <c r="F411" t="s">
        <v>49</v>
      </c>
      <c r="G411" t="s">
        <v>117</v>
      </c>
      <c r="H411" t="s">
        <v>58</v>
      </c>
      <c r="I411" t="s">
        <v>66</v>
      </c>
      <c r="J411" t="s">
        <v>59</v>
      </c>
      <c r="K411">
        <v>6</v>
      </c>
      <c r="L411">
        <v>683.03</v>
      </c>
      <c r="M411" s="3">
        <v>0.05</v>
      </c>
      <c r="N411" t="str">
        <f>VLOOKUP(Table1[[#This Row],[Country]],REF_Country!$A$1:$D$11,2,FALSE)</f>
        <v>Southeast Asia</v>
      </c>
      <c r="O411" t="str">
        <f>VLOOKUP(Table1[[#This Row],[Country]],REF_Country!$A$1:$D$11,3,FALSE)</f>
        <v>VN</v>
      </c>
      <c r="P411">
        <f>VLOOKUP(Table1[[#This Row],[Country]],REF_Country!$A$1:$D$11,4,FALSE)</f>
        <v>0.1</v>
      </c>
      <c r="Q411">
        <f>VLOOKUP(Table1[[#This Row],[Category]],REF_Target!$A$1:$E$6,2,FALSE)</f>
        <v>35000</v>
      </c>
      <c r="R411">
        <f>Table1[[#This Row],[Quantity]]*Table1[[#This Row],[Unit_Price]]</f>
        <v>4098.18</v>
      </c>
      <c r="S411">
        <f>Table1[[#This Row],[Gross_Sales]]*Table1[[#This Row],[Discount_Rate]]</f>
        <v>204.90900000000002</v>
      </c>
      <c r="T411">
        <f>Table1[[#This Row],[Gross_Sales]]-Table1[[#This Row],[Discount_Amount]]</f>
        <v>3893.2710000000002</v>
      </c>
      <c r="U411">
        <f>VLOOKUP(Table1[[#This Row],[Category]],REF_Cost!$A$1:$B$6,2,FALSE)*Table1[[#This Row],[Quantity]]</f>
        <v>900</v>
      </c>
      <c r="V411">
        <f>Table1[[#This Row],[Net_Sales]]-Table1[[#This Row],[Total_Cost]]</f>
        <v>2993.2710000000002</v>
      </c>
      <c r="W411" t="str">
        <f>TEXT(Table1[[#This Row],[Order_Date]],"mmm")</f>
        <v>Jan</v>
      </c>
      <c r="X411">
        <f>ROUNDUP(MONTH(Table1[[#This Row],[Order_Date]])/3,0)</f>
        <v>1</v>
      </c>
      <c r="Y411">
        <f>YEAR(Table1[[#This Row],[Order_Date]])</f>
        <v>2024</v>
      </c>
    </row>
    <row r="412" spans="1:25" x14ac:dyDescent="0.25">
      <c r="A412" t="s">
        <v>1718</v>
      </c>
      <c r="B412" t="s">
        <v>1719</v>
      </c>
      <c r="C412" t="s">
        <v>1720</v>
      </c>
      <c r="D412" t="s">
        <v>1721</v>
      </c>
      <c r="E412" t="s">
        <v>71</v>
      </c>
      <c r="F412" t="s">
        <v>40</v>
      </c>
      <c r="G412" t="s">
        <v>106</v>
      </c>
      <c r="H412" t="s">
        <v>58</v>
      </c>
      <c r="I412" t="s">
        <v>66</v>
      </c>
      <c r="J412" t="s">
        <v>59</v>
      </c>
      <c r="K412">
        <v>9</v>
      </c>
      <c r="L412">
        <v>871.63</v>
      </c>
      <c r="M412" s="3">
        <v>0</v>
      </c>
      <c r="N412" t="str">
        <f>VLOOKUP(Table1[[#This Row],[Country]],REF_Country!$A$1:$D$11,2,FALSE)</f>
        <v>Southeast Asia</v>
      </c>
      <c r="O412" t="str">
        <f>VLOOKUP(Table1[[#This Row],[Country]],REF_Country!$A$1:$D$11,3,FALSE)</f>
        <v>PH</v>
      </c>
      <c r="P412">
        <f>VLOOKUP(Table1[[#This Row],[Country]],REF_Country!$A$1:$D$11,4,FALSE)</f>
        <v>0.12</v>
      </c>
      <c r="Q412">
        <f>VLOOKUP(Table1[[#This Row],[Category]],REF_Target!$A$1:$E$6,2,FALSE)</f>
        <v>45000</v>
      </c>
      <c r="R412">
        <f>Table1[[#This Row],[Quantity]]*Table1[[#This Row],[Unit_Price]]</f>
        <v>7844.67</v>
      </c>
      <c r="S412">
        <f>Table1[[#This Row],[Gross_Sales]]*Table1[[#This Row],[Discount_Rate]]</f>
        <v>0</v>
      </c>
      <c r="T412">
        <f>Table1[[#This Row],[Gross_Sales]]-Table1[[#This Row],[Discount_Amount]]</f>
        <v>7844.67</v>
      </c>
      <c r="U412">
        <f>VLOOKUP(Table1[[#This Row],[Category]],REF_Cost!$A$1:$B$6,2,FALSE)*Table1[[#This Row],[Quantity]]</f>
        <v>720</v>
      </c>
      <c r="V412">
        <f>Table1[[#This Row],[Net_Sales]]-Table1[[#This Row],[Total_Cost]]</f>
        <v>7124.67</v>
      </c>
      <c r="W412" t="str">
        <f>TEXT(Table1[[#This Row],[Order_Date]],"mmm")</f>
        <v>Jan</v>
      </c>
      <c r="X412">
        <f>ROUNDUP(MONTH(Table1[[#This Row],[Order_Date]])/3,0)</f>
        <v>1</v>
      </c>
      <c r="Y412">
        <f>YEAR(Table1[[#This Row],[Order_Date]])</f>
        <v>2024</v>
      </c>
    </row>
    <row r="413" spans="1:25" x14ac:dyDescent="0.25">
      <c r="A413" t="s">
        <v>1722</v>
      </c>
      <c r="B413" t="s">
        <v>1723</v>
      </c>
      <c r="C413" t="s">
        <v>1724</v>
      </c>
      <c r="D413" t="s">
        <v>1725</v>
      </c>
      <c r="E413" t="s">
        <v>200</v>
      </c>
      <c r="F413" t="s">
        <v>56</v>
      </c>
      <c r="G413" t="s">
        <v>57</v>
      </c>
      <c r="H413" t="s">
        <v>72</v>
      </c>
      <c r="I413" t="s">
        <v>43</v>
      </c>
      <c r="J413" t="s">
        <v>59</v>
      </c>
      <c r="K413">
        <v>8</v>
      </c>
      <c r="L413">
        <v>926.29</v>
      </c>
      <c r="M413" s="3">
        <v>0.2</v>
      </c>
      <c r="N413" t="str">
        <f>VLOOKUP(Table1[[#This Row],[Country]],REF_Country!$A$1:$D$11,2,FALSE)</f>
        <v>East Asia</v>
      </c>
      <c r="O413" t="str">
        <f>VLOOKUP(Table1[[#This Row],[Country]],REF_Country!$A$1:$D$11,3,FALSE)</f>
        <v>KR</v>
      </c>
      <c r="P413">
        <f>VLOOKUP(Table1[[#This Row],[Country]],REF_Country!$A$1:$D$11,4,FALSE)</f>
        <v>0.1</v>
      </c>
      <c r="Q413">
        <f>VLOOKUP(Table1[[#This Row],[Category]],REF_Target!$A$1:$E$6,2,FALSE)</f>
        <v>50000</v>
      </c>
      <c r="R413">
        <f>Table1[[#This Row],[Quantity]]*Table1[[#This Row],[Unit_Price]]</f>
        <v>7410.32</v>
      </c>
      <c r="S413">
        <f>Table1[[#This Row],[Gross_Sales]]*Table1[[#This Row],[Discount_Rate]]</f>
        <v>1482.0640000000001</v>
      </c>
      <c r="T413">
        <f>Table1[[#This Row],[Gross_Sales]]-Table1[[#This Row],[Discount_Amount]]</f>
        <v>5928.2559999999994</v>
      </c>
      <c r="U413">
        <f>VLOOKUP(Table1[[#This Row],[Category]],REF_Cost!$A$1:$B$6,2,FALSE)*Table1[[#This Row],[Quantity]]</f>
        <v>3600</v>
      </c>
      <c r="V413">
        <f>Table1[[#This Row],[Net_Sales]]-Table1[[#This Row],[Total_Cost]]</f>
        <v>2328.2559999999994</v>
      </c>
      <c r="W413" t="str">
        <f>TEXT(Table1[[#This Row],[Order_Date]],"mmm")</f>
        <v>Sep</v>
      </c>
      <c r="X413">
        <f>ROUNDUP(MONTH(Table1[[#This Row],[Order_Date]])/3,0)</f>
        <v>3</v>
      </c>
      <c r="Y413">
        <f>YEAR(Table1[[#This Row],[Order_Date]])</f>
        <v>2024</v>
      </c>
    </row>
    <row r="414" spans="1:25" x14ac:dyDescent="0.25">
      <c r="A414" t="s">
        <v>1726</v>
      </c>
      <c r="B414" t="s">
        <v>1727</v>
      </c>
      <c r="C414" t="s">
        <v>1728</v>
      </c>
      <c r="D414" t="s">
        <v>1729</v>
      </c>
      <c r="E414" t="s">
        <v>149</v>
      </c>
      <c r="F414" t="s">
        <v>56</v>
      </c>
      <c r="G414" t="s">
        <v>101</v>
      </c>
      <c r="H414" t="s">
        <v>58</v>
      </c>
      <c r="I414" t="s">
        <v>66</v>
      </c>
      <c r="J414" t="s">
        <v>59</v>
      </c>
      <c r="K414">
        <v>4</v>
      </c>
      <c r="L414">
        <v>255.57</v>
      </c>
      <c r="M414" s="3">
        <v>0.05</v>
      </c>
      <c r="N414" t="str">
        <f>VLOOKUP(Table1[[#This Row],[Country]],REF_Country!$A$1:$D$11,2,FALSE)</f>
        <v>East Asia</v>
      </c>
      <c r="O414" t="str">
        <f>VLOOKUP(Table1[[#This Row],[Country]],REF_Country!$A$1:$D$11,3,FALSE)</f>
        <v>JP</v>
      </c>
      <c r="P414">
        <f>VLOOKUP(Table1[[#This Row],[Country]],REF_Country!$A$1:$D$11,4,FALSE)</f>
        <v>0.1</v>
      </c>
      <c r="Q414">
        <f>VLOOKUP(Table1[[#This Row],[Category]],REF_Target!$A$1:$E$6,2,FALSE)</f>
        <v>50000</v>
      </c>
      <c r="R414">
        <f>Table1[[#This Row],[Quantity]]*Table1[[#This Row],[Unit_Price]]</f>
        <v>1022.28</v>
      </c>
      <c r="S414">
        <f>Table1[[#This Row],[Gross_Sales]]*Table1[[#This Row],[Discount_Rate]]</f>
        <v>51.114000000000004</v>
      </c>
      <c r="T414">
        <f>Table1[[#This Row],[Gross_Sales]]-Table1[[#This Row],[Discount_Amount]]</f>
        <v>971.16599999999994</v>
      </c>
      <c r="U414">
        <f>VLOOKUP(Table1[[#This Row],[Category]],REF_Cost!$A$1:$B$6,2,FALSE)*Table1[[#This Row],[Quantity]]</f>
        <v>1800</v>
      </c>
      <c r="V414">
        <f>Table1[[#This Row],[Net_Sales]]-Table1[[#This Row],[Total_Cost]]</f>
        <v>-828.83400000000006</v>
      </c>
      <c r="W414" t="str">
        <f>TEXT(Table1[[#This Row],[Order_Date]],"mmm")</f>
        <v>Nov</v>
      </c>
      <c r="X414">
        <f>ROUNDUP(MONTH(Table1[[#This Row],[Order_Date]])/3,0)</f>
        <v>4</v>
      </c>
      <c r="Y414">
        <f>YEAR(Table1[[#This Row],[Order_Date]])</f>
        <v>2024</v>
      </c>
    </row>
    <row r="415" spans="1:25" x14ac:dyDescent="0.25">
      <c r="A415" t="s">
        <v>1730</v>
      </c>
      <c r="B415" t="s">
        <v>1731</v>
      </c>
      <c r="C415" t="s">
        <v>1732</v>
      </c>
      <c r="D415" t="s">
        <v>1733</v>
      </c>
      <c r="E415" t="s">
        <v>200</v>
      </c>
      <c r="F415" t="s">
        <v>84</v>
      </c>
      <c r="G415" t="s">
        <v>90</v>
      </c>
      <c r="H415" t="s">
        <v>72</v>
      </c>
      <c r="I415" t="s">
        <v>43</v>
      </c>
      <c r="J415" t="s">
        <v>126</v>
      </c>
      <c r="K415">
        <v>8</v>
      </c>
      <c r="L415">
        <v>788.59</v>
      </c>
      <c r="M415" s="3">
        <v>0.1</v>
      </c>
      <c r="N415" t="str">
        <f>VLOOKUP(Table1[[#This Row],[Country]],REF_Country!$A$1:$D$11,2,FALSE)</f>
        <v>East Asia</v>
      </c>
      <c r="O415" t="str">
        <f>VLOOKUP(Table1[[#This Row],[Country]],REF_Country!$A$1:$D$11,3,FALSE)</f>
        <v>KR</v>
      </c>
      <c r="P415">
        <f>VLOOKUP(Table1[[#This Row],[Country]],REF_Country!$A$1:$D$11,4,FALSE)</f>
        <v>0.1</v>
      </c>
      <c r="Q415">
        <f>VLOOKUP(Table1[[#This Row],[Category]],REF_Target!$A$1:$E$6,2,FALSE)</f>
        <v>30000</v>
      </c>
      <c r="R415">
        <f>Table1[[#This Row],[Quantity]]*Table1[[#This Row],[Unit_Price]]</f>
        <v>6308.72</v>
      </c>
      <c r="S415">
        <f>Table1[[#This Row],[Gross_Sales]]*Table1[[#This Row],[Discount_Rate]]</f>
        <v>630.87200000000007</v>
      </c>
      <c r="T415">
        <f>Table1[[#This Row],[Gross_Sales]]-Table1[[#This Row],[Discount_Amount]]</f>
        <v>5677.848</v>
      </c>
      <c r="U415">
        <f>VLOOKUP(Table1[[#This Row],[Category]],REF_Cost!$A$1:$B$6,2,FALSE)*Table1[[#This Row],[Quantity]]</f>
        <v>1600</v>
      </c>
      <c r="V415">
        <f>Table1[[#This Row],[Net_Sales]]-Table1[[#This Row],[Total_Cost]]</f>
        <v>4077.848</v>
      </c>
      <c r="W415" t="str">
        <f>TEXT(Table1[[#This Row],[Order_Date]],"mmm")</f>
        <v>Nov</v>
      </c>
      <c r="X415">
        <f>ROUNDUP(MONTH(Table1[[#This Row],[Order_Date]])/3,0)</f>
        <v>4</v>
      </c>
      <c r="Y415">
        <f>YEAR(Table1[[#This Row],[Order_Date]])</f>
        <v>2024</v>
      </c>
    </row>
    <row r="416" spans="1:25" x14ac:dyDescent="0.25">
      <c r="A416" t="s">
        <v>1734</v>
      </c>
      <c r="B416" t="s">
        <v>1735</v>
      </c>
      <c r="C416" t="s">
        <v>1736</v>
      </c>
      <c r="D416" t="s">
        <v>1737</v>
      </c>
      <c r="E416" t="s">
        <v>116</v>
      </c>
      <c r="F416" t="s">
        <v>30</v>
      </c>
      <c r="G416" t="s">
        <v>31</v>
      </c>
      <c r="H416" t="s">
        <v>42</v>
      </c>
      <c r="I416" t="s">
        <v>33</v>
      </c>
      <c r="J416" t="s">
        <v>126</v>
      </c>
      <c r="K416">
        <v>2</v>
      </c>
      <c r="L416">
        <v>604.61</v>
      </c>
      <c r="M416" s="3">
        <v>0</v>
      </c>
      <c r="N416" t="str">
        <f>VLOOKUP(Table1[[#This Row],[Country]],REF_Country!$A$1:$D$11,2,FALSE)</f>
        <v>Southeast Asia</v>
      </c>
      <c r="O416" t="str">
        <f>VLOOKUP(Table1[[#This Row],[Country]],REF_Country!$A$1:$D$11,3,FALSE)</f>
        <v>MY</v>
      </c>
      <c r="P416">
        <f>VLOOKUP(Table1[[#This Row],[Country]],REF_Country!$A$1:$D$11,4,FALSE)</f>
        <v>0.06</v>
      </c>
      <c r="Q416">
        <f>VLOOKUP(Table1[[#This Row],[Category]],REF_Target!$A$1:$E$6,2,FALSE)</f>
        <v>40000</v>
      </c>
      <c r="R416">
        <f>Table1[[#This Row],[Quantity]]*Table1[[#This Row],[Unit_Price]]</f>
        <v>1209.22</v>
      </c>
      <c r="S416">
        <f>Table1[[#This Row],[Gross_Sales]]*Table1[[#This Row],[Discount_Rate]]</f>
        <v>0</v>
      </c>
      <c r="T416">
        <f>Table1[[#This Row],[Gross_Sales]]-Table1[[#This Row],[Discount_Amount]]</f>
        <v>1209.22</v>
      </c>
      <c r="U416">
        <f>VLOOKUP(Table1[[#This Row],[Category]],REF_Cost!$A$1:$B$6,2,FALSE)*Table1[[#This Row],[Quantity]]</f>
        <v>240</v>
      </c>
      <c r="V416">
        <f>Table1[[#This Row],[Net_Sales]]-Table1[[#This Row],[Total_Cost]]</f>
        <v>969.22</v>
      </c>
      <c r="W416" t="str">
        <f>TEXT(Table1[[#This Row],[Order_Date]],"mmm")</f>
        <v>Apr</v>
      </c>
      <c r="X416">
        <f>ROUNDUP(MONTH(Table1[[#This Row],[Order_Date]])/3,0)</f>
        <v>2</v>
      </c>
      <c r="Y416">
        <f>YEAR(Table1[[#This Row],[Order_Date]])</f>
        <v>2024</v>
      </c>
    </row>
    <row r="417" spans="1:25" x14ac:dyDescent="0.25">
      <c r="A417" t="s">
        <v>1738</v>
      </c>
      <c r="B417" t="s">
        <v>1739</v>
      </c>
      <c r="C417" t="s">
        <v>1740</v>
      </c>
      <c r="D417" t="s">
        <v>1741</v>
      </c>
      <c r="E417" t="s">
        <v>116</v>
      </c>
      <c r="F417" t="s">
        <v>56</v>
      </c>
      <c r="G417" t="s">
        <v>190</v>
      </c>
      <c r="H417" t="s">
        <v>42</v>
      </c>
      <c r="I417" t="s">
        <v>66</v>
      </c>
      <c r="J417" t="s">
        <v>73</v>
      </c>
      <c r="K417">
        <v>2</v>
      </c>
      <c r="L417">
        <v>932.88</v>
      </c>
      <c r="M417" s="3">
        <v>0.2</v>
      </c>
      <c r="N417" t="str">
        <f>VLOOKUP(Table1[[#This Row],[Country]],REF_Country!$A$1:$D$11,2,FALSE)</f>
        <v>Southeast Asia</v>
      </c>
      <c r="O417" t="str">
        <f>VLOOKUP(Table1[[#This Row],[Country]],REF_Country!$A$1:$D$11,3,FALSE)</f>
        <v>MY</v>
      </c>
      <c r="P417">
        <f>VLOOKUP(Table1[[#This Row],[Country]],REF_Country!$A$1:$D$11,4,FALSE)</f>
        <v>0.06</v>
      </c>
      <c r="Q417">
        <f>VLOOKUP(Table1[[#This Row],[Category]],REF_Target!$A$1:$E$6,2,FALSE)</f>
        <v>50000</v>
      </c>
      <c r="R417">
        <f>Table1[[#This Row],[Quantity]]*Table1[[#This Row],[Unit_Price]]</f>
        <v>1865.76</v>
      </c>
      <c r="S417">
        <f>Table1[[#This Row],[Gross_Sales]]*Table1[[#This Row],[Discount_Rate]]</f>
        <v>373.15200000000004</v>
      </c>
      <c r="T417">
        <f>Table1[[#This Row],[Gross_Sales]]-Table1[[#This Row],[Discount_Amount]]</f>
        <v>1492.6079999999999</v>
      </c>
      <c r="U417">
        <f>VLOOKUP(Table1[[#This Row],[Category]],REF_Cost!$A$1:$B$6,2,FALSE)*Table1[[#This Row],[Quantity]]</f>
        <v>900</v>
      </c>
      <c r="V417">
        <f>Table1[[#This Row],[Net_Sales]]-Table1[[#This Row],[Total_Cost]]</f>
        <v>592.60799999999995</v>
      </c>
      <c r="W417" t="str">
        <f>TEXT(Table1[[#This Row],[Order_Date]],"mmm")</f>
        <v>Jul</v>
      </c>
      <c r="X417">
        <f>ROUNDUP(MONTH(Table1[[#This Row],[Order_Date]])/3,0)</f>
        <v>3</v>
      </c>
      <c r="Y417">
        <f>YEAR(Table1[[#This Row],[Order_Date]])</f>
        <v>2024</v>
      </c>
    </row>
    <row r="418" spans="1:25" x14ac:dyDescent="0.25">
      <c r="A418" t="s">
        <v>1742</v>
      </c>
      <c r="B418" t="s">
        <v>1743</v>
      </c>
      <c r="C418" t="s">
        <v>1744</v>
      </c>
      <c r="D418" t="s">
        <v>1745</v>
      </c>
      <c r="E418" t="s">
        <v>48</v>
      </c>
      <c r="F418" t="s">
        <v>30</v>
      </c>
      <c r="G418" t="s">
        <v>139</v>
      </c>
      <c r="H418" t="s">
        <v>58</v>
      </c>
      <c r="I418" t="s">
        <v>66</v>
      </c>
      <c r="J418" t="s">
        <v>34</v>
      </c>
      <c r="K418">
        <v>1</v>
      </c>
      <c r="L418">
        <v>1260.2</v>
      </c>
      <c r="M418" s="3">
        <v>0</v>
      </c>
      <c r="N418" t="str">
        <f>VLOOKUP(Table1[[#This Row],[Country]],REF_Country!$A$1:$D$11,2,FALSE)</f>
        <v>Southeast Asia</v>
      </c>
      <c r="O418" t="str">
        <f>VLOOKUP(Table1[[#This Row],[Country]],REF_Country!$A$1:$D$11,3,FALSE)</f>
        <v>SG</v>
      </c>
      <c r="P418">
        <f>VLOOKUP(Table1[[#This Row],[Country]],REF_Country!$A$1:$D$11,4,FALSE)</f>
        <v>7.0000000000000007E-2</v>
      </c>
      <c r="Q418">
        <f>VLOOKUP(Table1[[#This Row],[Category]],REF_Target!$A$1:$E$6,2,FALSE)</f>
        <v>40000</v>
      </c>
      <c r="R418">
        <f>Table1[[#This Row],[Quantity]]*Table1[[#This Row],[Unit_Price]]</f>
        <v>1260.2</v>
      </c>
      <c r="S418">
        <f>Table1[[#This Row],[Gross_Sales]]*Table1[[#This Row],[Discount_Rate]]</f>
        <v>0</v>
      </c>
      <c r="T418">
        <f>Table1[[#This Row],[Gross_Sales]]-Table1[[#This Row],[Discount_Amount]]</f>
        <v>1260.2</v>
      </c>
      <c r="U418">
        <f>VLOOKUP(Table1[[#This Row],[Category]],REF_Cost!$A$1:$B$6,2,FALSE)*Table1[[#This Row],[Quantity]]</f>
        <v>120</v>
      </c>
      <c r="V418">
        <f>Table1[[#This Row],[Net_Sales]]-Table1[[#This Row],[Total_Cost]]</f>
        <v>1140.2</v>
      </c>
      <c r="W418" t="str">
        <f>TEXT(Table1[[#This Row],[Order_Date]],"mmm")</f>
        <v>May</v>
      </c>
      <c r="X418">
        <f>ROUNDUP(MONTH(Table1[[#This Row],[Order_Date]])/3,0)</f>
        <v>2</v>
      </c>
      <c r="Y418">
        <f>YEAR(Table1[[#This Row],[Order_Date]])</f>
        <v>2024</v>
      </c>
    </row>
    <row r="419" spans="1:25" x14ac:dyDescent="0.25">
      <c r="A419" t="s">
        <v>1746</v>
      </c>
      <c r="B419" t="s">
        <v>1747</v>
      </c>
      <c r="C419" t="s">
        <v>1748</v>
      </c>
      <c r="D419" t="s">
        <v>1749</v>
      </c>
      <c r="E419" t="s">
        <v>200</v>
      </c>
      <c r="F419" t="s">
        <v>30</v>
      </c>
      <c r="G419" t="s">
        <v>139</v>
      </c>
      <c r="H419" t="s">
        <v>42</v>
      </c>
      <c r="I419" t="s">
        <v>33</v>
      </c>
      <c r="J419" t="s">
        <v>59</v>
      </c>
      <c r="K419">
        <v>10</v>
      </c>
      <c r="L419">
        <v>277.89999999999998</v>
      </c>
      <c r="M419" s="3">
        <v>0.1</v>
      </c>
      <c r="N419" t="str">
        <f>VLOOKUP(Table1[[#This Row],[Country]],REF_Country!$A$1:$D$11,2,FALSE)</f>
        <v>East Asia</v>
      </c>
      <c r="O419" t="str">
        <f>VLOOKUP(Table1[[#This Row],[Country]],REF_Country!$A$1:$D$11,3,FALSE)</f>
        <v>KR</v>
      </c>
      <c r="P419">
        <f>VLOOKUP(Table1[[#This Row],[Country]],REF_Country!$A$1:$D$11,4,FALSE)</f>
        <v>0.1</v>
      </c>
      <c r="Q419">
        <f>VLOOKUP(Table1[[#This Row],[Category]],REF_Target!$A$1:$E$6,2,FALSE)</f>
        <v>40000</v>
      </c>
      <c r="R419">
        <f>Table1[[#This Row],[Quantity]]*Table1[[#This Row],[Unit_Price]]</f>
        <v>2779</v>
      </c>
      <c r="S419">
        <f>Table1[[#This Row],[Gross_Sales]]*Table1[[#This Row],[Discount_Rate]]</f>
        <v>277.90000000000003</v>
      </c>
      <c r="T419">
        <f>Table1[[#This Row],[Gross_Sales]]-Table1[[#This Row],[Discount_Amount]]</f>
        <v>2501.1</v>
      </c>
      <c r="U419">
        <f>VLOOKUP(Table1[[#This Row],[Category]],REF_Cost!$A$1:$B$6,2,FALSE)*Table1[[#This Row],[Quantity]]</f>
        <v>1200</v>
      </c>
      <c r="V419">
        <f>Table1[[#This Row],[Net_Sales]]-Table1[[#This Row],[Total_Cost]]</f>
        <v>1301.0999999999999</v>
      </c>
      <c r="W419" t="str">
        <f>TEXT(Table1[[#This Row],[Order_Date]],"mmm")</f>
        <v>Oct</v>
      </c>
      <c r="X419">
        <f>ROUNDUP(MONTH(Table1[[#This Row],[Order_Date]])/3,0)</f>
        <v>4</v>
      </c>
      <c r="Y419">
        <f>YEAR(Table1[[#This Row],[Order_Date]])</f>
        <v>2024</v>
      </c>
    </row>
    <row r="420" spans="1:25" x14ac:dyDescent="0.25">
      <c r="A420" t="s">
        <v>1750</v>
      </c>
      <c r="B420" t="s">
        <v>1751</v>
      </c>
      <c r="C420" t="s">
        <v>1752</v>
      </c>
      <c r="D420" t="s">
        <v>1753</v>
      </c>
      <c r="E420" t="s">
        <v>116</v>
      </c>
      <c r="F420" t="s">
        <v>49</v>
      </c>
      <c r="G420" t="s">
        <v>50</v>
      </c>
      <c r="H420" t="s">
        <v>58</v>
      </c>
      <c r="I420" t="s">
        <v>51</v>
      </c>
      <c r="J420" t="s">
        <v>126</v>
      </c>
      <c r="K420">
        <v>5</v>
      </c>
      <c r="L420">
        <v>558.19000000000005</v>
      </c>
      <c r="M420" s="3">
        <v>0</v>
      </c>
      <c r="N420" t="str">
        <f>VLOOKUP(Table1[[#This Row],[Country]],REF_Country!$A$1:$D$11,2,FALSE)</f>
        <v>Southeast Asia</v>
      </c>
      <c r="O420" t="str">
        <f>VLOOKUP(Table1[[#This Row],[Country]],REF_Country!$A$1:$D$11,3,FALSE)</f>
        <v>MY</v>
      </c>
      <c r="P420">
        <f>VLOOKUP(Table1[[#This Row],[Country]],REF_Country!$A$1:$D$11,4,FALSE)</f>
        <v>0.06</v>
      </c>
      <c r="Q420">
        <f>VLOOKUP(Table1[[#This Row],[Category]],REF_Target!$A$1:$E$6,2,FALSE)</f>
        <v>35000</v>
      </c>
      <c r="R420">
        <f>Table1[[#This Row],[Quantity]]*Table1[[#This Row],[Unit_Price]]</f>
        <v>2790.9500000000003</v>
      </c>
      <c r="S420">
        <f>Table1[[#This Row],[Gross_Sales]]*Table1[[#This Row],[Discount_Rate]]</f>
        <v>0</v>
      </c>
      <c r="T420">
        <f>Table1[[#This Row],[Gross_Sales]]-Table1[[#This Row],[Discount_Amount]]</f>
        <v>2790.9500000000003</v>
      </c>
      <c r="U420">
        <f>VLOOKUP(Table1[[#This Row],[Category]],REF_Cost!$A$1:$B$6,2,FALSE)*Table1[[#This Row],[Quantity]]</f>
        <v>750</v>
      </c>
      <c r="V420">
        <f>Table1[[#This Row],[Net_Sales]]-Table1[[#This Row],[Total_Cost]]</f>
        <v>2040.9500000000003</v>
      </c>
      <c r="W420" t="str">
        <f>TEXT(Table1[[#This Row],[Order_Date]],"mmm")</f>
        <v>Sep</v>
      </c>
      <c r="X420">
        <f>ROUNDUP(MONTH(Table1[[#This Row],[Order_Date]])/3,0)</f>
        <v>3</v>
      </c>
      <c r="Y420">
        <f>YEAR(Table1[[#This Row],[Order_Date]])</f>
        <v>2024</v>
      </c>
    </row>
    <row r="421" spans="1:25" x14ac:dyDescent="0.25">
      <c r="A421" t="s">
        <v>1754</v>
      </c>
      <c r="B421" t="s">
        <v>1755</v>
      </c>
      <c r="C421" t="s">
        <v>1756</v>
      </c>
      <c r="D421" t="s">
        <v>1757</v>
      </c>
      <c r="E421" t="s">
        <v>200</v>
      </c>
      <c r="F421" t="s">
        <v>40</v>
      </c>
      <c r="G421" t="s">
        <v>144</v>
      </c>
      <c r="H421" t="s">
        <v>58</v>
      </c>
      <c r="I421" t="s">
        <v>51</v>
      </c>
      <c r="J421" t="s">
        <v>34</v>
      </c>
      <c r="K421">
        <v>8</v>
      </c>
      <c r="L421">
        <v>1036.3399999999999</v>
      </c>
      <c r="M421" s="3">
        <v>0.1</v>
      </c>
      <c r="N421" t="str">
        <f>VLOOKUP(Table1[[#This Row],[Country]],REF_Country!$A$1:$D$11,2,FALSE)</f>
        <v>East Asia</v>
      </c>
      <c r="O421" t="str">
        <f>VLOOKUP(Table1[[#This Row],[Country]],REF_Country!$A$1:$D$11,3,FALSE)</f>
        <v>KR</v>
      </c>
      <c r="P421">
        <f>VLOOKUP(Table1[[#This Row],[Country]],REF_Country!$A$1:$D$11,4,FALSE)</f>
        <v>0.1</v>
      </c>
      <c r="Q421">
        <f>VLOOKUP(Table1[[#This Row],[Category]],REF_Target!$A$1:$E$6,2,FALSE)</f>
        <v>45000</v>
      </c>
      <c r="R421">
        <f>Table1[[#This Row],[Quantity]]*Table1[[#This Row],[Unit_Price]]</f>
        <v>8290.7199999999993</v>
      </c>
      <c r="S421">
        <f>Table1[[#This Row],[Gross_Sales]]*Table1[[#This Row],[Discount_Rate]]</f>
        <v>829.072</v>
      </c>
      <c r="T421">
        <f>Table1[[#This Row],[Gross_Sales]]-Table1[[#This Row],[Discount_Amount]]</f>
        <v>7461.6479999999992</v>
      </c>
      <c r="U421">
        <f>VLOOKUP(Table1[[#This Row],[Category]],REF_Cost!$A$1:$B$6,2,FALSE)*Table1[[#This Row],[Quantity]]</f>
        <v>640</v>
      </c>
      <c r="V421">
        <f>Table1[[#This Row],[Net_Sales]]-Table1[[#This Row],[Total_Cost]]</f>
        <v>6821.6479999999992</v>
      </c>
      <c r="W421" t="str">
        <f>TEXT(Table1[[#This Row],[Order_Date]],"mmm")</f>
        <v>Mar</v>
      </c>
      <c r="X421">
        <f>ROUNDUP(MONTH(Table1[[#This Row],[Order_Date]])/3,0)</f>
        <v>1</v>
      </c>
      <c r="Y421">
        <f>YEAR(Table1[[#This Row],[Order_Date]])</f>
        <v>2024</v>
      </c>
    </row>
    <row r="422" spans="1:25" x14ac:dyDescent="0.25">
      <c r="A422" t="s">
        <v>1758</v>
      </c>
      <c r="B422" t="s">
        <v>1759</v>
      </c>
      <c r="C422" t="s">
        <v>1760</v>
      </c>
      <c r="D422" t="s">
        <v>1761</v>
      </c>
      <c r="E422" t="s">
        <v>64</v>
      </c>
      <c r="F422" t="s">
        <v>40</v>
      </c>
      <c r="G422" t="s">
        <v>315</v>
      </c>
      <c r="H422" t="s">
        <v>42</v>
      </c>
      <c r="I422" t="s">
        <v>43</v>
      </c>
      <c r="J422" t="s">
        <v>73</v>
      </c>
      <c r="K422">
        <v>9</v>
      </c>
      <c r="L422">
        <v>295.02999999999997</v>
      </c>
      <c r="M422" s="3">
        <v>0.1</v>
      </c>
      <c r="N422" t="str">
        <f>VLOOKUP(Table1[[#This Row],[Country]],REF_Country!$A$1:$D$11,2,FALSE)</f>
        <v>Southeast Asia</v>
      </c>
      <c r="O422" t="str">
        <f>VLOOKUP(Table1[[#This Row],[Country]],REF_Country!$A$1:$D$11,3,FALSE)</f>
        <v>ID</v>
      </c>
      <c r="P422">
        <f>VLOOKUP(Table1[[#This Row],[Country]],REF_Country!$A$1:$D$11,4,FALSE)</f>
        <v>0.11</v>
      </c>
      <c r="Q422">
        <f>VLOOKUP(Table1[[#This Row],[Category]],REF_Target!$A$1:$E$6,2,FALSE)</f>
        <v>45000</v>
      </c>
      <c r="R422">
        <f>Table1[[#This Row],[Quantity]]*Table1[[#This Row],[Unit_Price]]</f>
        <v>2655.2699999999995</v>
      </c>
      <c r="S422">
        <f>Table1[[#This Row],[Gross_Sales]]*Table1[[#This Row],[Discount_Rate]]</f>
        <v>265.52699999999999</v>
      </c>
      <c r="T422">
        <f>Table1[[#This Row],[Gross_Sales]]-Table1[[#This Row],[Discount_Amount]]</f>
        <v>2389.7429999999995</v>
      </c>
      <c r="U422">
        <f>VLOOKUP(Table1[[#This Row],[Category]],REF_Cost!$A$1:$B$6,2,FALSE)*Table1[[#This Row],[Quantity]]</f>
        <v>720</v>
      </c>
      <c r="V422">
        <f>Table1[[#This Row],[Net_Sales]]-Table1[[#This Row],[Total_Cost]]</f>
        <v>1669.7429999999995</v>
      </c>
      <c r="W422" t="str">
        <f>TEXT(Table1[[#This Row],[Order_Date]],"mmm")</f>
        <v>Nov</v>
      </c>
      <c r="X422">
        <f>ROUNDUP(MONTH(Table1[[#This Row],[Order_Date]])/3,0)</f>
        <v>4</v>
      </c>
      <c r="Y422">
        <f>YEAR(Table1[[#This Row],[Order_Date]])</f>
        <v>2024</v>
      </c>
    </row>
    <row r="423" spans="1:25" x14ac:dyDescent="0.25">
      <c r="A423" t="s">
        <v>1762</v>
      </c>
      <c r="B423" t="s">
        <v>1763</v>
      </c>
      <c r="C423" t="s">
        <v>1764</v>
      </c>
      <c r="D423" t="s">
        <v>1765</v>
      </c>
      <c r="E423" t="s">
        <v>29</v>
      </c>
      <c r="F423" t="s">
        <v>56</v>
      </c>
      <c r="G423" t="s">
        <v>57</v>
      </c>
      <c r="H423" t="s">
        <v>58</v>
      </c>
      <c r="I423" t="s">
        <v>66</v>
      </c>
      <c r="J423" t="s">
        <v>59</v>
      </c>
      <c r="K423">
        <v>9</v>
      </c>
      <c r="L423">
        <v>943.6</v>
      </c>
      <c r="M423" s="3">
        <v>0.15</v>
      </c>
      <c r="N423" t="str">
        <f>VLOOKUP(Table1[[#This Row],[Country]],REF_Country!$A$1:$D$11,2,FALSE)</f>
        <v>Southeast Asia</v>
      </c>
      <c r="O423" t="str">
        <f>VLOOKUP(Table1[[#This Row],[Country]],REF_Country!$A$1:$D$11,3,FALSE)</f>
        <v>VN</v>
      </c>
      <c r="P423">
        <f>VLOOKUP(Table1[[#This Row],[Country]],REF_Country!$A$1:$D$11,4,FALSE)</f>
        <v>0.1</v>
      </c>
      <c r="Q423">
        <f>VLOOKUP(Table1[[#This Row],[Category]],REF_Target!$A$1:$E$6,2,FALSE)</f>
        <v>50000</v>
      </c>
      <c r="R423">
        <f>Table1[[#This Row],[Quantity]]*Table1[[#This Row],[Unit_Price]]</f>
        <v>8492.4</v>
      </c>
      <c r="S423">
        <f>Table1[[#This Row],[Gross_Sales]]*Table1[[#This Row],[Discount_Rate]]</f>
        <v>1273.8599999999999</v>
      </c>
      <c r="T423">
        <f>Table1[[#This Row],[Gross_Sales]]-Table1[[#This Row],[Discount_Amount]]</f>
        <v>7218.54</v>
      </c>
      <c r="U423">
        <f>VLOOKUP(Table1[[#This Row],[Category]],REF_Cost!$A$1:$B$6,2,FALSE)*Table1[[#This Row],[Quantity]]</f>
        <v>4050</v>
      </c>
      <c r="V423">
        <f>Table1[[#This Row],[Net_Sales]]-Table1[[#This Row],[Total_Cost]]</f>
        <v>3168.54</v>
      </c>
      <c r="W423" t="str">
        <f>TEXT(Table1[[#This Row],[Order_Date]],"mmm")</f>
        <v>Jul</v>
      </c>
      <c r="X423">
        <f>ROUNDUP(MONTH(Table1[[#This Row],[Order_Date]])/3,0)</f>
        <v>3</v>
      </c>
      <c r="Y423">
        <f>YEAR(Table1[[#This Row],[Order_Date]])</f>
        <v>2024</v>
      </c>
    </row>
    <row r="424" spans="1:25" x14ac:dyDescent="0.25">
      <c r="A424" t="s">
        <v>1766</v>
      </c>
      <c r="B424" t="s">
        <v>1767</v>
      </c>
      <c r="C424" t="s">
        <v>1768</v>
      </c>
      <c r="D424" t="s">
        <v>1769</v>
      </c>
      <c r="E424" t="s">
        <v>48</v>
      </c>
      <c r="F424" t="s">
        <v>84</v>
      </c>
      <c r="G424" t="s">
        <v>205</v>
      </c>
      <c r="H424" t="s">
        <v>58</v>
      </c>
      <c r="I424" t="s">
        <v>33</v>
      </c>
      <c r="J424" t="s">
        <v>34</v>
      </c>
      <c r="K424">
        <v>10</v>
      </c>
      <c r="L424">
        <v>960.79</v>
      </c>
      <c r="M424" s="3">
        <v>0.1</v>
      </c>
      <c r="N424" t="str">
        <f>VLOOKUP(Table1[[#This Row],[Country]],REF_Country!$A$1:$D$11,2,FALSE)</f>
        <v>Southeast Asia</v>
      </c>
      <c r="O424" t="str">
        <f>VLOOKUP(Table1[[#This Row],[Country]],REF_Country!$A$1:$D$11,3,FALSE)</f>
        <v>SG</v>
      </c>
      <c r="P424">
        <f>VLOOKUP(Table1[[#This Row],[Country]],REF_Country!$A$1:$D$11,4,FALSE)</f>
        <v>7.0000000000000007E-2</v>
      </c>
      <c r="Q424">
        <f>VLOOKUP(Table1[[#This Row],[Category]],REF_Target!$A$1:$E$6,2,FALSE)</f>
        <v>30000</v>
      </c>
      <c r="R424">
        <f>Table1[[#This Row],[Quantity]]*Table1[[#This Row],[Unit_Price]]</f>
        <v>9607.9</v>
      </c>
      <c r="S424">
        <f>Table1[[#This Row],[Gross_Sales]]*Table1[[#This Row],[Discount_Rate]]</f>
        <v>960.79</v>
      </c>
      <c r="T424">
        <f>Table1[[#This Row],[Gross_Sales]]-Table1[[#This Row],[Discount_Amount]]</f>
        <v>8647.11</v>
      </c>
      <c r="U424">
        <f>VLOOKUP(Table1[[#This Row],[Category]],REF_Cost!$A$1:$B$6,2,FALSE)*Table1[[#This Row],[Quantity]]</f>
        <v>2000</v>
      </c>
      <c r="V424">
        <f>Table1[[#This Row],[Net_Sales]]-Table1[[#This Row],[Total_Cost]]</f>
        <v>6647.1100000000006</v>
      </c>
      <c r="W424" t="str">
        <f>TEXT(Table1[[#This Row],[Order_Date]],"mmm")</f>
        <v>Apr</v>
      </c>
      <c r="X424">
        <f>ROUNDUP(MONTH(Table1[[#This Row],[Order_Date]])/3,0)</f>
        <v>2</v>
      </c>
      <c r="Y424">
        <f>YEAR(Table1[[#This Row],[Order_Date]])</f>
        <v>2024</v>
      </c>
    </row>
    <row r="425" spans="1:25" x14ac:dyDescent="0.25">
      <c r="A425" t="s">
        <v>1770</v>
      </c>
      <c r="B425" t="s">
        <v>1771</v>
      </c>
      <c r="C425" t="s">
        <v>1772</v>
      </c>
      <c r="D425" t="s">
        <v>1773</v>
      </c>
      <c r="E425" t="s">
        <v>64</v>
      </c>
      <c r="F425" t="s">
        <v>40</v>
      </c>
      <c r="G425" t="s">
        <v>144</v>
      </c>
      <c r="H425" t="s">
        <v>58</v>
      </c>
      <c r="I425" t="s">
        <v>43</v>
      </c>
      <c r="J425" t="s">
        <v>34</v>
      </c>
      <c r="K425">
        <v>2</v>
      </c>
      <c r="L425">
        <v>291.12</v>
      </c>
      <c r="M425" s="3">
        <v>0.05</v>
      </c>
      <c r="N425" t="str">
        <f>VLOOKUP(Table1[[#This Row],[Country]],REF_Country!$A$1:$D$11,2,FALSE)</f>
        <v>Southeast Asia</v>
      </c>
      <c r="O425" t="str">
        <f>VLOOKUP(Table1[[#This Row],[Country]],REF_Country!$A$1:$D$11,3,FALSE)</f>
        <v>ID</v>
      </c>
      <c r="P425">
        <f>VLOOKUP(Table1[[#This Row],[Country]],REF_Country!$A$1:$D$11,4,FALSE)</f>
        <v>0.11</v>
      </c>
      <c r="Q425">
        <f>VLOOKUP(Table1[[#This Row],[Category]],REF_Target!$A$1:$E$6,2,FALSE)</f>
        <v>45000</v>
      </c>
      <c r="R425">
        <f>Table1[[#This Row],[Quantity]]*Table1[[#This Row],[Unit_Price]]</f>
        <v>582.24</v>
      </c>
      <c r="S425">
        <f>Table1[[#This Row],[Gross_Sales]]*Table1[[#This Row],[Discount_Rate]]</f>
        <v>29.112000000000002</v>
      </c>
      <c r="T425">
        <f>Table1[[#This Row],[Gross_Sales]]-Table1[[#This Row],[Discount_Amount]]</f>
        <v>553.12800000000004</v>
      </c>
      <c r="U425">
        <f>VLOOKUP(Table1[[#This Row],[Category]],REF_Cost!$A$1:$B$6,2,FALSE)*Table1[[#This Row],[Quantity]]</f>
        <v>160</v>
      </c>
      <c r="V425">
        <f>Table1[[#This Row],[Net_Sales]]-Table1[[#This Row],[Total_Cost]]</f>
        <v>393.12800000000004</v>
      </c>
      <c r="W425" t="str">
        <f>TEXT(Table1[[#This Row],[Order_Date]],"mmm")</f>
        <v>Jun</v>
      </c>
      <c r="X425">
        <f>ROUNDUP(MONTH(Table1[[#This Row],[Order_Date]])/3,0)</f>
        <v>2</v>
      </c>
      <c r="Y425">
        <f>YEAR(Table1[[#This Row],[Order_Date]])</f>
        <v>2024</v>
      </c>
    </row>
    <row r="426" spans="1:25" x14ac:dyDescent="0.25">
      <c r="A426" t="s">
        <v>1774</v>
      </c>
      <c r="B426" t="s">
        <v>1775</v>
      </c>
      <c r="C426" t="s">
        <v>1776</v>
      </c>
      <c r="D426" t="s">
        <v>1777</v>
      </c>
      <c r="E426" t="s">
        <v>64</v>
      </c>
      <c r="F426" t="s">
        <v>49</v>
      </c>
      <c r="G426" t="s">
        <v>286</v>
      </c>
      <c r="H426" t="s">
        <v>58</v>
      </c>
      <c r="I426" t="s">
        <v>96</v>
      </c>
      <c r="J426" t="s">
        <v>126</v>
      </c>
      <c r="K426">
        <v>5</v>
      </c>
      <c r="L426">
        <v>522.74</v>
      </c>
      <c r="M426" s="3">
        <v>0.1</v>
      </c>
      <c r="N426" t="str">
        <f>VLOOKUP(Table1[[#This Row],[Country]],REF_Country!$A$1:$D$11,2,FALSE)</f>
        <v>Southeast Asia</v>
      </c>
      <c r="O426" t="str">
        <f>VLOOKUP(Table1[[#This Row],[Country]],REF_Country!$A$1:$D$11,3,FALSE)</f>
        <v>ID</v>
      </c>
      <c r="P426">
        <f>VLOOKUP(Table1[[#This Row],[Country]],REF_Country!$A$1:$D$11,4,FALSE)</f>
        <v>0.11</v>
      </c>
      <c r="Q426">
        <f>VLOOKUP(Table1[[#This Row],[Category]],REF_Target!$A$1:$E$6,2,FALSE)</f>
        <v>35000</v>
      </c>
      <c r="R426">
        <f>Table1[[#This Row],[Quantity]]*Table1[[#This Row],[Unit_Price]]</f>
        <v>2613.6999999999998</v>
      </c>
      <c r="S426">
        <f>Table1[[#This Row],[Gross_Sales]]*Table1[[#This Row],[Discount_Rate]]</f>
        <v>261.37</v>
      </c>
      <c r="T426">
        <f>Table1[[#This Row],[Gross_Sales]]-Table1[[#This Row],[Discount_Amount]]</f>
        <v>2352.33</v>
      </c>
      <c r="U426">
        <f>VLOOKUP(Table1[[#This Row],[Category]],REF_Cost!$A$1:$B$6,2,FALSE)*Table1[[#This Row],[Quantity]]</f>
        <v>750</v>
      </c>
      <c r="V426">
        <f>Table1[[#This Row],[Net_Sales]]-Table1[[#This Row],[Total_Cost]]</f>
        <v>1602.33</v>
      </c>
      <c r="W426" t="str">
        <f>TEXT(Table1[[#This Row],[Order_Date]],"mmm")</f>
        <v>Apr</v>
      </c>
      <c r="X426">
        <f>ROUNDUP(MONTH(Table1[[#This Row],[Order_Date]])/3,0)</f>
        <v>2</v>
      </c>
      <c r="Y426">
        <f>YEAR(Table1[[#This Row],[Order_Date]])</f>
        <v>2024</v>
      </c>
    </row>
    <row r="427" spans="1:25" x14ac:dyDescent="0.25">
      <c r="A427" t="s">
        <v>1778</v>
      </c>
      <c r="B427" t="s">
        <v>1779</v>
      </c>
      <c r="C427" t="s">
        <v>1780</v>
      </c>
      <c r="D427" t="s">
        <v>1781</v>
      </c>
      <c r="E427" t="s">
        <v>29</v>
      </c>
      <c r="F427" t="s">
        <v>49</v>
      </c>
      <c r="G427" t="s">
        <v>117</v>
      </c>
      <c r="H427" t="s">
        <v>58</v>
      </c>
      <c r="I427" t="s">
        <v>96</v>
      </c>
      <c r="J427" t="s">
        <v>126</v>
      </c>
      <c r="K427">
        <v>3</v>
      </c>
      <c r="L427">
        <v>821.64</v>
      </c>
      <c r="M427" s="3">
        <v>0</v>
      </c>
      <c r="N427" t="str">
        <f>VLOOKUP(Table1[[#This Row],[Country]],REF_Country!$A$1:$D$11,2,FALSE)</f>
        <v>Southeast Asia</v>
      </c>
      <c r="O427" t="str">
        <f>VLOOKUP(Table1[[#This Row],[Country]],REF_Country!$A$1:$D$11,3,FALSE)</f>
        <v>VN</v>
      </c>
      <c r="P427">
        <f>VLOOKUP(Table1[[#This Row],[Country]],REF_Country!$A$1:$D$11,4,FALSE)</f>
        <v>0.1</v>
      </c>
      <c r="Q427">
        <f>VLOOKUP(Table1[[#This Row],[Category]],REF_Target!$A$1:$E$6,2,FALSE)</f>
        <v>35000</v>
      </c>
      <c r="R427">
        <f>Table1[[#This Row],[Quantity]]*Table1[[#This Row],[Unit_Price]]</f>
        <v>2464.92</v>
      </c>
      <c r="S427">
        <f>Table1[[#This Row],[Gross_Sales]]*Table1[[#This Row],[Discount_Rate]]</f>
        <v>0</v>
      </c>
      <c r="T427">
        <f>Table1[[#This Row],[Gross_Sales]]-Table1[[#This Row],[Discount_Amount]]</f>
        <v>2464.92</v>
      </c>
      <c r="U427">
        <f>VLOOKUP(Table1[[#This Row],[Category]],REF_Cost!$A$1:$B$6,2,FALSE)*Table1[[#This Row],[Quantity]]</f>
        <v>450</v>
      </c>
      <c r="V427">
        <f>Table1[[#This Row],[Net_Sales]]-Table1[[#This Row],[Total_Cost]]</f>
        <v>2014.92</v>
      </c>
      <c r="W427" t="str">
        <f>TEXT(Table1[[#This Row],[Order_Date]],"mmm")</f>
        <v>Feb</v>
      </c>
      <c r="X427">
        <f>ROUNDUP(MONTH(Table1[[#This Row],[Order_Date]])/3,0)</f>
        <v>1</v>
      </c>
      <c r="Y427">
        <f>YEAR(Table1[[#This Row],[Order_Date]])</f>
        <v>2024</v>
      </c>
    </row>
    <row r="428" spans="1:25" x14ac:dyDescent="0.25">
      <c r="A428" t="s">
        <v>1782</v>
      </c>
      <c r="B428" t="s">
        <v>1783</v>
      </c>
      <c r="C428" t="s">
        <v>1784</v>
      </c>
      <c r="D428" t="s">
        <v>1785</v>
      </c>
      <c r="E428" t="s">
        <v>200</v>
      </c>
      <c r="F428" t="s">
        <v>30</v>
      </c>
      <c r="G428" t="s">
        <v>269</v>
      </c>
      <c r="H428" t="s">
        <v>72</v>
      </c>
      <c r="I428" t="s">
        <v>96</v>
      </c>
      <c r="J428" t="s">
        <v>34</v>
      </c>
      <c r="K428">
        <v>2</v>
      </c>
      <c r="L428">
        <v>310.77999999999997</v>
      </c>
      <c r="M428" s="3">
        <v>0.15</v>
      </c>
      <c r="N428" t="str">
        <f>VLOOKUP(Table1[[#This Row],[Country]],REF_Country!$A$1:$D$11,2,FALSE)</f>
        <v>East Asia</v>
      </c>
      <c r="O428" t="str">
        <f>VLOOKUP(Table1[[#This Row],[Country]],REF_Country!$A$1:$D$11,3,FALSE)</f>
        <v>KR</v>
      </c>
      <c r="P428">
        <f>VLOOKUP(Table1[[#This Row],[Country]],REF_Country!$A$1:$D$11,4,FALSE)</f>
        <v>0.1</v>
      </c>
      <c r="Q428">
        <f>VLOOKUP(Table1[[#This Row],[Category]],REF_Target!$A$1:$E$6,2,FALSE)</f>
        <v>40000</v>
      </c>
      <c r="R428">
        <f>Table1[[#This Row],[Quantity]]*Table1[[#This Row],[Unit_Price]]</f>
        <v>621.55999999999995</v>
      </c>
      <c r="S428">
        <f>Table1[[#This Row],[Gross_Sales]]*Table1[[#This Row],[Discount_Rate]]</f>
        <v>93.233999999999995</v>
      </c>
      <c r="T428">
        <f>Table1[[#This Row],[Gross_Sales]]-Table1[[#This Row],[Discount_Amount]]</f>
        <v>528.32599999999991</v>
      </c>
      <c r="U428">
        <f>VLOOKUP(Table1[[#This Row],[Category]],REF_Cost!$A$1:$B$6,2,FALSE)*Table1[[#This Row],[Quantity]]</f>
        <v>240</v>
      </c>
      <c r="V428">
        <f>Table1[[#This Row],[Net_Sales]]-Table1[[#This Row],[Total_Cost]]</f>
        <v>288.32599999999991</v>
      </c>
      <c r="W428" t="str">
        <f>TEXT(Table1[[#This Row],[Order_Date]],"mmm")</f>
        <v>May</v>
      </c>
      <c r="X428">
        <f>ROUNDUP(MONTH(Table1[[#This Row],[Order_Date]])/3,0)</f>
        <v>2</v>
      </c>
      <c r="Y428">
        <f>YEAR(Table1[[#This Row],[Order_Date]])</f>
        <v>2024</v>
      </c>
    </row>
    <row r="429" spans="1:25" x14ac:dyDescent="0.25">
      <c r="A429" t="s">
        <v>1786</v>
      </c>
      <c r="B429" t="s">
        <v>1787</v>
      </c>
      <c r="C429" t="s">
        <v>1788</v>
      </c>
      <c r="D429" t="s">
        <v>1789</v>
      </c>
      <c r="E429" t="s">
        <v>64</v>
      </c>
      <c r="F429" t="s">
        <v>40</v>
      </c>
      <c r="G429" t="s">
        <v>41</v>
      </c>
      <c r="H429" t="s">
        <v>58</v>
      </c>
      <c r="I429" t="s">
        <v>43</v>
      </c>
      <c r="J429" t="s">
        <v>59</v>
      </c>
      <c r="K429">
        <v>8</v>
      </c>
      <c r="L429">
        <v>196.38</v>
      </c>
      <c r="M429" s="3">
        <v>0.2</v>
      </c>
      <c r="N429" t="str">
        <f>VLOOKUP(Table1[[#This Row],[Country]],REF_Country!$A$1:$D$11,2,FALSE)</f>
        <v>Southeast Asia</v>
      </c>
      <c r="O429" t="str">
        <f>VLOOKUP(Table1[[#This Row],[Country]],REF_Country!$A$1:$D$11,3,FALSE)</f>
        <v>ID</v>
      </c>
      <c r="P429">
        <f>VLOOKUP(Table1[[#This Row],[Country]],REF_Country!$A$1:$D$11,4,FALSE)</f>
        <v>0.11</v>
      </c>
      <c r="Q429">
        <f>VLOOKUP(Table1[[#This Row],[Category]],REF_Target!$A$1:$E$6,2,FALSE)</f>
        <v>45000</v>
      </c>
      <c r="R429">
        <f>Table1[[#This Row],[Quantity]]*Table1[[#This Row],[Unit_Price]]</f>
        <v>1571.04</v>
      </c>
      <c r="S429">
        <f>Table1[[#This Row],[Gross_Sales]]*Table1[[#This Row],[Discount_Rate]]</f>
        <v>314.20800000000003</v>
      </c>
      <c r="T429">
        <f>Table1[[#This Row],[Gross_Sales]]-Table1[[#This Row],[Discount_Amount]]</f>
        <v>1256.8319999999999</v>
      </c>
      <c r="U429">
        <f>VLOOKUP(Table1[[#This Row],[Category]],REF_Cost!$A$1:$B$6,2,FALSE)*Table1[[#This Row],[Quantity]]</f>
        <v>640</v>
      </c>
      <c r="V429">
        <f>Table1[[#This Row],[Net_Sales]]-Table1[[#This Row],[Total_Cost]]</f>
        <v>616.83199999999988</v>
      </c>
      <c r="W429" t="str">
        <f>TEXT(Table1[[#This Row],[Order_Date]],"mmm")</f>
        <v>Jun</v>
      </c>
      <c r="X429">
        <f>ROUNDUP(MONTH(Table1[[#This Row],[Order_Date]])/3,0)</f>
        <v>2</v>
      </c>
      <c r="Y429">
        <f>YEAR(Table1[[#This Row],[Order_Date]])</f>
        <v>2024</v>
      </c>
    </row>
    <row r="430" spans="1:25" x14ac:dyDescent="0.25">
      <c r="A430" t="s">
        <v>1790</v>
      </c>
      <c r="B430" t="s">
        <v>1791</v>
      </c>
      <c r="C430" t="s">
        <v>1792</v>
      </c>
      <c r="D430" t="s">
        <v>1793</v>
      </c>
      <c r="E430" t="s">
        <v>39</v>
      </c>
      <c r="F430" t="s">
        <v>49</v>
      </c>
      <c r="G430" t="s">
        <v>50</v>
      </c>
      <c r="H430" t="s">
        <v>32</v>
      </c>
      <c r="I430" t="s">
        <v>96</v>
      </c>
      <c r="J430" t="s">
        <v>73</v>
      </c>
      <c r="K430">
        <v>5</v>
      </c>
      <c r="L430">
        <v>37.380000000000003</v>
      </c>
      <c r="M430" s="3">
        <v>0.15</v>
      </c>
      <c r="N430" t="str">
        <f>VLOOKUP(Table1[[#This Row],[Country]],REF_Country!$A$1:$D$11,2,FALSE)</f>
        <v>Southeast Asia</v>
      </c>
      <c r="O430" t="str">
        <f>VLOOKUP(Table1[[#This Row],[Country]],REF_Country!$A$1:$D$11,3,FALSE)</f>
        <v>TH</v>
      </c>
      <c r="P430">
        <f>VLOOKUP(Table1[[#This Row],[Country]],REF_Country!$A$1:$D$11,4,FALSE)</f>
        <v>7.0000000000000007E-2</v>
      </c>
      <c r="Q430">
        <f>VLOOKUP(Table1[[#This Row],[Category]],REF_Target!$A$1:$E$6,2,FALSE)</f>
        <v>35000</v>
      </c>
      <c r="R430">
        <f>Table1[[#This Row],[Quantity]]*Table1[[#This Row],[Unit_Price]]</f>
        <v>186.9</v>
      </c>
      <c r="S430">
        <f>Table1[[#This Row],[Gross_Sales]]*Table1[[#This Row],[Discount_Rate]]</f>
        <v>28.035</v>
      </c>
      <c r="T430">
        <f>Table1[[#This Row],[Gross_Sales]]-Table1[[#This Row],[Discount_Amount]]</f>
        <v>158.86500000000001</v>
      </c>
      <c r="U430">
        <f>VLOOKUP(Table1[[#This Row],[Category]],REF_Cost!$A$1:$B$6,2,FALSE)*Table1[[#This Row],[Quantity]]</f>
        <v>750</v>
      </c>
      <c r="V430">
        <f>Table1[[#This Row],[Net_Sales]]-Table1[[#This Row],[Total_Cost]]</f>
        <v>-591.13499999999999</v>
      </c>
      <c r="W430" t="str">
        <f>TEXT(Table1[[#This Row],[Order_Date]],"mmm")</f>
        <v>Dec</v>
      </c>
      <c r="X430">
        <f>ROUNDUP(MONTH(Table1[[#This Row],[Order_Date]])/3,0)</f>
        <v>4</v>
      </c>
      <c r="Y430">
        <f>YEAR(Table1[[#This Row],[Order_Date]])</f>
        <v>2024</v>
      </c>
    </row>
    <row r="431" spans="1:25" x14ac:dyDescent="0.25">
      <c r="A431" t="s">
        <v>1794</v>
      </c>
      <c r="B431" t="s">
        <v>1795</v>
      </c>
      <c r="C431" t="s">
        <v>1796</v>
      </c>
      <c r="D431" t="s">
        <v>1797</v>
      </c>
      <c r="E431" t="s">
        <v>200</v>
      </c>
      <c r="F431" t="s">
        <v>40</v>
      </c>
      <c r="G431" t="s">
        <v>106</v>
      </c>
      <c r="H431" t="s">
        <v>72</v>
      </c>
      <c r="I431" t="s">
        <v>96</v>
      </c>
      <c r="J431" t="s">
        <v>126</v>
      </c>
      <c r="K431">
        <v>2</v>
      </c>
      <c r="L431">
        <v>566.53</v>
      </c>
      <c r="M431" s="3">
        <v>0</v>
      </c>
      <c r="N431" t="str">
        <f>VLOOKUP(Table1[[#This Row],[Country]],REF_Country!$A$1:$D$11,2,FALSE)</f>
        <v>East Asia</v>
      </c>
      <c r="O431" t="str">
        <f>VLOOKUP(Table1[[#This Row],[Country]],REF_Country!$A$1:$D$11,3,FALSE)</f>
        <v>KR</v>
      </c>
      <c r="P431">
        <f>VLOOKUP(Table1[[#This Row],[Country]],REF_Country!$A$1:$D$11,4,FALSE)</f>
        <v>0.1</v>
      </c>
      <c r="Q431">
        <f>VLOOKUP(Table1[[#This Row],[Category]],REF_Target!$A$1:$E$6,2,FALSE)</f>
        <v>45000</v>
      </c>
      <c r="R431">
        <f>Table1[[#This Row],[Quantity]]*Table1[[#This Row],[Unit_Price]]</f>
        <v>1133.06</v>
      </c>
      <c r="S431">
        <f>Table1[[#This Row],[Gross_Sales]]*Table1[[#This Row],[Discount_Rate]]</f>
        <v>0</v>
      </c>
      <c r="T431">
        <f>Table1[[#This Row],[Gross_Sales]]-Table1[[#This Row],[Discount_Amount]]</f>
        <v>1133.06</v>
      </c>
      <c r="U431">
        <f>VLOOKUP(Table1[[#This Row],[Category]],REF_Cost!$A$1:$B$6,2,FALSE)*Table1[[#This Row],[Quantity]]</f>
        <v>160</v>
      </c>
      <c r="V431">
        <f>Table1[[#This Row],[Net_Sales]]-Table1[[#This Row],[Total_Cost]]</f>
        <v>973.06</v>
      </c>
      <c r="W431" t="str">
        <f>TEXT(Table1[[#This Row],[Order_Date]],"mmm")</f>
        <v>Jan</v>
      </c>
      <c r="X431">
        <f>ROUNDUP(MONTH(Table1[[#This Row],[Order_Date]])/3,0)</f>
        <v>1</v>
      </c>
      <c r="Y431">
        <f>YEAR(Table1[[#This Row],[Order_Date]])</f>
        <v>2024</v>
      </c>
    </row>
    <row r="432" spans="1:25" x14ac:dyDescent="0.25">
      <c r="A432" t="s">
        <v>1798</v>
      </c>
      <c r="B432" t="s">
        <v>1799</v>
      </c>
      <c r="C432" t="s">
        <v>1800</v>
      </c>
      <c r="D432" t="s">
        <v>1801</v>
      </c>
      <c r="E432" t="s">
        <v>64</v>
      </c>
      <c r="F432" t="s">
        <v>56</v>
      </c>
      <c r="G432" t="s">
        <v>190</v>
      </c>
      <c r="H432" t="s">
        <v>72</v>
      </c>
      <c r="I432" t="s">
        <v>96</v>
      </c>
      <c r="J432" t="s">
        <v>73</v>
      </c>
      <c r="K432">
        <v>9</v>
      </c>
      <c r="L432">
        <v>972.19</v>
      </c>
      <c r="M432" s="3">
        <v>0</v>
      </c>
      <c r="N432" t="str">
        <f>VLOOKUP(Table1[[#This Row],[Country]],REF_Country!$A$1:$D$11,2,FALSE)</f>
        <v>Southeast Asia</v>
      </c>
      <c r="O432" t="str">
        <f>VLOOKUP(Table1[[#This Row],[Country]],REF_Country!$A$1:$D$11,3,FALSE)</f>
        <v>ID</v>
      </c>
      <c r="P432">
        <f>VLOOKUP(Table1[[#This Row],[Country]],REF_Country!$A$1:$D$11,4,FALSE)</f>
        <v>0.11</v>
      </c>
      <c r="Q432">
        <f>VLOOKUP(Table1[[#This Row],[Category]],REF_Target!$A$1:$E$6,2,FALSE)</f>
        <v>50000</v>
      </c>
      <c r="R432">
        <f>Table1[[#This Row],[Quantity]]*Table1[[#This Row],[Unit_Price]]</f>
        <v>8749.7100000000009</v>
      </c>
      <c r="S432">
        <f>Table1[[#This Row],[Gross_Sales]]*Table1[[#This Row],[Discount_Rate]]</f>
        <v>0</v>
      </c>
      <c r="T432">
        <f>Table1[[#This Row],[Gross_Sales]]-Table1[[#This Row],[Discount_Amount]]</f>
        <v>8749.7100000000009</v>
      </c>
      <c r="U432">
        <f>VLOOKUP(Table1[[#This Row],[Category]],REF_Cost!$A$1:$B$6,2,FALSE)*Table1[[#This Row],[Quantity]]</f>
        <v>4050</v>
      </c>
      <c r="V432">
        <f>Table1[[#This Row],[Net_Sales]]-Table1[[#This Row],[Total_Cost]]</f>
        <v>4699.7100000000009</v>
      </c>
      <c r="W432" t="str">
        <f>TEXT(Table1[[#This Row],[Order_Date]],"mmm")</f>
        <v>Nov</v>
      </c>
      <c r="X432">
        <f>ROUNDUP(MONTH(Table1[[#This Row],[Order_Date]])/3,0)</f>
        <v>4</v>
      </c>
      <c r="Y432">
        <f>YEAR(Table1[[#This Row],[Order_Date]])</f>
        <v>2024</v>
      </c>
    </row>
    <row r="433" spans="1:25" x14ac:dyDescent="0.25">
      <c r="A433" t="s">
        <v>1802</v>
      </c>
      <c r="B433" t="s">
        <v>1803</v>
      </c>
      <c r="C433" t="s">
        <v>1804</v>
      </c>
      <c r="D433" t="s">
        <v>1805</v>
      </c>
      <c r="E433" t="s">
        <v>71</v>
      </c>
      <c r="F433" t="s">
        <v>49</v>
      </c>
      <c r="G433" t="s">
        <v>286</v>
      </c>
      <c r="H433" t="s">
        <v>72</v>
      </c>
      <c r="I433" t="s">
        <v>66</v>
      </c>
      <c r="J433" t="s">
        <v>126</v>
      </c>
      <c r="K433">
        <v>7</v>
      </c>
      <c r="L433">
        <v>46.71</v>
      </c>
      <c r="M433" s="3">
        <v>0.05</v>
      </c>
      <c r="N433" t="str">
        <f>VLOOKUP(Table1[[#This Row],[Country]],REF_Country!$A$1:$D$11,2,FALSE)</f>
        <v>Southeast Asia</v>
      </c>
      <c r="O433" t="str">
        <f>VLOOKUP(Table1[[#This Row],[Country]],REF_Country!$A$1:$D$11,3,FALSE)</f>
        <v>PH</v>
      </c>
      <c r="P433">
        <f>VLOOKUP(Table1[[#This Row],[Country]],REF_Country!$A$1:$D$11,4,FALSE)</f>
        <v>0.12</v>
      </c>
      <c r="Q433">
        <f>VLOOKUP(Table1[[#This Row],[Category]],REF_Target!$A$1:$E$6,2,FALSE)</f>
        <v>35000</v>
      </c>
      <c r="R433">
        <f>Table1[[#This Row],[Quantity]]*Table1[[#This Row],[Unit_Price]]</f>
        <v>326.97000000000003</v>
      </c>
      <c r="S433">
        <f>Table1[[#This Row],[Gross_Sales]]*Table1[[#This Row],[Discount_Rate]]</f>
        <v>16.348500000000001</v>
      </c>
      <c r="T433">
        <f>Table1[[#This Row],[Gross_Sales]]-Table1[[#This Row],[Discount_Amount]]</f>
        <v>310.62150000000003</v>
      </c>
      <c r="U433">
        <f>VLOOKUP(Table1[[#This Row],[Category]],REF_Cost!$A$1:$B$6,2,FALSE)*Table1[[#This Row],[Quantity]]</f>
        <v>1050</v>
      </c>
      <c r="V433">
        <f>Table1[[#This Row],[Net_Sales]]-Table1[[#This Row],[Total_Cost]]</f>
        <v>-739.37850000000003</v>
      </c>
      <c r="W433" t="str">
        <f>TEXT(Table1[[#This Row],[Order_Date]],"mmm")</f>
        <v>Oct</v>
      </c>
      <c r="X433">
        <f>ROUNDUP(MONTH(Table1[[#This Row],[Order_Date]])/3,0)</f>
        <v>4</v>
      </c>
      <c r="Y433">
        <f>YEAR(Table1[[#This Row],[Order_Date]])</f>
        <v>2024</v>
      </c>
    </row>
    <row r="434" spans="1:25" x14ac:dyDescent="0.25">
      <c r="A434" t="s">
        <v>1806</v>
      </c>
      <c r="B434" t="s">
        <v>1807</v>
      </c>
      <c r="C434" t="s">
        <v>1808</v>
      </c>
      <c r="D434" t="s">
        <v>1809</v>
      </c>
      <c r="E434" t="s">
        <v>29</v>
      </c>
      <c r="F434" t="s">
        <v>40</v>
      </c>
      <c r="G434" t="s">
        <v>565</v>
      </c>
      <c r="H434" t="s">
        <v>58</v>
      </c>
      <c r="I434" t="s">
        <v>66</v>
      </c>
      <c r="J434" t="s">
        <v>34</v>
      </c>
      <c r="K434">
        <v>3</v>
      </c>
      <c r="L434">
        <v>296.82</v>
      </c>
      <c r="M434" s="3">
        <v>0.15</v>
      </c>
      <c r="N434" t="str">
        <f>VLOOKUP(Table1[[#This Row],[Country]],REF_Country!$A$1:$D$11,2,FALSE)</f>
        <v>Southeast Asia</v>
      </c>
      <c r="O434" t="str">
        <f>VLOOKUP(Table1[[#This Row],[Country]],REF_Country!$A$1:$D$11,3,FALSE)</f>
        <v>VN</v>
      </c>
      <c r="P434">
        <f>VLOOKUP(Table1[[#This Row],[Country]],REF_Country!$A$1:$D$11,4,FALSE)</f>
        <v>0.1</v>
      </c>
      <c r="Q434">
        <f>VLOOKUP(Table1[[#This Row],[Category]],REF_Target!$A$1:$E$6,2,FALSE)</f>
        <v>45000</v>
      </c>
      <c r="R434">
        <f>Table1[[#This Row],[Quantity]]*Table1[[#This Row],[Unit_Price]]</f>
        <v>890.46</v>
      </c>
      <c r="S434">
        <f>Table1[[#This Row],[Gross_Sales]]*Table1[[#This Row],[Discount_Rate]]</f>
        <v>133.56899999999999</v>
      </c>
      <c r="T434">
        <f>Table1[[#This Row],[Gross_Sales]]-Table1[[#This Row],[Discount_Amount]]</f>
        <v>756.89100000000008</v>
      </c>
      <c r="U434">
        <f>VLOOKUP(Table1[[#This Row],[Category]],REF_Cost!$A$1:$B$6,2,FALSE)*Table1[[#This Row],[Quantity]]</f>
        <v>240</v>
      </c>
      <c r="V434">
        <f>Table1[[#This Row],[Net_Sales]]-Table1[[#This Row],[Total_Cost]]</f>
        <v>516.89100000000008</v>
      </c>
      <c r="W434" t="str">
        <f>TEXT(Table1[[#This Row],[Order_Date]],"mmm")</f>
        <v>Dec</v>
      </c>
      <c r="X434">
        <f>ROUNDUP(MONTH(Table1[[#This Row],[Order_Date]])/3,0)</f>
        <v>4</v>
      </c>
      <c r="Y434">
        <f>YEAR(Table1[[#This Row],[Order_Date]])</f>
        <v>2024</v>
      </c>
    </row>
    <row r="435" spans="1:25" x14ac:dyDescent="0.25">
      <c r="A435" t="s">
        <v>1810</v>
      </c>
      <c r="B435" t="s">
        <v>1811</v>
      </c>
      <c r="C435" t="s">
        <v>1812</v>
      </c>
      <c r="D435" t="s">
        <v>1813</v>
      </c>
      <c r="E435" t="s">
        <v>116</v>
      </c>
      <c r="F435" t="s">
        <v>40</v>
      </c>
      <c r="G435" t="s">
        <v>106</v>
      </c>
      <c r="H435" t="s">
        <v>58</v>
      </c>
      <c r="I435" t="s">
        <v>96</v>
      </c>
      <c r="J435" t="s">
        <v>126</v>
      </c>
      <c r="K435">
        <v>5</v>
      </c>
      <c r="L435">
        <v>682.34</v>
      </c>
      <c r="M435" s="3">
        <v>0.15</v>
      </c>
      <c r="N435" t="str">
        <f>VLOOKUP(Table1[[#This Row],[Country]],REF_Country!$A$1:$D$11,2,FALSE)</f>
        <v>Southeast Asia</v>
      </c>
      <c r="O435" t="str">
        <f>VLOOKUP(Table1[[#This Row],[Country]],REF_Country!$A$1:$D$11,3,FALSE)</f>
        <v>MY</v>
      </c>
      <c r="P435">
        <f>VLOOKUP(Table1[[#This Row],[Country]],REF_Country!$A$1:$D$11,4,FALSE)</f>
        <v>0.06</v>
      </c>
      <c r="Q435">
        <f>VLOOKUP(Table1[[#This Row],[Category]],REF_Target!$A$1:$E$6,2,FALSE)</f>
        <v>45000</v>
      </c>
      <c r="R435">
        <f>Table1[[#This Row],[Quantity]]*Table1[[#This Row],[Unit_Price]]</f>
        <v>3411.7000000000003</v>
      </c>
      <c r="S435">
        <f>Table1[[#This Row],[Gross_Sales]]*Table1[[#This Row],[Discount_Rate]]</f>
        <v>511.755</v>
      </c>
      <c r="T435">
        <f>Table1[[#This Row],[Gross_Sales]]-Table1[[#This Row],[Discount_Amount]]</f>
        <v>2899.9450000000002</v>
      </c>
      <c r="U435">
        <f>VLOOKUP(Table1[[#This Row],[Category]],REF_Cost!$A$1:$B$6,2,FALSE)*Table1[[#This Row],[Quantity]]</f>
        <v>400</v>
      </c>
      <c r="V435">
        <f>Table1[[#This Row],[Net_Sales]]-Table1[[#This Row],[Total_Cost]]</f>
        <v>2499.9450000000002</v>
      </c>
      <c r="W435" t="str">
        <f>TEXT(Table1[[#This Row],[Order_Date]],"mmm")</f>
        <v>Nov</v>
      </c>
      <c r="X435">
        <f>ROUNDUP(MONTH(Table1[[#This Row],[Order_Date]])/3,0)</f>
        <v>4</v>
      </c>
      <c r="Y435">
        <f>YEAR(Table1[[#This Row],[Order_Date]])</f>
        <v>2024</v>
      </c>
    </row>
    <row r="436" spans="1:25" x14ac:dyDescent="0.25">
      <c r="A436" t="s">
        <v>1814</v>
      </c>
      <c r="B436" t="s">
        <v>1815</v>
      </c>
      <c r="C436" t="s">
        <v>1816</v>
      </c>
      <c r="D436" t="s">
        <v>1817</v>
      </c>
      <c r="E436" t="s">
        <v>48</v>
      </c>
      <c r="F436" t="s">
        <v>56</v>
      </c>
      <c r="G436" t="s">
        <v>111</v>
      </c>
      <c r="H436" t="s">
        <v>58</v>
      </c>
      <c r="I436" t="s">
        <v>51</v>
      </c>
      <c r="J436" t="s">
        <v>34</v>
      </c>
      <c r="K436">
        <v>10</v>
      </c>
      <c r="L436">
        <v>1287.3900000000001</v>
      </c>
      <c r="M436" s="3">
        <v>0</v>
      </c>
      <c r="N436" t="str">
        <f>VLOOKUP(Table1[[#This Row],[Country]],REF_Country!$A$1:$D$11,2,FALSE)</f>
        <v>Southeast Asia</v>
      </c>
      <c r="O436" t="str">
        <f>VLOOKUP(Table1[[#This Row],[Country]],REF_Country!$A$1:$D$11,3,FALSE)</f>
        <v>SG</v>
      </c>
      <c r="P436">
        <f>VLOOKUP(Table1[[#This Row],[Country]],REF_Country!$A$1:$D$11,4,FALSE)</f>
        <v>7.0000000000000007E-2</v>
      </c>
      <c r="Q436">
        <f>VLOOKUP(Table1[[#This Row],[Category]],REF_Target!$A$1:$E$6,2,FALSE)</f>
        <v>50000</v>
      </c>
      <c r="R436">
        <f>Table1[[#This Row],[Quantity]]*Table1[[#This Row],[Unit_Price]]</f>
        <v>12873.900000000001</v>
      </c>
      <c r="S436">
        <f>Table1[[#This Row],[Gross_Sales]]*Table1[[#This Row],[Discount_Rate]]</f>
        <v>0</v>
      </c>
      <c r="T436">
        <f>Table1[[#This Row],[Gross_Sales]]-Table1[[#This Row],[Discount_Amount]]</f>
        <v>12873.900000000001</v>
      </c>
      <c r="U436">
        <f>VLOOKUP(Table1[[#This Row],[Category]],REF_Cost!$A$1:$B$6,2,FALSE)*Table1[[#This Row],[Quantity]]</f>
        <v>4500</v>
      </c>
      <c r="V436">
        <f>Table1[[#This Row],[Net_Sales]]-Table1[[#This Row],[Total_Cost]]</f>
        <v>8373.9000000000015</v>
      </c>
      <c r="W436" t="str">
        <f>TEXT(Table1[[#This Row],[Order_Date]],"mmm")</f>
        <v>Sep</v>
      </c>
      <c r="X436">
        <f>ROUNDUP(MONTH(Table1[[#This Row],[Order_Date]])/3,0)</f>
        <v>3</v>
      </c>
      <c r="Y436">
        <f>YEAR(Table1[[#This Row],[Order_Date]])</f>
        <v>2024</v>
      </c>
    </row>
    <row r="437" spans="1:25" x14ac:dyDescent="0.25">
      <c r="A437" t="s">
        <v>1818</v>
      </c>
      <c r="B437" t="s">
        <v>1819</v>
      </c>
      <c r="C437" t="s">
        <v>1820</v>
      </c>
      <c r="D437" t="s">
        <v>1821</v>
      </c>
      <c r="E437" t="s">
        <v>78</v>
      </c>
      <c r="F437" t="s">
        <v>30</v>
      </c>
      <c r="G437" t="s">
        <v>139</v>
      </c>
      <c r="H437" t="s">
        <v>58</v>
      </c>
      <c r="I437" t="s">
        <v>51</v>
      </c>
      <c r="J437" t="s">
        <v>126</v>
      </c>
      <c r="K437">
        <v>7</v>
      </c>
      <c r="L437">
        <v>435.45</v>
      </c>
      <c r="M437" s="3">
        <v>0.2</v>
      </c>
      <c r="N437" t="str">
        <f>VLOOKUP(Table1[[#This Row],[Country]],REF_Country!$A$1:$D$11,2,FALSE)</f>
        <v>Oceania</v>
      </c>
      <c r="O437" t="str">
        <f>VLOOKUP(Table1[[#This Row],[Country]],REF_Country!$A$1:$D$11,3,FALSE)</f>
        <v>AU</v>
      </c>
      <c r="P437">
        <f>VLOOKUP(Table1[[#This Row],[Country]],REF_Country!$A$1:$D$11,4,FALSE)</f>
        <v>0.1</v>
      </c>
      <c r="Q437">
        <f>VLOOKUP(Table1[[#This Row],[Category]],REF_Target!$A$1:$E$6,2,FALSE)</f>
        <v>40000</v>
      </c>
      <c r="R437">
        <f>Table1[[#This Row],[Quantity]]*Table1[[#This Row],[Unit_Price]]</f>
        <v>3048.15</v>
      </c>
      <c r="S437">
        <f>Table1[[#This Row],[Gross_Sales]]*Table1[[#This Row],[Discount_Rate]]</f>
        <v>609.63</v>
      </c>
      <c r="T437">
        <f>Table1[[#This Row],[Gross_Sales]]-Table1[[#This Row],[Discount_Amount]]</f>
        <v>2438.52</v>
      </c>
      <c r="U437">
        <f>VLOOKUP(Table1[[#This Row],[Category]],REF_Cost!$A$1:$B$6,2,FALSE)*Table1[[#This Row],[Quantity]]</f>
        <v>840</v>
      </c>
      <c r="V437">
        <f>Table1[[#This Row],[Net_Sales]]-Table1[[#This Row],[Total_Cost]]</f>
        <v>1598.52</v>
      </c>
      <c r="W437" t="str">
        <f>TEXT(Table1[[#This Row],[Order_Date]],"mmm")</f>
        <v>Sep</v>
      </c>
      <c r="X437">
        <f>ROUNDUP(MONTH(Table1[[#This Row],[Order_Date]])/3,0)</f>
        <v>3</v>
      </c>
      <c r="Y437">
        <f>YEAR(Table1[[#This Row],[Order_Date]])</f>
        <v>2024</v>
      </c>
    </row>
    <row r="438" spans="1:25" x14ac:dyDescent="0.25">
      <c r="A438" t="s">
        <v>1822</v>
      </c>
      <c r="B438" t="s">
        <v>1823</v>
      </c>
      <c r="C438" t="s">
        <v>1824</v>
      </c>
      <c r="D438" t="s">
        <v>1825</v>
      </c>
      <c r="E438" t="s">
        <v>48</v>
      </c>
      <c r="F438" t="s">
        <v>30</v>
      </c>
      <c r="G438" t="s">
        <v>269</v>
      </c>
      <c r="H438" t="s">
        <v>32</v>
      </c>
      <c r="I438" t="s">
        <v>51</v>
      </c>
      <c r="J438" t="s">
        <v>34</v>
      </c>
      <c r="K438">
        <v>8</v>
      </c>
      <c r="L438">
        <v>315.08999999999997</v>
      </c>
      <c r="M438" s="3">
        <v>0</v>
      </c>
      <c r="N438" t="str">
        <f>VLOOKUP(Table1[[#This Row],[Country]],REF_Country!$A$1:$D$11,2,FALSE)</f>
        <v>Southeast Asia</v>
      </c>
      <c r="O438" t="str">
        <f>VLOOKUP(Table1[[#This Row],[Country]],REF_Country!$A$1:$D$11,3,FALSE)</f>
        <v>SG</v>
      </c>
      <c r="P438">
        <f>VLOOKUP(Table1[[#This Row],[Country]],REF_Country!$A$1:$D$11,4,FALSE)</f>
        <v>7.0000000000000007E-2</v>
      </c>
      <c r="Q438">
        <f>VLOOKUP(Table1[[#This Row],[Category]],REF_Target!$A$1:$E$6,2,FALSE)</f>
        <v>40000</v>
      </c>
      <c r="R438">
        <f>Table1[[#This Row],[Quantity]]*Table1[[#This Row],[Unit_Price]]</f>
        <v>2520.7199999999998</v>
      </c>
      <c r="S438">
        <f>Table1[[#This Row],[Gross_Sales]]*Table1[[#This Row],[Discount_Rate]]</f>
        <v>0</v>
      </c>
      <c r="T438">
        <f>Table1[[#This Row],[Gross_Sales]]-Table1[[#This Row],[Discount_Amount]]</f>
        <v>2520.7199999999998</v>
      </c>
      <c r="U438">
        <f>VLOOKUP(Table1[[#This Row],[Category]],REF_Cost!$A$1:$B$6,2,FALSE)*Table1[[#This Row],[Quantity]]</f>
        <v>960</v>
      </c>
      <c r="V438">
        <f>Table1[[#This Row],[Net_Sales]]-Table1[[#This Row],[Total_Cost]]</f>
        <v>1560.7199999999998</v>
      </c>
      <c r="W438" t="str">
        <f>TEXT(Table1[[#This Row],[Order_Date]],"mmm")</f>
        <v>Dec</v>
      </c>
      <c r="X438">
        <f>ROUNDUP(MONTH(Table1[[#This Row],[Order_Date]])/3,0)</f>
        <v>4</v>
      </c>
      <c r="Y438">
        <f>YEAR(Table1[[#This Row],[Order_Date]])</f>
        <v>2024</v>
      </c>
    </row>
    <row r="439" spans="1:25" x14ac:dyDescent="0.25">
      <c r="A439" t="s">
        <v>1826</v>
      </c>
      <c r="B439" t="s">
        <v>1827</v>
      </c>
      <c r="C439" t="s">
        <v>1828</v>
      </c>
      <c r="D439" t="s">
        <v>1829</v>
      </c>
      <c r="E439" t="s">
        <v>83</v>
      </c>
      <c r="F439" t="s">
        <v>84</v>
      </c>
      <c r="G439" t="s">
        <v>205</v>
      </c>
      <c r="H439" t="s">
        <v>32</v>
      </c>
      <c r="I439" t="s">
        <v>51</v>
      </c>
      <c r="J439" t="s">
        <v>73</v>
      </c>
      <c r="K439">
        <v>10</v>
      </c>
      <c r="L439">
        <v>559.04</v>
      </c>
      <c r="M439" s="3">
        <v>0.2</v>
      </c>
      <c r="N439" t="str">
        <f>VLOOKUP(Table1[[#This Row],[Country]],REF_Country!$A$1:$D$11,2,FALSE)</f>
        <v>South Asia</v>
      </c>
      <c r="O439" t="str">
        <f>VLOOKUP(Table1[[#This Row],[Country]],REF_Country!$A$1:$D$11,3,FALSE)</f>
        <v>IN</v>
      </c>
      <c r="P439">
        <f>VLOOKUP(Table1[[#This Row],[Country]],REF_Country!$A$1:$D$11,4,FALSE)</f>
        <v>0.18</v>
      </c>
      <c r="Q439">
        <f>VLOOKUP(Table1[[#This Row],[Category]],REF_Target!$A$1:$E$6,2,FALSE)</f>
        <v>30000</v>
      </c>
      <c r="R439">
        <f>Table1[[#This Row],[Quantity]]*Table1[[#This Row],[Unit_Price]]</f>
        <v>5590.4</v>
      </c>
      <c r="S439">
        <f>Table1[[#This Row],[Gross_Sales]]*Table1[[#This Row],[Discount_Rate]]</f>
        <v>1118.08</v>
      </c>
      <c r="T439">
        <f>Table1[[#This Row],[Gross_Sales]]-Table1[[#This Row],[Discount_Amount]]</f>
        <v>4472.32</v>
      </c>
      <c r="U439">
        <f>VLOOKUP(Table1[[#This Row],[Category]],REF_Cost!$A$1:$B$6,2,FALSE)*Table1[[#This Row],[Quantity]]</f>
        <v>2000</v>
      </c>
      <c r="V439">
        <f>Table1[[#This Row],[Net_Sales]]-Table1[[#This Row],[Total_Cost]]</f>
        <v>2472.3199999999997</v>
      </c>
      <c r="W439" t="str">
        <f>TEXT(Table1[[#This Row],[Order_Date]],"mmm")</f>
        <v>Sep</v>
      </c>
      <c r="X439">
        <f>ROUNDUP(MONTH(Table1[[#This Row],[Order_Date]])/3,0)</f>
        <v>3</v>
      </c>
      <c r="Y439">
        <f>YEAR(Table1[[#This Row],[Order_Date]])</f>
        <v>2024</v>
      </c>
    </row>
    <row r="440" spans="1:25" x14ac:dyDescent="0.25">
      <c r="A440" t="s">
        <v>1830</v>
      </c>
      <c r="B440" t="s">
        <v>1831</v>
      </c>
      <c r="C440" t="s">
        <v>1832</v>
      </c>
      <c r="D440" t="s">
        <v>1833</v>
      </c>
      <c r="E440" t="s">
        <v>64</v>
      </c>
      <c r="F440" t="s">
        <v>84</v>
      </c>
      <c r="G440" t="s">
        <v>90</v>
      </c>
      <c r="H440" t="s">
        <v>32</v>
      </c>
      <c r="I440" t="s">
        <v>33</v>
      </c>
      <c r="J440" t="s">
        <v>59</v>
      </c>
      <c r="K440">
        <v>7</v>
      </c>
      <c r="L440">
        <v>1119.06</v>
      </c>
      <c r="M440" s="3">
        <v>0.05</v>
      </c>
      <c r="N440" t="str">
        <f>VLOOKUP(Table1[[#This Row],[Country]],REF_Country!$A$1:$D$11,2,FALSE)</f>
        <v>Southeast Asia</v>
      </c>
      <c r="O440" t="str">
        <f>VLOOKUP(Table1[[#This Row],[Country]],REF_Country!$A$1:$D$11,3,FALSE)</f>
        <v>ID</v>
      </c>
      <c r="P440">
        <f>VLOOKUP(Table1[[#This Row],[Country]],REF_Country!$A$1:$D$11,4,FALSE)</f>
        <v>0.11</v>
      </c>
      <c r="Q440">
        <f>VLOOKUP(Table1[[#This Row],[Category]],REF_Target!$A$1:$E$6,2,FALSE)</f>
        <v>30000</v>
      </c>
      <c r="R440">
        <f>Table1[[#This Row],[Quantity]]*Table1[[#This Row],[Unit_Price]]</f>
        <v>7833.42</v>
      </c>
      <c r="S440">
        <f>Table1[[#This Row],[Gross_Sales]]*Table1[[#This Row],[Discount_Rate]]</f>
        <v>391.67100000000005</v>
      </c>
      <c r="T440">
        <f>Table1[[#This Row],[Gross_Sales]]-Table1[[#This Row],[Discount_Amount]]</f>
        <v>7441.7489999999998</v>
      </c>
      <c r="U440">
        <f>VLOOKUP(Table1[[#This Row],[Category]],REF_Cost!$A$1:$B$6,2,FALSE)*Table1[[#This Row],[Quantity]]</f>
        <v>1400</v>
      </c>
      <c r="V440">
        <f>Table1[[#This Row],[Net_Sales]]-Table1[[#This Row],[Total_Cost]]</f>
        <v>6041.7489999999998</v>
      </c>
      <c r="W440" t="str">
        <f>TEXT(Table1[[#This Row],[Order_Date]],"mmm")</f>
        <v>Sep</v>
      </c>
      <c r="X440">
        <f>ROUNDUP(MONTH(Table1[[#This Row],[Order_Date]])/3,0)</f>
        <v>3</v>
      </c>
      <c r="Y440">
        <f>YEAR(Table1[[#This Row],[Order_Date]])</f>
        <v>2024</v>
      </c>
    </row>
    <row r="441" spans="1:25" x14ac:dyDescent="0.25">
      <c r="A441" t="s">
        <v>1834</v>
      </c>
      <c r="B441" t="s">
        <v>1835</v>
      </c>
      <c r="C441" t="s">
        <v>1836</v>
      </c>
      <c r="D441" t="s">
        <v>1837</v>
      </c>
      <c r="E441" t="s">
        <v>29</v>
      </c>
      <c r="F441" t="s">
        <v>56</v>
      </c>
      <c r="G441" t="s">
        <v>95</v>
      </c>
      <c r="H441" t="s">
        <v>72</v>
      </c>
      <c r="I441" t="s">
        <v>33</v>
      </c>
      <c r="J441" t="s">
        <v>34</v>
      </c>
      <c r="K441">
        <v>2</v>
      </c>
      <c r="L441">
        <v>1441.47</v>
      </c>
      <c r="M441" s="3">
        <v>0</v>
      </c>
      <c r="N441" t="str">
        <f>VLOOKUP(Table1[[#This Row],[Country]],REF_Country!$A$1:$D$11,2,FALSE)</f>
        <v>Southeast Asia</v>
      </c>
      <c r="O441" t="str">
        <f>VLOOKUP(Table1[[#This Row],[Country]],REF_Country!$A$1:$D$11,3,FALSE)</f>
        <v>VN</v>
      </c>
      <c r="P441">
        <f>VLOOKUP(Table1[[#This Row],[Country]],REF_Country!$A$1:$D$11,4,FALSE)</f>
        <v>0.1</v>
      </c>
      <c r="Q441">
        <f>VLOOKUP(Table1[[#This Row],[Category]],REF_Target!$A$1:$E$6,2,FALSE)</f>
        <v>50000</v>
      </c>
      <c r="R441">
        <f>Table1[[#This Row],[Quantity]]*Table1[[#This Row],[Unit_Price]]</f>
        <v>2882.94</v>
      </c>
      <c r="S441">
        <f>Table1[[#This Row],[Gross_Sales]]*Table1[[#This Row],[Discount_Rate]]</f>
        <v>0</v>
      </c>
      <c r="T441">
        <f>Table1[[#This Row],[Gross_Sales]]-Table1[[#This Row],[Discount_Amount]]</f>
        <v>2882.94</v>
      </c>
      <c r="U441">
        <f>VLOOKUP(Table1[[#This Row],[Category]],REF_Cost!$A$1:$B$6,2,FALSE)*Table1[[#This Row],[Quantity]]</f>
        <v>900</v>
      </c>
      <c r="V441">
        <f>Table1[[#This Row],[Net_Sales]]-Table1[[#This Row],[Total_Cost]]</f>
        <v>1982.94</v>
      </c>
      <c r="W441" t="str">
        <f>TEXT(Table1[[#This Row],[Order_Date]],"mmm")</f>
        <v>Jan</v>
      </c>
      <c r="X441">
        <f>ROUNDUP(MONTH(Table1[[#This Row],[Order_Date]])/3,0)</f>
        <v>1</v>
      </c>
      <c r="Y441">
        <f>YEAR(Table1[[#This Row],[Order_Date]])</f>
        <v>2024</v>
      </c>
    </row>
    <row r="442" spans="1:25" x14ac:dyDescent="0.25">
      <c r="A442" t="s">
        <v>1838</v>
      </c>
      <c r="B442" t="s">
        <v>1839</v>
      </c>
      <c r="C442" t="s">
        <v>1840</v>
      </c>
      <c r="D442" t="s">
        <v>1841</v>
      </c>
      <c r="E442" t="s">
        <v>39</v>
      </c>
      <c r="F442" t="s">
        <v>40</v>
      </c>
      <c r="G442" t="s">
        <v>106</v>
      </c>
      <c r="H442" t="s">
        <v>32</v>
      </c>
      <c r="I442" t="s">
        <v>33</v>
      </c>
      <c r="J442" t="s">
        <v>59</v>
      </c>
      <c r="K442">
        <v>9</v>
      </c>
      <c r="L442">
        <v>844.26</v>
      </c>
      <c r="M442" s="3">
        <v>0.1</v>
      </c>
      <c r="N442" t="str">
        <f>VLOOKUP(Table1[[#This Row],[Country]],REF_Country!$A$1:$D$11,2,FALSE)</f>
        <v>Southeast Asia</v>
      </c>
      <c r="O442" t="str">
        <f>VLOOKUP(Table1[[#This Row],[Country]],REF_Country!$A$1:$D$11,3,FALSE)</f>
        <v>TH</v>
      </c>
      <c r="P442">
        <f>VLOOKUP(Table1[[#This Row],[Country]],REF_Country!$A$1:$D$11,4,FALSE)</f>
        <v>7.0000000000000007E-2</v>
      </c>
      <c r="Q442">
        <f>VLOOKUP(Table1[[#This Row],[Category]],REF_Target!$A$1:$E$6,2,FALSE)</f>
        <v>45000</v>
      </c>
      <c r="R442">
        <f>Table1[[#This Row],[Quantity]]*Table1[[#This Row],[Unit_Price]]</f>
        <v>7598.34</v>
      </c>
      <c r="S442">
        <f>Table1[[#This Row],[Gross_Sales]]*Table1[[#This Row],[Discount_Rate]]</f>
        <v>759.83400000000006</v>
      </c>
      <c r="T442">
        <f>Table1[[#This Row],[Gross_Sales]]-Table1[[#This Row],[Discount_Amount]]</f>
        <v>6838.5060000000003</v>
      </c>
      <c r="U442">
        <f>VLOOKUP(Table1[[#This Row],[Category]],REF_Cost!$A$1:$B$6,2,FALSE)*Table1[[#This Row],[Quantity]]</f>
        <v>720</v>
      </c>
      <c r="V442">
        <f>Table1[[#This Row],[Net_Sales]]-Table1[[#This Row],[Total_Cost]]</f>
        <v>6118.5060000000003</v>
      </c>
      <c r="W442" t="str">
        <f>TEXT(Table1[[#This Row],[Order_Date]],"mmm")</f>
        <v>Apr</v>
      </c>
      <c r="X442">
        <f>ROUNDUP(MONTH(Table1[[#This Row],[Order_Date]])/3,0)</f>
        <v>2</v>
      </c>
      <c r="Y442">
        <f>YEAR(Table1[[#This Row],[Order_Date]])</f>
        <v>2024</v>
      </c>
    </row>
    <row r="443" spans="1:25" x14ac:dyDescent="0.25">
      <c r="A443" t="s">
        <v>1842</v>
      </c>
      <c r="B443" t="s">
        <v>1843</v>
      </c>
      <c r="C443" t="s">
        <v>1844</v>
      </c>
      <c r="D443" t="s">
        <v>1845</v>
      </c>
      <c r="E443" t="s">
        <v>149</v>
      </c>
      <c r="F443" t="s">
        <v>56</v>
      </c>
      <c r="G443" t="s">
        <v>95</v>
      </c>
      <c r="H443" t="s">
        <v>58</v>
      </c>
      <c r="I443" t="s">
        <v>43</v>
      </c>
      <c r="J443" t="s">
        <v>34</v>
      </c>
      <c r="K443">
        <v>9</v>
      </c>
      <c r="L443">
        <v>1191.81</v>
      </c>
      <c r="M443" s="3">
        <v>0.1</v>
      </c>
      <c r="N443" t="str">
        <f>VLOOKUP(Table1[[#This Row],[Country]],REF_Country!$A$1:$D$11,2,FALSE)</f>
        <v>East Asia</v>
      </c>
      <c r="O443" t="str">
        <f>VLOOKUP(Table1[[#This Row],[Country]],REF_Country!$A$1:$D$11,3,FALSE)</f>
        <v>JP</v>
      </c>
      <c r="P443">
        <f>VLOOKUP(Table1[[#This Row],[Country]],REF_Country!$A$1:$D$11,4,FALSE)</f>
        <v>0.1</v>
      </c>
      <c r="Q443">
        <f>VLOOKUP(Table1[[#This Row],[Category]],REF_Target!$A$1:$E$6,2,FALSE)</f>
        <v>50000</v>
      </c>
      <c r="R443">
        <f>Table1[[#This Row],[Quantity]]*Table1[[#This Row],[Unit_Price]]</f>
        <v>10726.289999999999</v>
      </c>
      <c r="S443">
        <f>Table1[[#This Row],[Gross_Sales]]*Table1[[#This Row],[Discount_Rate]]</f>
        <v>1072.6289999999999</v>
      </c>
      <c r="T443">
        <f>Table1[[#This Row],[Gross_Sales]]-Table1[[#This Row],[Discount_Amount]]</f>
        <v>9653.6610000000001</v>
      </c>
      <c r="U443">
        <f>VLOOKUP(Table1[[#This Row],[Category]],REF_Cost!$A$1:$B$6,2,FALSE)*Table1[[#This Row],[Quantity]]</f>
        <v>4050</v>
      </c>
      <c r="V443">
        <f>Table1[[#This Row],[Net_Sales]]-Table1[[#This Row],[Total_Cost]]</f>
        <v>5603.6610000000001</v>
      </c>
      <c r="W443" t="str">
        <f>TEXT(Table1[[#This Row],[Order_Date]],"mmm")</f>
        <v>Aug</v>
      </c>
      <c r="X443">
        <f>ROUNDUP(MONTH(Table1[[#This Row],[Order_Date]])/3,0)</f>
        <v>3</v>
      </c>
      <c r="Y443">
        <f>YEAR(Table1[[#This Row],[Order_Date]])</f>
        <v>2024</v>
      </c>
    </row>
    <row r="444" spans="1:25" x14ac:dyDescent="0.25">
      <c r="A444" t="s">
        <v>1846</v>
      </c>
      <c r="B444" t="s">
        <v>1847</v>
      </c>
      <c r="C444" t="s">
        <v>1848</v>
      </c>
      <c r="D444" t="s">
        <v>1849</v>
      </c>
      <c r="E444" t="s">
        <v>71</v>
      </c>
      <c r="F444" t="s">
        <v>49</v>
      </c>
      <c r="G444" t="s">
        <v>226</v>
      </c>
      <c r="H444" t="s">
        <v>72</v>
      </c>
      <c r="I444" t="s">
        <v>33</v>
      </c>
      <c r="J444" t="s">
        <v>73</v>
      </c>
      <c r="K444">
        <v>6</v>
      </c>
      <c r="L444">
        <v>1241.8399999999999</v>
      </c>
      <c r="M444" s="3">
        <v>0.15</v>
      </c>
      <c r="N444" t="str">
        <f>VLOOKUP(Table1[[#This Row],[Country]],REF_Country!$A$1:$D$11,2,FALSE)</f>
        <v>Southeast Asia</v>
      </c>
      <c r="O444" t="str">
        <f>VLOOKUP(Table1[[#This Row],[Country]],REF_Country!$A$1:$D$11,3,FALSE)</f>
        <v>PH</v>
      </c>
      <c r="P444">
        <f>VLOOKUP(Table1[[#This Row],[Country]],REF_Country!$A$1:$D$11,4,FALSE)</f>
        <v>0.12</v>
      </c>
      <c r="Q444">
        <f>VLOOKUP(Table1[[#This Row],[Category]],REF_Target!$A$1:$E$6,2,FALSE)</f>
        <v>35000</v>
      </c>
      <c r="R444">
        <f>Table1[[#This Row],[Quantity]]*Table1[[#This Row],[Unit_Price]]</f>
        <v>7451.0399999999991</v>
      </c>
      <c r="S444">
        <f>Table1[[#This Row],[Gross_Sales]]*Table1[[#This Row],[Discount_Rate]]</f>
        <v>1117.6559999999997</v>
      </c>
      <c r="T444">
        <f>Table1[[#This Row],[Gross_Sales]]-Table1[[#This Row],[Discount_Amount]]</f>
        <v>6333.3839999999991</v>
      </c>
      <c r="U444">
        <f>VLOOKUP(Table1[[#This Row],[Category]],REF_Cost!$A$1:$B$6,2,FALSE)*Table1[[#This Row],[Quantity]]</f>
        <v>900</v>
      </c>
      <c r="V444">
        <f>Table1[[#This Row],[Net_Sales]]-Table1[[#This Row],[Total_Cost]]</f>
        <v>5433.3839999999991</v>
      </c>
      <c r="W444" t="str">
        <f>TEXT(Table1[[#This Row],[Order_Date]],"mmm")</f>
        <v>Jun</v>
      </c>
      <c r="X444">
        <f>ROUNDUP(MONTH(Table1[[#This Row],[Order_Date]])/3,0)</f>
        <v>2</v>
      </c>
      <c r="Y444">
        <f>YEAR(Table1[[#This Row],[Order_Date]])</f>
        <v>2024</v>
      </c>
    </row>
    <row r="445" spans="1:25" x14ac:dyDescent="0.25">
      <c r="A445" t="s">
        <v>1850</v>
      </c>
      <c r="B445" t="s">
        <v>1851</v>
      </c>
      <c r="C445" t="s">
        <v>1852</v>
      </c>
      <c r="D445" t="s">
        <v>1853</v>
      </c>
      <c r="E445" t="s">
        <v>71</v>
      </c>
      <c r="F445" t="s">
        <v>49</v>
      </c>
      <c r="G445" t="s">
        <v>226</v>
      </c>
      <c r="H445" t="s">
        <v>32</v>
      </c>
      <c r="I445" t="s">
        <v>66</v>
      </c>
      <c r="J445" t="s">
        <v>126</v>
      </c>
      <c r="K445">
        <v>1</v>
      </c>
      <c r="L445">
        <v>1440.34</v>
      </c>
      <c r="M445" s="3">
        <v>0.2</v>
      </c>
      <c r="N445" t="str">
        <f>VLOOKUP(Table1[[#This Row],[Country]],REF_Country!$A$1:$D$11,2,FALSE)</f>
        <v>Southeast Asia</v>
      </c>
      <c r="O445" t="str">
        <f>VLOOKUP(Table1[[#This Row],[Country]],REF_Country!$A$1:$D$11,3,FALSE)</f>
        <v>PH</v>
      </c>
      <c r="P445">
        <f>VLOOKUP(Table1[[#This Row],[Country]],REF_Country!$A$1:$D$11,4,FALSE)</f>
        <v>0.12</v>
      </c>
      <c r="Q445">
        <f>VLOOKUP(Table1[[#This Row],[Category]],REF_Target!$A$1:$E$6,2,FALSE)</f>
        <v>35000</v>
      </c>
      <c r="R445">
        <f>Table1[[#This Row],[Quantity]]*Table1[[#This Row],[Unit_Price]]</f>
        <v>1440.34</v>
      </c>
      <c r="S445">
        <f>Table1[[#This Row],[Gross_Sales]]*Table1[[#This Row],[Discount_Rate]]</f>
        <v>288.06799999999998</v>
      </c>
      <c r="T445">
        <f>Table1[[#This Row],[Gross_Sales]]-Table1[[#This Row],[Discount_Amount]]</f>
        <v>1152.2719999999999</v>
      </c>
      <c r="U445">
        <f>VLOOKUP(Table1[[#This Row],[Category]],REF_Cost!$A$1:$B$6,2,FALSE)*Table1[[#This Row],[Quantity]]</f>
        <v>150</v>
      </c>
      <c r="V445">
        <f>Table1[[#This Row],[Net_Sales]]-Table1[[#This Row],[Total_Cost]]</f>
        <v>1002.2719999999999</v>
      </c>
      <c r="W445" t="str">
        <f>TEXT(Table1[[#This Row],[Order_Date]],"mmm")</f>
        <v>Oct</v>
      </c>
      <c r="X445">
        <f>ROUNDUP(MONTH(Table1[[#This Row],[Order_Date]])/3,0)</f>
        <v>4</v>
      </c>
      <c r="Y445">
        <f>YEAR(Table1[[#This Row],[Order_Date]])</f>
        <v>2024</v>
      </c>
    </row>
    <row r="446" spans="1:25" x14ac:dyDescent="0.25">
      <c r="A446" t="s">
        <v>1854</v>
      </c>
      <c r="B446" t="s">
        <v>1855</v>
      </c>
      <c r="C446" t="s">
        <v>1856</v>
      </c>
      <c r="D446" t="s">
        <v>1857</v>
      </c>
      <c r="E446" t="s">
        <v>29</v>
      </c>
      <c r="F446" t="s">
        <v>30</v>
      </c>
      <c r="G446" t="s">
        <v>31</v>
      </c>
      <c r="H446" t="s">
        <v>58</v>
      </c>
      <c r="I446" t="s">
        <v>33</v>
      </c>
      <c r="J446" t="s">
        <v>73</v>
      </c>
      <c r="K446">
        <v>1</v>
      </c>
      <c r="L446">
        <v>1285.74</v>
      </c>
      <c r="M446" s="3">
        <v>0.2</v>
      </c>
      <c r="N446" t="str">
        <f>VLOOKUP(Table1[[#This Row],[Country]],REF_Country!$A$1:$D$11,2,FALSE)</f>
        <v>Southeast Asia</v>
      </c>
      <c r="O446" t="str">
        <f>VLOOKUP(Table1[[#This Row],[Country]],REF_Country!$A$1:$D$11,3,FALSE)</f>
        <v>VN</v>
      </c>
      <c r="P446">
        <f>VLOOKUP(Table1[[#This Row],[Country]],REF_Country!$A$1:$D$11,4,FALSE)</f>
        <v>0.1</v>
      </c>
      <c r="Q446">
        <f>VLOOKUP(Table1[[#This Row],[Category]],REF_Target!$A$1:$E$6,2,FALSE)</f>
        <v>40000</v>
      </c>
      <c r="R446">
        <f>Table1[[#This Row],[Quantity]]*Table1[[#This Row],[Unit_Price]]</f>
        <v>1285.74</v>
      </c>
      <c r="S446">
        <f>Table1[[#This Row],[Gross_Sales]]*Table1[[#This Row],[Discount_Rate]]</f>
        <v>257.14800000000002</v>
      </c>
      <c r="T446">
        <f>Table1[[#This Row],[Gross_Sales]]-Table1[[#This Row],[Discount_Amount]]</f>
        <v>1028.5920000000001</v>
      </c>
      <c r="U446">
        <f>VLOOKUP(Table1[[#This Row],[Category]],REF_Cost!$A$1:$B$6,2,FALSE)*Table1[[#This Row],[Quantity]]</f>
        <v>120</v>
      </c>
      <c r="V446">
        <f>Table1[[#This Row],[Net_Sales]]-Table1[[#This Row],[Total_Cost]]</f>
        <v>908.5920000000001</v>
      </c>
      <c r="W446" t="str">
        <f>TEXT(Table1[[#This Row],[Order_Date]],"mmm")</f>
        <v>Mar</v>
      </c>
      <c r="X446">
        <f>ROUNDUP(MONTH(Table1[[#This Row],[Order_Date]])/3,0)</f>
        <v>1</v>
      </c>
      <c r="Y446">
        <f>YEAR(Table1[[#This Row],[Order_Date]])</f>
        <v>2024</v>
      </c>
    </row>
    <row r="447" spans="1:25" x14ac:dyDescent="0.25">
      <c r="A447" t="s">
        <v>1858</v>
      </c>
      <c r="B447" t="s">
        <v>1859</v>
      </c>
      <c r="C447" t="s">
        <v>1860</v>
      </c>
      <c r="D447" t="s">
        <v>1861</v>
      </c>
      <c r="E447" t="s">
        <v>48</v>
      </c>
      <c r="F447" t="s">
        <v>30</v>
      </c>
      <c r="G447" t="s">
        <v>65</v>
      </c>
      <c r="H447" t="s">
        <v>72</v>
      </c>
      <c r="I447" t="s">
        <v>66</v>
      </c>
      <c r="J447" t="s">
        <v>59</v>
      </c>
      <c r="K447">
        <v>10</v>
      </c>
      <c r="L447">
        <v>560.12</v>
      </c>
      <c r="M447" s="3">
        <v>0</v>
      </c>
      <c r="N447" t="str">
        <f>VLOOKUP(Table1[[#This Row],[Country]],REF_Country!$A$1:$D$11,2,FALSE)</f>
        <v>Southeast Asia</v>
      </c>
      <c r="O447" t="str">
        <f>VLOOKUP(Table1[[#This Row],[Country]],REF_Country!$A$1:$D$11,3,FALSE)</f>
        <v>SG</v>
      </c>
      <c r="P447">
        <f>VLOOKUP(Table1[[#This Row],[Country]],REF_Country!$A$1:$D$11,4,FALSE)</f>
        <v>7.0000000000000007E-2</v>
      </c>
      <c r="Q447">
        <f>VLOOKUP(Table1[[#This Row],[Category]],REF_Target!$A$1:$E$6,2,FALSE)</f>
        <v>40000</v>
      </c>
      <c r="R447">
        <f>Table1[[#This Row],[Quantity]]*Table1[[#This Row],[Unit_Price]]</f>
        <v>5601.2</v>
      </c>
      <c r="S447">
        <f>Table1[[#This Row],[Gross_Sales]]*Table1[[#This Row],[Discount_Rate]]</f>
        <v>0</v>
      </c>
      <c r="T447">
        <f>Table1[[#This Row],[Gross_Sales]]-Table1[[#This Row],[Discount_Amount]]</f>
        <v>5601.2</v>
      </c>
      <c r="U447">
        <f>VLOOKUP(Table1[[#This Row],[Category]],REF_Cost!$A$1:$B$6,2,FALSE)*Table1[[#This Row],[Quantity]]</f>
        <v>1200</v>
      </c>
      <c r="V447">
        <f>Table1[[#This Row],[Net_Sales]]-Table1[[#This Row],[Total_Cost]]</f>
        <v>4401.2</v>
      </c>
      <c r="W447" t="str">
        <f>TEXT(Table1[[#This Row],[Order_Date]],"mmm")</f>
        <v>Jan</v>
      </c>
      <c r="X447">
        <f>ROUNDUP(MONTH(Table1[[#This Row],[Order_Date]])/3,0)</f>
        <v>1</v>
      </c>
      <c r="Y447">
        <f>YEAR(Table1[[#This Row],[Order_Date]])</f>
        <v>2024</v>
      </c>
    </row>
    <row r="448" spans="1:25" x14ac:dyDescent="0.25">
      <c r="A448" t="s">
        <v>1862</v>
      </c>
      <c r="B448" t="s">
        <v>1863</v>
      </c>
      <c r="C448" t="s">
        <v>1864</v>
      </c>
      <c r="D448" t="s">
        <v>1865</v>
      </c>
      <c r="E448" t="s">
        <v>39</v>
      </c>
      <c r="F448" t="s">
        <v>56</v>
      </c>
      <c r="G448" t="s">
        <v>190</v>
      </c>
      <c r="H448" t="s">
        <v>32</v>
      </c>
      <c r="I448" t="s">
        <v>33</v>
      </c>
      <c r="J448" t="s">
        <v>59</v>
      </c>
      <c r="K448">
        <v>3</v>
      </c>
      <c r="L448">
        <v>1192.46</v>
      </c>
      <c r="M448" s="3">
        <v>0.1</v>
      </c>
      <c r="N448" t="str">
        <f>VLOOKUP(Table1[[#This Row],[Country]],REF_Country!$A$1:$D$11,2,FALSE)</f>
        <v>Southeast Asia</v>
      </c>
      <c r="O448" t="str">
        <f>VLOOKUP(Table1[[#This Row],[Country]],REF_Country!$A$1:$D$11,3,FALSE)</f>
        <v>TH</v>
      </c>
      <c r="P448">
        <f>VLOOKUP(Table1[[#This Row],[Country]],REF_Country!$A$1:$D$11,4,FALSE)</f>
        <v>7.0000000000000007E-2</v>
      </c>
      <c r="Q448">
        <f>VLOOKUP(Table1[[#This Row],[Category]],REF_Target!$A$1:$E$6,2,FALSE)</f>
        <v>50000</v>
      </c>
      <c r="R448">
        <f>Table1[[#This Row],[Quantity]]*Table1[[#This Row],[Unit_Price]]</f>
        <v>3577.38</v>
      </c>
      <c r="S448">
        <f>Table1[[#This Row],[Gross_Sales]]*Table1[[#This Row],[Discount_Rate]]</f>
        <v>357.73800000000006</v>
      </c>
      <c r="T448">
        <f>Table1[[#This Row],[Gross_Sales]]-Table1[[#This Row],[Discount_Amount]]</f>
        <v>3219.6419999999998</v>
      </c>
      <c r="U448">
        <f>VLOOKUP(Table1[[#This Row],[Category]],REF_Cost!$A$1:$B$6,2,FALSE)*Table1[[#This Row],[Quantity]]</f>
        <v>1350</v>
      </c>
      <c r="V448">
        <f>Table1[[#This Row],[Net_Sales]]-Table1[[#This Row],[Total_Cost]]</f>
        <v>1869.6419999999998</v>
      </c>
      <c r="W448" t="str">
        <f>TEXT(Table1[[#This Row],[Order_Date]],"mmm")</f>
        <v>Oct</v>
      </c>
      <c r="X448">
        <f>ROUNDUP(MONTH(Table1[[#This Row],[Order_Date]])/3,0)</f>
        <v>4</v>
      </c>
      <c r="Y448">
        <f>YEAR(Table1[[#This Row],[Order_Date]])</f>
        <v>2024</v>
      </c>
    </row>
    <row r="449" spans="1:25" x14ac:dyDescent="0.25">
      <c r="A449" t="s">
        <v>1866</v>
      </c>
      <c r="B449" t="s">
        <v>1867</v>
      </c>
      <c r="C449" t="s">
        <v>1868</v>
      </c>
      <c r="D449" t="s">
        <v>1869</v>
      </c>
      <c r="E449" t="s">
        <v>64</v>
      </c>
      <c r="F449" t="s">
        <v>84</v>
      </c>
      <c r="G449" t="s">
        <v>412</v>
      </c>
      <c r="H449" t="s">
        <v>32</v>
      </c>
      <c r="I449" t="s">
        <v>43</v>
      </c>
      <c r="J449" t="s">
        <v>126</v>
      </c>
      <c r="K449">
        <v>7</v>
      </c>
      <c r="L449">
        <v>1321.49</v>
      </c>
      <c r="M449" s="3">
        <v>0.1</v>
      </c>
      <c r="N449" t="str">
        <f>VLOOKUP(Table1[[#This Row],[Country]],REF_Country!$A$1:$D$11,2,FALSE)</f>
        <v>Southeast Asia</v>
      </c>
      <c r="O449" t="str">
        <f>VLOOKUP(Table1[[#This Row],[Country]],REF_Country!$A$1:$D$11,3,FALSE)</f>
        <v>ID</v>
      </c>
      <c r="P449">
        <f>VLOOKUP(Table1[[#This Row],[Country]],REF_Country!$A$1:$D$11,4,FALSE)</f>
        <v>0.11</v>
      </c>
      <c r="Q449">
        <f>VLOOKUP(Table1[[#This Row],[Category]],REF_Target!$A$1:$E$6,2,FALSE)</f>
        <v>30000</v>
      </c>
      <c r="R449">
        <f>Table1[[#This Row],[Quantity]]*Table1[[#This Row],[Unit_Price]]</f>
        <v>9250.43</v>
      </c>
      <c r="S449">
        <f>Table1[[#This Row],[Gross_Sales]]*Table1[[#This Row],[Discount_Rate]]</f>
        <v>925.04300000000012</v>
      </c>
      <c r="T449">
        <f>Table1[[#This Row],[Gross_Sales]]-Table1[[#This Row],[Discount_Amount]]</f>
        <v>8325.3870000000006</v>
      </c>
      <c r="U449">
        <f>VLOOKUP(Table1[[#This Row],[Category]],REF_Cost!$A$1:$B$6,2,FALSE)*Table1[[#This Row],[Quantity]]</f>
        <v>1400</v>
      </c>
      <c r="V449">
        <f>Table1[[#This Row],[Net_Sales]]-Table1[[#This Row],[Total_Cost]]</f>
        <v>6925.3870000000006</v>
      </c>
      <c r="W449" t="str">
        <f>TEXT(Table1[[#This Row],[Order_Date]],"mmm")</f>
        <v>Oct</v>
      </c>
      <c r="X449">
        <f>ROUNDUP(MONTH(Table1[[#This Row],[Order_Date]])/3,0)</f>
        <v>4</v>
      </c>
      <c r="Y449">
        <f>YEAR(Table1[[#This Row],[Order_Date]])</f>
        <v>2024</v>
      </c>
    </row>
    <row r="450" spans="1:25" x14ac:dyDescent="0.25">
      <c r="A450" t="s">
        <v>1870</v>
      </c>
      <c r="B450" t="s">
        <v>1871</v>
      </c>
      <c r="C450" t="s">
        <v>1872</v>
      </c>
      <c r="D450" t="s">
        <v>1873</v>
      </c>
      <c r="E450" t="s">
        <v>29</v>
      </c>
      <c r="F450" t="s">
        <v>40</v>
      </c>
      <c r="G450" t="s">
        <v>144</v>
      </c>
      <c r="H450" t="s">
        <v>58</v>
      </c>
      <c r="I450" t="s">
        <v>33</v>
      </c>
      <c r="J450" t="s">
        <v>73</v>
      </c>
      <c r="K450">
        <v>10</v>
      </c>
      <c r="L450">
        <v>489.19</v>
      </c>
      <c r="M450" s="3">
        <v>0</v>
      </c>
      <c r="N450" t="str">
        <f>VLOOKUP(Table1[[#This Row],[Country]],REF_Country!$A$1:$D$11,2,FALSE)</f>
        <v>Southeast Asia</v>
      </c>
      <c r="O450" t="str">
        <f>VLOOKUP(Table1[[#This Row],[Country]],REF_Country!$A$1:$D$11,3,FALSE)</f>
        <v>VN</v>
      </c>
      <c r="P450">
        <f>VLOOKUP(Table1[[#This Row],[Country]],REF_Country!$A$1:$D$11,4,FALSE)</f>
        <v>0.1</v>
      </c>
      <c r="Q450">
        <f>VLOOKUP(Table1[[#This Row],[Category]],REF_Target!$A$1:$E$6,2,FALSE)</f>
        <v>45000</v>
      </c>
      <c r="R450">
        <f>Table1[[#This Row],[Quantity]]*Table1[[#This Row],[Unit_Price]]</f>
        <v>4891.8999999999996</v>
      </c>
      <c r="S450">
        <f>Table1[[#This Row],[Gross_Sales]]*Table1[[#This Row],[Discount_Rate]]</f>
        <v>0</v>
      </c>
      <c r="T450">
        <f>Table1[[#This Row],[Gross_Sales]]-Table1[[#This Row],[Discount_Amount]]</f>
        <v>4891.8999999999996</v>
      </c>
      <c r="U450">
        <f>VLOOKUP(Table1[[#This Row],[Category]],REF_Cost!$A$1:$B$6,2,FALSE)*Table1[[#This Row],[Quantity]]</f>
        <v>800</v>
      </c>
      <c r="V450">
        <f>Table1[[#This Row],[Net_Sales]]-Table1[[#This Row],[Total_Cost]]</f>
        <v>4091.8999999999996</v>
      </c>
      <c r="W450" t="str">
        <f>TEXT(Table1[[#This Row],[Order_Date]],"mmm")</f>
        <v>Nov</v>
      </c>
      <c r="X450">
        <f>ROUNDUP(MONTH(Table1[[#This Row],[Order_Date]])/3,0)</f>
        <v>4</v>
      </c>
      <c r="Y450">
        <f>YEAR(Table1[[#This Row],[Order_Date]])</f>
        <v>2024</v>
      </c>
    </row>
    <row r="451" spans="1:25" x14ac:dyDescent="0.25">
      <c r="A451" t="s">
        <v>1874</v>
      </c>
      <c r="B451" t="s">
        <v>1875</v>
      </c>
      <c r="C451" t="s">
        <v>1876</v>
      </c>
      <c r="D451" t="s">
        <v>1877</v>
      </c>
      <c r="E451" t="s">
        <v>149</v>
      </c>
      <c r="F451" t="s">
        <v>49</v>
      </c>
      <c r="G451" t="s">
        <v>259</v>
      </c>
      <c r="H451" t="s">
        <v>42</v>
      </c>
      <c r="I451" t="s">
        <v>66</v>
      </c>
      <c r="J451" t="s">
        <v>34</v>
      </c>
      <c r="K451">
        <v>2</v>
      </c>
      <c r="L451">
        <v>869.25</v>
      </c>
      <c r="M451" s="3">
        <v>0</v>
      </c>
      <c r="N451" t="str">
        <f>VLOOKUP(Table1[[#This Row],[Country]],REF_Country!$A$1:$D$11,2,FALSE)</f>
        <v>East Asia</v>
      </c>
      <c r="O451" t="str">
        <f>VLOOKUP(Table1[[#This Row],[Country]],REF_Country!$A$1:$D$11,3,FALSE)</f>
        <v>JP</v>
      </c>
      <c r="P451">
        <f>VLOOKUP(Table1[[#This Row],[Country]],REF_Country!$A$1:$D$11,4,FALSE)</f>
        <v>0.1</v>
      </c>
      <c r="Q451">
        <f>VLOOKUP(Table1[[#This Row],[Category]],REF_Target!$A$1:$E$6,2,FALSE)</f>
        <v>35000</v>
      </c>
      <c r="R451">
        <f>Table1[[#This Row],[Quantity]]*Table1[[#This Row],[Unit_Price]]</f>
        <v>1738.5</v>
      </c>
      <c r="S451">
        <f>Table1[[#This Row],[Gross_Sales]]*Table1[[#This Row],[Discount_Rate]]</f>
        <v>0</v>
      </c>
      <c r="T451">
        <f>Table1[[#This Row],[Gross_Sales]]-Table1[[#This Row],[Discount_Amount]]</f>
        <v>1738.5</v>
      </c>
      <c r="U451">
        <f>VLOOKUP(Table1[[#This Row],[Category]],REF_Cost!$A$1:$B$6,2,FALSE)*Table1[[#This Row],[Quantity]]</f>
        <v>300</v>
      </c>
      <c r="V451">
        <f>Table1[[#This Row],[Net_Sales]]-Table1[[#This Row],[Total_Cost]]</f>
        <v>1438.5</v>
      </c>
      <c r="W451" t="str">
        <f>TEXT(Table1[[#This Row],[Order_Date]],"mmm")</f>
        <v>Jan</v>
      </c>
      <c r="X451">
        <f>ROUNDUP(MONTH(Table1[[#This Row],[Order_Date]])/3,0)</f>
        <v>1</v>
      </c>
      <c r="Y451">
        <f>YEAR(Table1[[#This Row],[Order_Date]])</f>
        <v>2024</v>
      </c>
    </row>
    <row r="452" spans="1:25" x14ac:dyDescent="0.25">
      <c r="A452" t="s">
        <v>1878</v>
      </c>
      <c r="B452" t="s">
        <v>1879</v>
      </c>
      <c r="C452" t="s">
        <v>1880</v>
      </c>
      <c r="D452" t="s">
        <v>1881</v>
      </c>
      <c r="E452" t="s">
        <v>200</v>
      </c>
      <c r="F452" t="s">
        <v>40</v>
      </c>
      <c r="G452" t="s">
        <v>144</v>
      </c>
      <c r="H452" t="s">
        <v>42</v>
      </c>
      <c r="I452" t="s">
        <v>33</v>
      </c>
      <c r="J452" t="s">
        <v>34</v>
      </c>
      <c r="K452">
        <v>5</v>
      </c>
      <c r="L452">
        <v>829.01</v>
      </c>
      <c r="M452" s="3">
        <v>0</v>
      </c>
      <c r="N452" t="str">
        <f>VLOOKUP(Table1[[#This Row],[Country]],REF_Country!$A$1:$D$11,2,FALSE)</f>
        <v>East Asia</v>
      </c>
      <c r="O452" t="str">
        <f>VLOOKUP(Table1[[#This Row],[Country]],REF_Country!$A$1:$D$11,3,FALSE)</f>
        <v>KR</v>
      </c>
      <c r="P452">
        <f>VLOOKUP(Table1[[#This Row],[Country]],REF_Country!$A$1:$D$11,4,FALSE)</f>
        <v>0.1</v>
      </c>
      <c r="Q452">
        <f>VLOOKUP(Table1[[#This Row],[Category]],REF_Target!$A$1:$E$6,2,FALSE)</f>
        <v>45000</v>
      </c>
      <c r="R452">
        <f>Table1[[#This Row],[Quantity]]*Table1[[#This Row],[Unit_Price]]</f>
        <v>4145.05</v>
      </c>
      <c r="S452">
        <f>Table1[[#This Row],[Gross_Sales]]*Table1[[#This Row],[Discount_Rate]]</f>
        <v>0</v>
      </c>
      <c r="T452">
        <f>Table1[[#This Row],[Gross_Sales]]-Table1[[#This Row],[Discount_Amount]]</f>
        <v>4145.05</v>
      </c>
      <c r="U452">
        <f>VLOOKUP(Table1[[#This Row],[Category]],REF_Cost!$A$1:$B$6,2,FALSE)*Table1[[#This Row],[Quantity]]</f>
        <v>400</v>
      </c>
      <c r="V452">
        <f>Table1[[#This Row],[Net_Sales]]-Table1[[#This Row],[Total_Cost]]</f>
        <v>3745.05</v>
      </c>
      <c r="W452" t="str">
        <f>TEXT(Table1[[#This Row],[Order_Date]],"mmm")</f>
        <v>Mar</v>
      </c>
      <c r="X452">
        <f>ROUNDUP(MONTH(Table1[[#This Row],[Order_Date]])/3,0)</f>
        <v>1</v>
      </c>
      <c r="Y452">
        <f>YEAR(Table1[[#This Row],[Order_Date]])</f>
        <v>2024</v>
      </c>
    </row>
    <row r="453" spans="1:25" x14ac:dyDescent="0.25">
      <c r="A453" t="s">
        <v>1882</v>
      </c>
      <c r="B453" t="s">
        <v>1883</v>
      </c>
      <c r="C453" t="s">
        <v>1884</v>
      </c>
      <c r="D453" t="s">
        <v>1885</v>
      </c>
      <c r="E453" t="s">
        <v>39</v>
      </c>
      <c r="F453" t="s">
        <v>49</v>
      </c>
      <c r="G453" t="s">
        <v>226</v>
      </c>
      <c r="H453" t="s">
        <v>72</v>
      </c>
      <c r="I453" t="s">
        <v>43</v>
      </c>
      <c r="J453" t="s">
        <v>126</v>
      </c>
      <c r="K453">
        <v>4</v>
      </c>
      <c r="L453">
        <v>983.59</v>
      </c>
      <c r="M453" s="3">
        <v>0.15</v>
      </c>
      <c r="N453" t="str">
        <f>VLOOKUP(Table1[[#This Row],[Country]],REF_Country!$A$1:$D$11,2,FALSE)</f>
        <v>Southeast Asia</v>
      </c>
      <c r="O453" t="str">
        <f>VLOOKUP(Table1[[#This Row],[Country]],REF_Country!$A$1:$D$11,3,FALSE)</f>
        <v>TH</v>
      </c>
      <c r="P453">
        <f>VLOOKUP(Table1[[#This Row],[Country]],REF_Country!$A$1:$D$11,4,FALSE)</f>
        <v>7.0000000000000007E-2</v>
      </c>
      <c r="Q453">
        <f>VLOOKUP(Table1[[#This Row],[Category]],REF_Target!$A$1:$E$6,2,FALSE)</f>
        <v>35000</v>
      </c>
      <c r="R453">
        <f>Table1[[#This Row],[Quantity]]*Table1[[#This Row],[Unit_Price]]</f>
        <v>3934.36</v>
      </c>
      <c r="S453">
        <f>Table1[[#This Row],[Gross_Sales]]*Table1[[#This Row],[Discount_Rate]]</f>
        <v>590.154</v>
      </c>
      <c r="T453">
        <f>Table1[[#This Row],[Gross_Sales]]-Table1[[#This Row],[Discount_Amount]]</f>
        <v>3344.2060000000001</v>
      </c>
      <c r="U453">
        <f>VLOOKUP(Table1[[#This Row],[Category]],REF_Cost!$A$1:$B$6,2,FALSE)*Table1[[#This Row],[Quantity]]</f>
        <v>600</v>
      </c>
      <c r="V453">
        <f>Table1[[#This Row],[Net_Sales]]-Table1[[#This Row],[Total_Cost]]</f>
        <v>2744.2060000000001</v>
      </c>
      <c r="W453" t="str">
        <f>TEXT(Table1[[#This Row],[Order_Date]],"mmm")</f>
        <v>Mar</v>
      </c>
      <c r="X453">
        <f>ROUNDUP(MONTH(Table1[[#This Row],[Order_Date]])/3,0)</f>
        <v>1</v>
      </c>
      <c r="Y453">
        <f>YEAR(Table1[[#This Row],[Order_Date]])</f>
        <v>2024</v>
      </c>
    </row>
    <row r="454" spans="1:25" x14ac:dyDescent="0.25">
      <c r="A454" t="s">
        <v>1886</v>
      </c>
      <c r="B454" t="s">
        <v>1887</v>
      </c>
      <c r="C454" t="s">
        <v>1888</v>
      </c>
      <c r="D454" t="s">
        <v>1889</v>
      </c>
      <c r="E454" t="s">
        <v>83</v>
      </c>
      <c r="F454" t="s">
        <v>56</v>
      </c>
      <c r="G454" t="s">
        <v>101</v>
      </c>
      <c r="H454" t="s">
        <v>58</v>
      </c>
      <c r="I454" t="s">
        <v>43</v>
      </c>
      <c r="J454" t="s">
        <v>59</v>
      </c>
      <c r="K454">
        <v>7</v>
      </c>
      <c r="L454">
        <v>1012.55</v>
      </c>
      <c r="M454" s="3">
        <v>0.05</v>
      </c>
      <c r="N454" t="str">
        <f>VLOOKUP(Table1[[#This Row],[Country]],REF_Country!$A$1:$D$11,2,FALSE)</f>
        <v>South Asia</v>
      </c>
      <c r="O454" t="str">
        <f>VLOOKUP(Table1[[#This Row],[Country]],REF_Country!$A$1:$D$11,3,FALSE)</f>
        <v>IN</v>
      </c>
      <c r="P454">
        <f>VLOOKUP(Table1[[#This Row],[Country]],REF_Country!$A$1:$D$11,4,FALSE)</f>
        <v>0.18</v>
      </c>
      <c r="Q454">
        <f>VLOOKUP(Table1[[#This Row],[Category]],REF_Target!$A$1:$E$6,2,FALSE)</f>
        <v>50000</v>
      </c>
      <c r="R454">
        <f>Table1[[#This Row],[Quantity]]*Table1[[#This Row],[Unit_Price]]</f>
        <v>7087.8499999999995</v>
      </c>
      <c r="S454">
        <f>Table1[[#This Row],[Gross_Sales]]*Table1[[#This Row],[Discount_Rate]]</f>
        <v>354.39249999999998</v>
      </c>
      <c r="T454">
        <f>Table1[[#This Row],[Gross_Sales]]-Table1[[#This Row],[Discount_Amount]]</f>
        <v>6733.4574999999995</v>
      </c>
      <c r="U454">
        <f>VLOOKUP(Table1[[#This Row],[Category]],REF_Cost!$A$1:$B$6,2,FALSE)*Table1[[#This Row],[Quantity]]</f>
        <v>3150</v>
      </c>
      <c r="V454">
        <f>Table1[[#This Row],[Net_Sales]]-Table1[[#This Row],[Total_Cost]]</f>
        <v>3583.4574999999995</v>
      </c>
      <c r="W454" t="str">
        <f>TEXT(Table1[[#This Row],[Order_Date]],"mmm")</f>
        <v>Aug</v>
      </c>
      <c r="X454">
        <f>ROUNDUP(MONTH(Table1[[#This Row],[Order_Date]])/3,0)</f>
        <v>3</v>
      </c>
      <c r="Y454">
        <f>YEAR(Table1[[#This Row],[Order_Date]])</f>
        <v>2024</v>
      </c>
    </row>
    <row r="455" spans="1:25" x14ac:dyDescent="0.25">
      <c r="A455" t="s">
        <v>1890</v>
      </c>
      <c r="B455" t="s">
        <v>1891</v>
      </c>
      <c r="C455" t="s">
        <v>1892</v>
      </c>
      <c r="D455" t="s">
        <v>1893</v>
      </c>
      <c r="E455" t="s">
        <v>29</v>
      </c>
      <c r="F455" t="s">
        <v>30</v>
      </c>
      <c r="G455" t="s">
        <v>65</v>
      </c>
      <c r="H455" t="s">
        <v>72</v>
      </c>
      <c r="I455" t="s">
        <v>96</v>
      </c>
      <c r="J455" t="s">
        <v>126</v>
      </c>
      <c r="K455">
        <v>8</v>
      </c>
      <c r="L455">
        <v>930.09</v>
      </c>
      <c r="M455" s="3">
        <v>0.15</v>
      </c>
      <c r="N455" t="str">
        <f>VLOOKUP(Table1[[#This Row],[Country]],REF_Country!$A$1:$D$11,2,FALSE)</f>
        <v>Southeast Asia</v>
      </c>
      <c r="O455" t="str">
        <f>VLOOKUP(Table1[[#This Row],[Country]],REF_Country!$A$1:$D$11,3,FALSE)</f>
        <v>VN</v>
      </c>
      <c r="P455">
        <f>VLOOKUP(Table1[[#This Row],[Country]],REF_Country!$A$1:$D$11,4,FALSE)</f>
        <v>0.1</v>
      </c>
      <c r="Q455">
        <f>VLOOKUP(Table1[[#This Row],[Category]],REF_Target!$A$1:$E$6,2,FALSE)</f>
        <v>40000</v>
      </c>
      <c r="R455">
        <f>Table1[[#This Row],[Quantity]]*Table1[[#This Row],[Unit_Price]]</f>
        <v>7440.72</v>
      </c>
      <c r="S455">
        <f>Table1[[#This Row],[Gross_Sales]]*Table1[[#This Row],[Discount_Rate]]</f>
        <v>1116.1079999999999</v>
      </c>
      <c r="T455">
        <f>Table1[[#This Row],[Gross_Sales]]-Table1[[#This Row],[Discount_Amount]]</f>
        <v>6324.6120000000001</v>
      </c>
      <c r="U455">
        <f>VLOOKUP(Table1[[#This Row],[Category]],REF_Cost!$A$1:$B$6,2,FALSE)*Table1[[#This Row],[Quantity]]</f>
        <v>960</v>
      </c>
      <c r="V455">
        <f>Table1[[#This Row],[Net_Sales]]-Table1[[#This Row],[Total_Cost]]</f>
        <v>5364.6120000000001</v>
      </c>
      <c r="W455" t="str">
        <f>TEXT(Table1[[#This Row],[Order_Date]],"mmm")</f>
        <v>Oct</v>
      </c>
      <c r="X455">
        <f>ROUNDUP(MONTH(Table1[[#This Row],[Order_Date]])/3,0)</f>
        <v>4</v>
      </c>
      <c r="Y455">
        <f>YEAR(Table1[[#This Row],[Order_Date]])</f>
        <v>2024</v>
      </c>
    </row>
    <row r="456" spans="1:25" x14ac:dyDescent="0.25">
      <c r="A456" t="s">
        <v>1894</v>
      </c>
      <c r="B456" t="s">
        <v>1895</v>
      </c>
      <c r="C456" t="s">
        <v>1896</v>
      </c>
      <c r="D456" t="s">
        <v>1897</v>
      </c>
      <c r="E456" t="s">
        <v>48</v>
      </c>
      <c r="F456" t="s">
        <v>56</v>
      </c>
      <c r="G456" t="s">
        <v>101</v>
      </c>
      <c r="H456" t="s">
        <v>72</v>
      </c>
      <c r="I456" t="s">
        <v>66</v>
      </c>
      <c r="J456" t="s">
        <v>126</v>
      </c>
      <c r="K456">
        <v>4</v>
      </c>
      <c r="L456">
        <v>1113.28</v>
      </c>
      <c r="M456" s="3">
        <v>0.15</v>
      </c>
      <c r="N456" t="str">
        <f>VLOOKUP(Table1[[#This Row],[Country]],REF_Country!$A$1:$D$11,2,FALSE)</f>
        <v>Southeast Asia</v>
      </c>
      <c r="O456" t="str">
        <f>VLOOKUP(Table1[[#This Row],[Country]],REF_Country!$A$1:$D$11,3,FALSE)</f>
        <v>SG</v>
      </c>
      <c r="P456">
        <f>VLOOKUP(Table1[[#This Row],[Country]],REF_Country!$A$1:$D$11,4,FALSE)</f>
        <v>7.0000000000000007E-2</v>
      </c>
      <c r="Q456">
        <f>VLOOKUP(Table1[[#This Row],[Category]],REF_Target!$A$1:$E$6,2,FALSE)</f>
        <v>50000</v>
      </c>
      <c r="R456">
        <f>Table1[[#This Row],[Quantity]]*Table1[[#This Row],[Unit_Price]]</f>
        <v>4453.12</v>
      </c>
      <c r="S456">
        <f>Table1[[#This Row],[Gross_Sales]]*Table1[[#This Row],[Discount_Rate]]</f>
        <v>667.96799999999996</v>
      </c>
      <c r="T456">
        <f>Table1[[#This Row],[Gross_Sales]]-Table1[[#This Row],[Discount_Amount]]</f>
        <v>3785.152</v>
      </c>
      <c r="U456">
        <f>VLOOKUP(Table1[[#This Row],[Category]],REF_Cost!$A$1:$B$6,2,FALSE)*Table1[[#This Row],[Quantity]]</f>
        <v>1800</v>
      </c>
      <c r="V456">
        <f>Table1[[#This Row],[Net_Sales]]-Table1[[#This Row],[Total_Cost]]</f>
        <v>1985.152</v>
      </c>
      <c r="W456" t="str">
        <f>TEXT(Table1[[#This Row],[Order_Date]],"mmm")</f>
        <v>Apr</v>
      </c>
      <c r="X456">
        <f>ROUNDUP(MONTH(Table1[[#This Row],[Order_Date]])/3,0)</f>
        <v>2</v>
      </c>
      <c r="Y456">
        <f>YEAR(Table1[[#This Row],[Order_Date]])</f>
        <v>2024</v>
      </c>
    </row>
    <row r="457" spans="1:25" x14ac:dyDescent="0.25">
      <c r="A457" t="s">
        <v>1898</v>
      </c>
      <c r="B457" t="s">
        <v>1899</v>
      </c>
      <c r="C457" t="s">
        <v>1900</v>
      </c>
      <c r="D457" t="s">
        <v>1901</v>
      </c>
      <c r="E457" t="s">
        <v>200</v>
      </c>
      <c r="F457" t="s">
        <v>49</v>
      </c>
      <c r="G457" t="s">
        <v>117</v>
      </c>
      <c r="H457" t="s">
        <v>72</v>
      </c>
      <c r="I457" t="s">
        <v>33</v>
      </c>
      <c r="J457" t="s">
        <v>59</v>
      </c>
      <c r="K457">
        <v>9</v>
      </c>
      <c r="L457">
        <v>507.84</v>
      </c>
      <c r="M457" s="3">
        <v>0</v>
      </c>
      <c r="N457" t="str">
        <f>VLOOKUP(Table1[[#This Row],[Country]],REF_Country!$A$1:$D$11,2,FALSE)</f>
        <v>East Asia</v>
      </c>
      <c r="O457" t="str">
        <f>VLOOKUP(Table1[[#This Row],[Country]],REF_Country!$A$1:$D$11,3,FALSE)</f>
        <v>KR</v>
      </c>
      <c r="P457">
        <f>VLOOKUP(Table1[[#This Row],[Country]],REF_Country!$A$1:$D$11,4,FALSE)</f>
        <v>0.1</v>
      </c>
      <c r="Q457">
        <f>VLOOKUP(Table1[[#This Row],[Category]],REF_Target!$A$1:$E$6,2,FALSE)</f>
        <v>35000</v>
      </c>
      <c r="R457">
        <f>Table1[[#This Row],[Quantity]]*Table1[[#This Row],[Unit_Price]]</f>
        <v>4570.5599999999995</v>
      </c>
      <c r="S457">
        <f>Table1[[#This Row],[Gross_Sales]]*Table1[[#This Row],[Discount_Rate]]</f>
        <v>0</v>
      </c>
      <c r="T457">
        <f>Table1[[#This Row],[Gross_Sales]]-Table1[[#This Row],[Discount_Amount]]</f>
        <v>4570.5599999999995</v>
      </c>
      <c r="U457">
        <f>VLOOKUP(Table1[[#This Row],[Category]],REF_Cost!$A$1:$B$6,2,FALSE)*Table1[[#This Row],[Quantity]]</f>
        <v>1350</v>
      </c>
      <c r="V457">
        <f>Table1[[#This Row],[Net_Sales]]-Table1[[#This Row],[Total_Cost]]</f>
        <v>3220.5599999999995</v>
      </c>
      <c r="W457" t="str">
        <f>TEXT(Table1[[#This Row],[Order_Date]],"mmm")</f>
        <v>Dec</v>
      </c>
      <c r="X457">
        <f>ROUNDUP(MONTH(Table1[[#This Row],[Order_Date]])/3,0)</f>
        <v>4</v>
      </c>
      <c r="Y457">
        <f>YEAR(Table1[[#This Row],[Order_Date]])</f>
        <v>2024</v>
      </c>
    </row>
    <row r="458" spans="1:25" x14ac:dyDescent="0.25">
      <c r="A458" t="s">
        <v>1902</v>
      </c>
      <c r="B458" t="s">
        <v>1903</v>
      </c>
      <c r="C458" t="s">
        <v>1904</v>
      </c>
      <c r="D458" t="s">
        <v>1905</v>
      </c>
      <c r="E458" t="s">
        <v>64</v>
      </c>
      <c r="F458" t="s">
        <v>49</v>
      </c>
      <c r="G458" t="s">
        <v>259</v>
      </c>
      <c r="H458" t="s">
        <v>58</v>
      </c>
      <c r="I458" t="s">
        <v>43</v>
      </c>
      <c r="J458" t="s">
        <v>126</v>
      </c>
      <c r="K458">
        <v>9</v>
      </c>
      <c r="L458">
        <v>1360.47</v>
      </c>
      <c r="M458" s="3">
        <v>0</v>
      </c>
      <c r="N458" t="str">
        <f>VLOOKUP(Table1[[#This Row],[Country]],REF_Country!$A$1:$D$11,2,FALSE)</f>
        <v>Southeast Asia</v>
      </c>
      <c r="O458" t="str">
        <f>VLOOKUP(Table1[[#This Row],[Country]],REF_Country!$A$1:$D$11,3,FALSE)</f>
        <v>ID</v>
      </c>
      <c r="P458">
        <f>VLOOKUP(Table1[[#This Row],[Country]],REF_Country!$A$1:$D$11,4,FALSE)</f>
        <v>0.11</v>
      </c>
      <c r="Q458">
        <f>VLOOKUP(Table1[[#This Row],[Category]],REF_Target!$A$1:$E$6,2,FALSE)</f>
        <v>35000</v>
      </c>
      <c r="R458">
        <f>Table1[[#This Row],[Quantity]]*Table1[[#This Row],[Unit_Price]]</f>
        <v>12244.23</v>
      </c>
      <c r="S458">
        <f>Table1[[#This Row],[Gross_Sales]]*Table1[[#This Row],[Discount_Rate]]</f>
        <v>0</v>
      </c>
      <c r="T458">
        <f>Table1[[#This Row],[Gross_Sales]]-Table1[[#This Row],[Discount_Amount]]</f>
        <v>12244.23</v>
      </c>
      <c r="U458">
        <f>VLOOKUP(Table1[[#This Row],[Category]],REF_Cost!$A$1:$B$6,2,FALSE)*Table1[[#This Row],[Quantity]]</f>
        <v>1350</v>
      </c>
      <c r="V458">
        <f>Table1[[#This Row],[Net_Sales]]-Table1[[#This Row],[Total_Cost]]</f>
        <v>10894.23</v>
      </c>
      <c r="W458" t="str">
        <f>TEXT(Table1[[#This Row],[Order_Date]],"mmm")</f>
        <v>Nov</v>
      </c>
      <c r="X458">
        <f>ROUNDUP(MONTH(Table1[[#This Row],[Order_Date]])/3,0)</f>
        <v>4</v>
      </c>
      <c r="Y458">
        <f>YEAR(Table1[[#This Row],[Order_Date]])</f>
        <v>2024</v>
      </c>
    </row>
    <row r="459" spans="1:25" x14ac:dyDescent="0.25">
      <c r="A459" t="s">
        <v>1906</v>
      </c>
      <c r="B459" t="s">
        <v>1907</v>
      </c>
      <c r="C459" t="s">
        <v>1908</v>
      </c>
      <c r="D459" t="s">
        <v>1909</v>
      </c>
      <c r="E459" t="s">
        <v>29</v>
      </c>
      <c r="F459" t="s">
        <v>56</v>
      </c>
      <c r="G459" t="s">
        <v>57</v>
      </c>
      <c r="H459" t="s">
        <v>42</v>
      </c>
      <c r="I459" t="s">
        <v>66</v>
      </c>
      <c r="J459" t="s">
        <v>59</v>
      </c>
      <c r="K459">
        <v>1</v>
      </c>
      <c r="L459">
        <v>987.32</v>
      </c>
      <c r="M459" s="3">
        <v>0</v>
      </c>
      <c r="N459" t="str">
        <f>VLOOKUP(Table1[[#This Row],[Country]],REF_Country!$A$1:$D$11,2,FALSE)</f>
        <v>Southeast Asia</v>
      </c>
      <c r="O459" t="str">
        <f>VLOOKUP(Table1[[#This Row],[Country]],REF_Country!$A$1:$D$11,3,FALSE)</f>
        <v>VN</v>
      </c>
      <c r="P459">
        <f>VLOOKUP(Table1[[#This Row],[Country]],REF_Country!$A$1:$D$11,4,FALSE)</f>
        <v>0.1</v>
      </c>
      <c r="Q459">
        <f>VLOOKUP(Table1[[#This Row],[Category]],REF_Target!$A$1:$E$6,2,FALSE)</f>
        <v>50000</v>
      </c>
      <c r="R459">
        <f>Table1[[#This Row],[Quantity]]*Table1[[#This Row],[Unit_Price]]</f>
        <v>987.32</v>
      </c>
      <c r="S459">
        <f>Table1[[#This Row],[Gross_Sales]]*Table1[[#This Row],[Discount_Rate]]</f>
        <v>0</v>
      </c>
      <c r="T459">
        <f>Table1[[#This Row],[Gross_Sales]]-Table1[[#This Row],[Discount_Amount]]</f>
        <v>987.32</v>
      </c>
      <c r="U459">
        <f>VLOOKUP(Table1[[#This Row],[Category]],REF_Cost!$A$1:$B$6,2,FALSE)*Table1[[#This Row],[Quantity]]</f>
        <v>450</v>
      </c>
      <c r="V459">
        <f>Table1[[#This Row],[Net_Sales]]-Table1[[#This Row],[Total_Cost]]</f>
        <v>537.32000000000005</v>
      </c>
      <c r="W459" t="str">
        <f>TEXT(Table1[[#This Row],[Order_Date]],"mmm")</f>
        <v>Apr</v>
      </c>
      <c r="X459">
        <f>ROUNDUP(MONTH(Table1[[#This Row],[Order_Date]])/3,0)</f>
        <v>2</v>
      </c>
      <c r="Y459">
        <f>YEAR(Table1[[#This Row],[Order_Date]])</f>
        <v>2024</v>
      </c>
    </row>
    <row r="460" spans="1:25" x14ac:dyDescent="0.25">
      <c r="A460" t="s">
        <v>1910</v>
      </c>
      <c r="B460" t="s">
        <v>1911</v>
      </c>
      <c r="C460" t="s">
        <v>1912</v>
      </c>
      <c r="D460" t="s">
        <v>1913</v>
      </c>
      <c r="E460" t="s">
        <v>149</v>
      </c>
      <c r="F460" t="s">
        <v>30</v>
      </c>
      <c r="G460" t="s">
        <v>195</v>
      </c>
      <c r="H460" t="s">
        <v>42</v>
      </c>
      <c r="I460" t="s">
        <v>33</v>
      </c>
      <c r="J460" t="s">
        <v>126</v>
      </c>
      <c r="K460">
        <v>2</v>
      </c>
      <c r="L460">
        <v>770.18</v>
      </c>
      <c r="M460" s="3">
        <v>0.05</v>
      </c>
      <c r="N460" t="str">
        <f>VLOOKUP(Table1[[#This Row],[Country]],REF_Country!$A$1:$D$11,2,FALSE)</f>
        <v>East Asia</v>
      </c>
      <c r="O460" t="str">
        <f>VLOOKUP(Table1[[#This Row],[Country]],REF_Country!$A$1:$D$11,3,FALSE)</f>
        <v>JP</v>
      </c>
      <c r="P460">
        <f>VLOOKUP(Table1[[#This Row],[Country]],REF_Country!$A$1:$D$11,4,FALSE)</f>
        <v>0.1</v>
      </c>
      <c r="Q460">
        <f>VLOOKUP(Table1[[#This Row],[Category]],REF_Target!$A$1:$E$6,2,FALSE)</f>
        <v>40000</v>
      </c>
      <c r="R460">
        <f>Table1[[#This Row],[Quantity]]*Table1[[#This Row],[Unit_Price]]</f>
        <v>1540.36</v>
      </c>
      <c r="S460">
        <f>Table1[[#This Row],[Gross_Sales]]*Table1[[#This Row],[Discount_Rate]]</f>
        <v>77.018000000000001</v>
      </c>
      <c r="T460">
        <f>Table1[[#This Row],[Gross_Sales]]-Table1[[#This Row],[Discount_Amount]]</f>
        <v>1463.3419999999999</v>
      </c>
      <c r="U460">
        <f>VLOOKUP(Table1[[#This Row],[Category]],REF_Cost!$A$1:$B$6,2,FALSE)*Table1[[#This Row],[Quantity]]</f>
        <v>240</v>
      </c>
      <c r="V460">
        <f>Table1[[#This Row],[Net_Sales]]-Table1[[#This Row],[Total_Cost]]</f>
        <v>1223.3419999999999</v>
      </c>
      <c r="W460" t="str">
        <f>TEXT(Table1[[#This Row],[Order_Date]],"mmm")</f>
        <v>Jan</v>
      </c>
      <c r="X460">
        <f>ROUNDUP(MONTH(Table1[[#This Row],[Order_Date]])/3,0)</f>
        <v>1</v>
      </c>
      <c r="Y460">
        <f>YEAR(Table1[[#This Row],[Order_Date]])</f>
        <v>2024</v>
      </c>
    </row>
    <row r="461" spans="1:25" x14ac:dyDescent="0.25">
      <c r="A461" t="s">
        <v>1914</v>
      </c>
      <c r="B461" t="s">
        <v>1915</v>
      </c>
      <c r="C461" t="s">
        <v>1916</v>
      </c>
      <c r="D461" t="s">
        <v>1917</v>
      </c>
      <c r="E461" t="s">
        <v>78</v>
      </c>
      <c r="F461" t="s">
        <v>56</v>
      </c>
      <c r="G461" t="s">
        <v>101</v>
      </c>
      <c r="H461" t="s">
        <v>58</v>
      </c>
      <c r="I461" t="s">
        <v>96</v>
      </c>
      <c r="J461" t="s">
        <v>34</v>
      </c>
      <c r="K461">
        <v>9</v>
      </c>
      <c r="L461">
        <v>382.38</v>
      </c>
      <c r="M461" s="3">
        <v>0.05</v>
      </c>
      <c r="N461" t="str">
        <f>VLOOKUP(Table1[[#This Row],[Country]],REF_Country!$A$1:$D$11,2,FALSE)</f>
        <v>Oceania</v>
      </c>
      <c r="O461" t="str">
        <f>VLOOKUP(Table1[[#This Row],[Country]],REF_Country!$A$1:$D$11,3,FALSE)</f>
        <v>AU</v>
      </c>
      <c r="P461">
        <f>VLOOKUP(Table1[[#This Row],[Country]],REF_Country!$A$1:$D$11,4,FALSE)</f>
        <v>0.1</v>
      </c>
      <c r="Q461">
        <f>VLOOKUP(Table1[[#This Row],[Category]],REF_Target!$A$1:$E$6,2,FALSE)</f>
        <v>50000</v>
      </c>
      <c r="R461">
        <f>Table1[[#This Row],[Quantity]]*Table1[[#This Row],[Unit_Price]]</f>
        <v>3441.42</v>
      </c>
      <c r="S461">
        <f>Table1[[#This Row],[Gross_Sales]]*Table1[[#This Row],[Discount_Rate]]</f>
        <v>172.07100000000003</v>
      </c>
      <c r="T461">
        <f>Table1[[#This Row],[Gross_Sales]]-Table1[[#This Row],[Discount_Amount]]</f>
        <v>3269.3490000000002</v>
      </c>
      <c r="U461">
        <f>VLOOKUP(Table1[[#This Row],[Category]],REF_Cost!$A$1:$B$6,2,FALSE)*Table1[[#This Row],[Quantity]]</f>
        <v>4050</v>
      </c>
      <c r="V461">
        <f>Table1[[#This Row],[Net_Sales]]-Table1[[#This Row],[Total_Cost]]</f>
        <v>-780.65099999999984</v>
      </c>
      <c r="W461" t="str">
        <f>TEXT(Table1[[#This Row],[Order_Date]],"mmm")</f>
        <v>Apr</v>
      </c>
      <c r="X461">
        <f>ROUNDUP(MONTH(Table1[[#This Row],[Order_Date]])/3,0)</f>
        <v>2</v>
      </c>
      <c r="Y461">
        <f>YEAR(Table1[[#This Row],[Order_Date]])</f>
        <v>2024</v>
      </c>
    </row>
    <row r="462" spans="1:25" x14ac:dyDescent="0.25">
      <c r="A462" t="s">
        <v>1918</v>
      </c>
      <c r="B462" t="s">
        <v>1919</v>
      </c>
      <c r="C462" t="s">
        <v>1920</v>
      </c>
      <c r="D462" t="s">
        <v>1921</v>
      </c>
      <c r="E462" t="s">
        <v>71</v>
      </c>
      <c r="F462" t="s">
        <v>84</v>
      </c>
      <c r="G462" t="s">
        <v>412</v>
      </c>
      <c r="H462" t="s">
        <v>32</v>
      </c>
      <c r="I462" t="s">
        <v>66</v>
      </c>
      <c r="J462" t="s">
        <v>34</v>
      </c>
      <c r="K462">
        <v>9</v>
      </c>
      <c r="L462">
        <v>365.76</v>
      </c>
      <c r="M462" s="3">
        <v>0.05</v>
      </c>
      <c r="N462" t="str">
        <f>VLOOKUP(Table1[[#This Row],[Country]],REF_Country!$A$1:$D$11,2,FALSE)</f>
        <v>Southeast Asia</v>
      </c>
      <c r="O462" t="str">
        <f>VLOOKUP(Table1[[#This Row],[Country]],REF_Country!$A$1:$D$11,3,FALSE)</f>
        <v>PH</v>
      </c>
      <c r="P462">
        <f>VLOOKUP(Table1[[#This Row],[Country]],REF_Country!$A$1:$D$11,4,FALSE)</f>
        <v>0.12</v>
      </c>
      <c r="Q462">
        <f>VLOOKUP(Table1[[#This Row],[Category]],REF_Target!$A$1:$E$6,2,FALSE)</f>
        <v>30000</v>
      </c>
      <c r="R462">
        <f>Table1[[#This Row],[Quantity]]*Table1[[#This Row],[Unit_Price]]</f>
        <v>3291.84</v>
      </c>
      <c r="S462">
        <f>Table1[[#This Row],[Gross_Sales]]*Table1[[#This Row],[Discount_Rate]]</f>
        <v>164.59200000000001</v>
      </c>
      <c r="T462">
        <f>Table1[[#This Row],[Gross_Sales]]-Table1[[#This Row],[Discount_Amount]]</f>
        <v>3127.248</v>
      </c>
      <c r="U462">
        <f>VLOOKUP(Table1[[#This Row],[Category]],REF_Cost!$A$1:$B$6,2,FALSE)*Table1[[#This Row],[Quantity]]</f>
        <v>1800</v>
      </c>
      <c r="V462">
        <f>Table1[[#This Row],[Net_Sales]]-Table1[[#This Row],[Total_Cost]]</f>
        <v>1327.248</v>
      </c>
      <c r="W462" t="str">
        <f>TEXT(Table1[[#This Row],[Order_Date]],"mmm")</f>
        <v>Jan</v>
      </c>
      <c r="X462">
        <f>ROUNDUP(MONTH(Table1[[#This Row],[Order_Date]])/3,0)</f>
        <v>1</v>
      </c>
      <c r="Y462">
        <f>YEAR(Table1[[#This Row],[Order_Date]])</f>
        <v>2024</v>
      </c>
    </row>
    <row r="463" spans="1:25" x14ac:dyDescent="0.25">
      <c r="A463" t="s">
        <v>1922</v>
      </c>
      <c r="B463" t="s">
        <v>1923</v>
      </c>
      <c r="C463" t="s">
        <v>1924</v>
      </c>
      <c r="D463" t="s">
        <v>1925</v>
      </c>
      <c r="E463" t="s">
        <v>48</v>
      </c>
      <c r="F463" t="s">
        <v>84</v>
      </c>
      <c r="G463" t="s">
        <v>264</v>
      </c>
      <c r="H463" t="s">
        <v>42</v>
      </c>
      <c r="I463" t="s">
        <v>33</v>
      </c>
      <c r="J463" t="s">
        <v>73</v>
      </c>
      <c r="K463">
        <v>2</v>
      </c>
      <c r="L463">
        <v>990.54</v>
      </c>
      <c r="M463" s="3">
        <v>0.2</v>
      </c>
      <c r="N463" t="str">
        <f>VLOOKUP(Table1[[#This Row],[Country]],REF_Country!$A$1:$D$11,2,FALSE)</f>
        <v>Southeast Asia</v>
      </c>
      <c r="O463" t="str">
        <f>VLOOKUP(Table1[[#This Row],[Country]],REF_Country!$A$1:$D$11,3,FALSE)</f>
        <v>SG</v>
      </c>
      <c r="P463">
        <f>VLOOKUP(Table1[[#This Row],[Country]],REF_Country!$A$1:$D$11,4,FALSE)</f>
        <v>7.0000000000000007E-2</v>
      </c>
      <c r="Q463">
        <f>VLOOKUP(Table1[[#This Row],[Category]],REF_Target!$A$1:$E$6,2,FALSE)</f>
        <v>30000</v>
      </c>
      <c r="R463">
        <f>Table1[[#This Row],[Quantity]]*Table1[[#This Row],[Unit_Price]]</f>
        <v>1981.08</v>
      </c>
      <c r="S463">
        <f>Table1[[#This Row],[Gross_Sales]]*Table1[[#This Row],[Discount_Rate]]</f>
        <v>396.21600000000001</v>
      </c>
      <c r="T463">
        <f>Table1[[#This Row],[Gross_Sales]]-Table1[[#This Row],[Discount_Amount]]</f>
        <v>1584.864</v>
      </c>
      <c r="U463">
        <f>VLOOKUP(Table1[[#This Row],[Category]],REF_Cost!$A$1:$B$6,2,FALSE)*Table1[[#This Row],[Quantity]]</f>
        <v>400</v>
      </c>
      <c r="V463">
        <f>Table1[[#This Row],[Net_Sales]]-Table1[[#This Row],[Total_Cost]]</f>
        <v>1184.864</v>
      </c>
      <c r="W463" t="str">
        <f>TEXT(Table1[[#This Row],[Order_Date]],"mmm")</f>
        <v>Oct</v>
      </c>
      <c r="X463">
        <f>ROUNDUP(MONTH(Table1[[#This Row],[Order_Date]])/3,0)</f>
        <v>4</v>
      </c>
      <c r="Y463">
        <f>YEAR(Table1[[#This Row],[Order_Date]])</f>
        <v>2024</v>
      </c>
    </row>
    <row r="464" spans="1:25" x14ac:dyDescent="0.25">
      <c r="A464" t="s">
        <v>1926</v>
      </c>
      <c r="B464" t="s">
        <v>1927</v>
      </c>
      <c r="C464" t="s">
        <v>1928</v>
      </c>
      <c r="D464" t="s">
        <v>1929</v>
      </c>
      <c r="E464" t="s">
        <v>149</v>
      </c>
      <c r="F464" t="s">
        <v>84</v>
      </c>
      <c r="G464" t="s">
        <v>90</v>
      </c>
      <c r="H464" t="s">
        <v>72</v>
      </c>
      <c r="I464" t="s">
        <v>43</v>
      </c>
      <c r="J464" t="s">
        <v>73</v>
      </c>
      <c r="K464">
        <v>9</v>
      </c>
      <c r="L464">
        <v>503.99</v>
      </c>
      <c r="M464" s="3">
        <v>0</v>
      </c>
      <c r="N464" t="str">
        <f>VLOOKUP(Table1[[#This Row],[Country]],REF_Country!$A$1:$D$11,2,FALSE)</f>
        <v>East Asia</v>
      </c>
      <c r="O464" t="str">
        <f>VLOOKUP(Table1[[#This Row],[Country]],REF_Country!$A$1:$D$11,3,FALSE)</f>
        <v>JP</v>
      </c>
      <c r="P464">
        <f>VLOOKUP(Table1[[#This Row],[Country]],REF_Country!$A$1:$D$11,4,FALSE)</f>
        <v>0.1</v>
      </c>
      <c r="Q464">
        <f>VLOOKUP(Table1[[#This Row],[Category]],REF_Target!$A$1:$E$6,2,FALSE)</f>
        <v>30000</v>
      </c>
      <c r="R464">
        <f>Table1[[#This Row],[Quantity]]*Table1[[#This Row],[Unit_Price]]</f>
        <v>4535.91</v>
      </c>
      <c r="S464">
        <f>Table1[[#This Row],[Gross_Sales]]*Table1[[#This Row],[Discount_Rate]]</f>
        <v>0</v>
      </c>
      <c r="T464">
        <f>Table1[[#This Row],[Gross_Sales]]-Table1[[#This Row],[Discount_Amount]]</f>
        <v>4535.91</v>
      </c>
      <c r="U464">
        <f>VLOOKUP(Table1[[#This Row],[Category]],REF_Cost!$A$1:$B$6,2,FALSE)*Table1[[#This Row],[Quantity]]</f>
        <v>1800</v>
      </c>
      <c r="V464">
        <f>Table1[[#This Row],[Net_Sales]]-Table1[[#This Row],[Total_Cost]]</f>
        <v>2735.91</v>
      </c>
      <c r="W464" t="str">
        <f>TEXT(Table1[[#This Row],[Order_Date]],"mmm")</f>
        <v>May</v>
      </c>
      <c r="X464">
        <f>ROUNDUP(MONTH(Table1[[#This Row],[Order_Date]])/3,0)</f>
        <v>2</v>
      </c>
      <c r="Y464">
        <f>YEAR(Table1[[#This Row],[Order_Date]])</f>
        <v>2024</v>
      </c>
    </row>
    <row r="465" spans="1:25" x14ac:dyDescent="0.25">
      <c r="A465" t="s">
        <v>1930</v>
      </c>
      <c r="B465" t="s">
        <v>1931</v>
      </c>
      <c r="C465" t="s">
        <v>1932</v>
      </c>
      <c r="D465" t="s">
        <v>1933</v>
      </c>
      <c r="E465" t="s">
        <v>78</v>
      </c>
      <c r="F465" t="s">
        <v>30</v>
      </c>
      <c r="G465" t="s">
        <v>195</v>
      </c>
      <c r="H465" t="s">
        <v>72</v>
      </c>
      <c r="I465" t="s">
        <v>66</v>
      </c>
      <c r="J465" t="s">
        <v>126</v>
      </c>
      <c r="K465">
        <v>3</v>
      </c>
      <c r="L465">
        <v>1493.59</v>
      </c>
      <c r="M465" s="3">
        <v>0.2</v>
      </c>
      <c r="N465" t="str">
        <f>VLOOKUP(Table1[[#This Row],[Country]],REF_Country!$A$1:$D$11,2,FALSE)</f>
        <v>Oceania</v>
      </c>
      <c r="O465" t="str">
        <f>VLOOKUP(Table1[[#This Row],[Country]],REF_Country!$A$1:$D$11,3,FALSE)</f>
        <v>AU</v>
      </c>
      <c r="P465">
        <f>VLOOKUP(Table1[[#This Row],[Country]],REF_Country!$A$1:$D$11,4,FALSE)</f>
        <v>0.1</v>
      </c>
      <c r="Q465">
        <f>VLOOKUP(Table1[[#This Row],[Category]],REF_Target!$A$1:$E$6,2,FALSE)</f>
        <v>40000</v>
      </c>
      <c r="R465">
        <f>Table1[[#This Row],[Quantity]]*Table1[[#This Row],[Unit_Price]]</f>
        <v>4480.7699999999995</v>
      </c>
      <c r="S465">
        <f>Table1[[#This Row],[Gross_Sales]]*Table1[[#This Row],[Discount_Rate]]</f>
        <v>896.154</v>
      </c>
      <c r="T465">
        <f>Table1[[#This Row],[Gross_Sales]]-Table1[[#This Row],[Discount_Amount]]</f>
        <v>3584.6159999999995</v>
      </c>
      <c r="U465">
        <f>VLOOKUP(Table1[[#This Row],[Category]],REF_Cost!$A$1:$B$6,2,FALSE)*Table1[[#This Row],[Quantity]]</f>
        <v>360</v>
      </c>
      <c r="V465">
        <f>Table1[[#This Row],[Net_Sales]]-Table1[[#This Row],[Total_Cost]]</f>
        <v>3224.6159999999995</v>
      </c>
      <c r="W465" t="str">
        <f>TEXT(Table1[[#This Row],[Order_Date]],"mmm")</f>
        <v>Jun</v>
      </c>
      <c r="X465">
        <f>ROUNDUP(MONTH(Table1[[#This Row],[Order_Date]])/3,0)</f>
        <v>2</v>
      </c>
      <c r="Y465">
        <f>YEAR(Table1[[#This Row],[Order_Date]])</f>
        <v>2024</v>
      </c>
    </row>
    <row r="466" spans="1:25" x14ac:dyDescent="0.25">
      <c r="A466" t="s">
        <v>1934</v>
      </c>
      <c r="B466" t="s">
        <v>1935</v>
      </c>
      <c r="C466" t="s">
        <v>1936</v>
      </c>
      <c r="D466" t="s">
        <v>1937</v>
      </c>
      <c r="E466" t="s">
        <v>48</v>
      </c>
      <c r="F466" t="s">
        <v>84</v>
      </c>
      <c r="G466" t="s">
        <v>85</v>
      </c>
      <c r="H466" t="s">
        <v>42</v>
      </c>
      <c r="I466" t="s">
        <v>66</v>
      </c>
      <c r="J466" t="s">
        <v>34</v>
      </c>
      <c r="K466">
        <v>6</v>
      </c>
      <c r="L466">
        <v>1094.71</v>
      </c>
      <c r="M466" s="3">
        <v>0.1</v>
      </c>
      <c r="N466" t="str">
        <f>VLOOKUP(Table1[[#This Row],[Country]],REF_Country!$A$1:$D$11,2,FALSE)</f>
        <v>Southeast Asia</v>
      </c>
      <c r="O466" t="str">
        <f>VLOOKUP(Table1[[#This Row],[Country]],REF_Country!$A$1:$D$11,3,FALSE)</f>
        <v>SG</v>
      </c>
      <c r="P466">
        <f>VLOOKUP(Table1[[#This Row],[Country]],REF_Country!$A$1:$D$11,4,FALSE)</f>
        <v>7.0000000000000007E-2</v>
      </c>
      <c r="Q466">
        <f>VLOOKUP(Table1[[#This Row],[Category]],REF_Target!$A$1:$E$6,2,FALSE)</f>
        <v>30000</v>
      </c>
      <c r="R466">
        <f>Table1[[#This Row],[Quantity]]*Table1[[#This Row],[Unit_Price]]</f>
        <v>6568.26</v>
      </c>
      <c r="S466">
        <f>Table1[[#This Row],[Gross_Sales]]*Table1[[#This Row],[Discount_Rate]]</f>
        <v>656.82600000000002</v>
      </c>
      <c r="T466">
        <f>Table1[[#This Row],[Gross_Sales]]-Table1[[#This Row],[Discount_Amount]]</f>
        <v>5911.4340000000002</v>
      </c>
      <c r="U466">
        <f>VLOOKUP(Table1[[#This Row],[Category]],REF_Cost!$A$1:$B$6,2,FALSE)*Table1[[#This Row],[Quantity]]</f>
        <v>1200</v>
      </c>
      <c r="V466">
        <f>Table1[[#This Row],[Net_Sales]]-Table1[[#This Row],[Total_Cost]]</f>
        <v>4711.4340000000002</v>
      </c>
      <c r="W466" t="str">
        <f>TEXT(Table1[[#This Row],[Order_Date]],"mmm")</f>
        <v>Sep</v>
      </c>
      <c r="X466">
        <f>ROUNDUP(MONTH(Table1[[#This Row],[Order_Date]])/3,0)</f>
        <v>3</v>
      </c>
      <c r="Y466">
        <f>YEAR(Table1[[#This Row],[Order_Date]])</f>
        <v>2024</v>
      </c>
    </row>
    <row r="467" spans="1:25" x14ac:dyDescent="0.25">
      <c r="A467" t="s">
        <v>1938</v>
      </c>
      <c r="B467" t="s">
        <v>1939</v>
      </c>
      <c r="C467" t="s">
        <v>1940</v>
      </c>
      <c r="D467" t="s">
        <v>1941</v>
      </c>
      <c r="E467" t="s">
        <v>39</v>
      </c>
      <c r="F467" t="s">
        <v>56</v>
      </c>
      <c r="G467" t="s">
        <v>95</v>
      </c>
      <c r="H467" t="s">
        <v>58</v>
      </c>
      <c r="I467" t="s">
        <v>33</v>
      </c>
      <c r="J467" t="s">
        <v>73</v>
      </c>
      <c r="K467">
        <v>10</v>
      </c>
      <c r="L467">
        <v>289.35000000000002</v>
      </c>
      <c r="M467" s="3">
        <v>0.15</v>
      </c>
      <c r="N467" t="str">
        <f>VLOOKUP(Table1[[#This Row],[Country]],REF_Country!$A$1:$D$11,2,FALSE)</f>
        <v>Southeast Asia</v>
      </c>
      <c r="O467" t="str">
        <f>VLOOKUP(Table1[[#This Row],[Country]],REF_Country!$A$1:$D$11,3,FALSE)</f>
        <v>TH</v>
      </c>
      <c r="P467">
        <f>VLOOKUP(Table1[[#This Row],[Country]],REF_Country!$A$1:$D$11,4,FALSE)</f>
        <v>7.0000000000000007E-2</v>
      </c>
      <c r="Q467">
        <f>VLOOKUP(Table1[[#This Row],[Category]],REF_Target!$A$1:$E$6,2,FALSE)</f>
        <v>50000</v>
      </c>
      <c r="R467">
        <f>Table1[[#This Row],[Quantity]]*Table1[[#This Row],[Unit_Price]]</f>
        <v>2893.5</v>
      </c>
      <c r="S467">
        <f>Table1[[#This Row],[Gross_Sales]]*Table1[[#This Row],[Discount_Rate]]</f>
        <v>434.02499999999998</v>
      </c>
      <c r="T467">
        <f>Table1[[#This Row],[Gross_Sales]]-Table1[[#This Row],[Discount_Amount]]</f>
        <v>2459.4749999999999</v>
      </c>
      <c r="U467">
        <f>VLOOKUP(Table1[[#This Row],[Category]],REF_Cost!$A$1:$B$6,2,FALSE)*Table1[[#This Row],[Quantity]]</f>
        <v>4500</v>
      </c>
      <c r="V467">
        <f>Table1[[#This Row],[Net_Sales]]-Table1[[#This Row],[Total_Cost]]</f>
        <v>-2040.5250000000001</v>
      </c>
      <c r="W467" t="str">
        <f>TEXT(Table1[[#This Row],[Order_Date]],"mmm")</f>
        <v>May</v>
      </c>
      <c r="X467">
        <f>ROUNDUP(MONTH(Table1[[#This Row],[Order_Date]])/3,0)</f>
        <v>2</v>
      </c>
      <c r="Y467">
        <f>YEAR(Table1[[#This Row],[Order_Date]])</f>
        <v>2024</v>
      </c>
    </row>
    <row r="468" spans="1:25" x14ac:dyDescent="0.25">
      <c r="A468" t="s">
        <v>1942</v>
      </c>
      <c r="B468" t="s">
        <v>1943</v>
      </c>
      <c r="C468" t="s">
        <v>1944</v>
      </c>
      <c r="D468" t="s">
        <v>1945</v>
      </c>
      <c r="E468" t="s">
        <v>64</v>
      </c>
      <c r="F468" t="s">
        <v>84</v>
      </c>
      <c r="G468" t="s">
        <v>205</v>
      </c>
      <c r="H468" t="s">
        <v>42</v>
      </c>
      <c r="I468" t="s">
        <v>66</v>
      </c>
      <c r="J468" t="s">
        <v>73</v>
      </c>
      <c r="K468">
        <v>8</v>
      </c>
      <c r="L468">
        <v>1036.8900000000001</v>
      </c>
      <c r="M468" s="3">
        <v>0</v>
      </c>
      <c r="N468" t="str">
        <f>VLOOKUP(Table1[[#This Row],[Country]],REF_Country!$A$1:$D$11,2,FALSE)</f>
        <v>Southeast Asia</v>
      </c>
      <c r="O468" t="str">
        <f>VLOOKUP(Table1[[#This Row],[Country]],REF_Country!$A$1:$D$11,3,FALSE)</f>
        <v>ID</v>
      </c>
      <c r="P468">
        <f>VLOOKUP(Table1[[#This Row],[Country]],REF_Country!$A$1:$D$11,4,FALSE)</f>
        <v>0.11</v>
      </c>
      <c r="Q468">
        <f>VLOOKUP(Table1[[#This Row],[Category]],REF_Target!$A$1:$E$6,2,FALSE)</f>
        <v>30000</v>
      </c>
      <c r="R468">
        <f>Table1[[#This Row],[Quantity]]*Table1[[#This Row],[Unit_Price]]</f>
        <v>8295.1200000000008</v>
      </c>
      <c r="S468">
        <f>Table1[[#This Row],[Gross_Sales]]*Table1[[#This Row],[Discount_Rate]]</f>
        <v>0</v>
      </c>
      <c r="T468">
        <f>Table1[[#This Row],[Gross_Sales]]-Table1[[#This Row],[Discount_Amount]]</f>
        <v>8295.1200000000008</v>
      </c>
      <c r="U468">
        <f>VLOOKUP(Table1[[#This Row],[Category]],REF_Cost!$A$1:$B$6,2,FALSE)*Table1[[#This Row],[Quantity]]</f>
        <v>1600</v>
      </c>
      <c r="V468">
        <f>Table1[[#This Row],[Net_Sales]]-Table1[[#This Row],[Total_Cost]]</f>
        <v>6695.1200000000008</v>
      </c>
      <c r="W468" t="str">
        <f>TEXT(Table1[[#This Row],[Order_Date]],"mmm")</f>
        <v>Apr</v>
      </c>
      <c r="X468">
        <f>ROUNDUP(MONTH(Table1[[#This Row],[Order_Date]])/3,0)</f>
        <v>2</v>
      </c>
      <c r="Y468">
        <f>YEAR(Table1[[#This Row],[Order_Date]])</f>
        <v>2024</v>
      </c>
    </row>
    <row r="469" spans="1:25" x14ac:dyDescent="0.25">
      <c r="A469" t="s">
        <v>1946</v>
      </c>
      <c r="B469" t="s">
        <v>1947</v>
      </c>
      <c r="C469" t="s">
        <v>1948</v>
      </c>
      <c r="D469" t="s">
        <v>1949</v>
      </c>
      <c r="E469" t="s">
        <v>48</v>
      </c>
      <c r="F469" t="s">
        <v>30</v>
      </c>
      <c r="G469" t="s">
        <v>31</v>
      </c>
      <c r="H469" t="s">
        <v>42</v>
      </c>
      <c r="I469" t="s">
        <v>43</v>
      </c>
      <c r="J469" t="s">
        <v>73</v>
      </c>
      <c r="K469">
        <v>1</v>
      </c>
      <c r="L469">
        <v>62.86</v>
      </c>
      <c r="M469" s="3">
        <v>0.05</v>
      </c>
      <c r="N469" t="str">
        <f>VLOOKUP(Table1[[#This Row],[Country]],REF_Country!$A$1:$D$11,2,FALSE)</f>
        <v>Southeast Asia</v>
      </c>
      <c r="O469" t="str">
        <f>VLOOKUP(Table1[[#This Row],[Country]],REF_Country!$A$1:$D$11,3,FALSE)</f>
        <v>SG</v>
      </c>
      <c r="P469">
        <f>VLOOKUP(Table1[[#This Row],[Country]],REF_Country!$A$1:$D$11,4,FALSE)</f>
        <v>7.0000000000000007E-2</v>
      </c>
      <c r="Q469">
        <f>VLOOKUP(Table1[[#This Row],[Category]],REF_Target!$A$1:$E$6,2,FALSE)</f>
        <v>40000</v>
      </c>
      <c r="R469">
        <f>Table1[[#This Row],[Quantity]]*Table1[[#This Row],[Unit_Price]]</f>
        <v>62.86</v>
      </c>
      <c r="S469">
        <f>Table1[[#This Row],[Gross_Sales]]*Table1[[#This Row],[Discount_Rate]]</f>
        <v>3.1430000000000002</v>
      </c>
      <c r="T469">
        <f>Table1[[#This Row],[Gross_Sales]]-Table1[[#This Row],[Discount_Amount]]</f>
        <v>59.716999999999999</v>
      </c>
      <c r="U469">
        <f>VLOOKUP(Table1[[#This Row],[Category]],REF_Cost!$A$1:$B$6,2,FALSE)*Table1[[#This Row],[Quantity]]</f>
        <v>120</v>
      </c>
      <c r="V469">
        <f>Table1[[#This Row],[Net_Sales]]-Table1[[#This Row],[Total_Cost]]</f>
        <v>-60.283000000000001</v>
      </c>
      <c r="W469" t="str">
        <f>TEXT(Table1[[#This Row],[Order_Date]],"mmm")</f>
        <v>Sep</v>
      </c>
      <c r="X469">
        <f>ROUNDUP(MONTH(Table1[[#This Row],[Order_Date]])/3,0)</f>
        <v>3</v>
      </c>
      <c r="Y469">
        <f>YEAR(Table1[[#This Row],[Order_Date]])</f>
        <v>2024</v>
      </c>
    </row>
    <row r="470" spans="1:25" x14ac:dyDescent="0.25">
      <c r="A470" t="s">
        <v>1950</v>
      </c>
      <c r="B470" t="s">
        <v>1951</v>
      </c>
      <c r="C470" t="s">
        <v>1952</v>
      </c>
      <c r="D470" t="s">
        <v>1953</v>
      </c>
      <c r="E470" t="s">
        <v>200</v>
      </c>
      <c r="F470" t="s">
        <v>40</v>
      </c>
      <c r="G470" t="s">
        <v>565</v>
      </c>
      <c r="H470" t="s">
        <v>42</v>
      </c>
      <c r="I470" t="s">
        <v>96</v>
      </c>
      <c r="J470" t="s">
        <v>126</v>
      </c>
      <c r="K470">
        <v>8</v>
      </c>
      <c r="L470">
        <v>1036.48</v>
      </c>
      <c r="M470" s="3">
        <v>0</v>
      </c>
      <c r="N470" t="str">
        <f>VLOOKUP(Table1[[#This Row],[Country]],REF_Country!$A$1:$D$11,2,FALSE)</f>
        <v>East Asia</v>
      </c>
      <c r="O470" t="str">
        <f>VLOOKUP(Table1[[#This Row],[Country]],REF_Country!$A$1:$D$11,3,FALSE)</f>
        <v>KR</v>
      </c>
      <c r="P470">
        <f>VLOOKUP(Table1[[#This Row],[Country]],REF_Country!$A$1:$D$11,4,FALSE)</f>
        <v>0.1</v>
      </c>
      <c r="Q470">
        <f>VLOOKUP(Table1[[#This Row],[Category]],REF_Target!$A$1:$E$6,2,FALSE)</f>
        <v>45000</v>
      </c>
      <c r="R470">
        <f>Table1[[#This Row],[Quantity]]*Table1[[#This Row],[Unit_Price]]</f>
        <v>8291.84</v>
      </c>
      <c r="S470">
        <f>Table1[[#This Row],[Gross_Sales]]*Table1[[#This Row],[Discount_Rate]]</f>
        <v>0</v>
      </c>
      <c r="T470">
        <f>Table1[[#This Row],[Gross_Sales]]-Table1[[#This Row],[Discount_Amount]]</f>
        <v>8291.84</v>
      </c>
      <c r="U470">
        <f>VLOOKUP(Table1[[#This Row],[Category]],REF_Cost!$A$1:$B$6,2,FALSE)*Table1[[#This Row],[Quantity]]</f>
        <v>640</v>
      </c>
      <c r="V470">
        <f>Table1[[#This Row],[Net_Sales]]-Table1[[#This Row],[Total_Cost]]</f>
        <v>7651.84</v>
      </c>
      <c r="W470" t="str">
        <f>TEXT(Table1[[#This Row],[Order_Date]],"mmm")</f>
        <v>Feb</v>
      </c>
      <c r="X470">
        <f>ROUNDUP(MONTH(Table1[[#This Row],[Order_Date]])/3,0)</f>
        <v>1</v>
      </c>
      <c r="Y470">
        <f>YEAR(Table1[[#This Row],[Order_Date]])</f>
        <v>2024</v>
      </c>
    </row>
    <row r="471" spans="1:25" x14ac:dyDescent="0.25">
      <c r="A471" t="s">
        <v>1954</v>
      </c>
      <c r="B471" t="s">
        <v>1955</v>
      </c>
      <c r="C471" t="s">
        <v>1956</v>
      </c>
      <c r="D471" t="s">
        <v>1957</v>
      </c>
      <c r="E471" t="s">
        <v>149</v>
      </c>
      <c r="F471" t="s">
        <v>40</v>
      </c>
      <c r="G471" t="s">
        <v>41</v>
      </c>
      <c r="H471" t="s">
        <v>32</v>
      </c>
      <c r="I471" t="s">
        <v>33</v>
      </c>
      <c r="J471" t="s">
        <v>126</v>
      </c>
      <c r="K471">
        <v>9</v>
      </c>
      <c r="L471">
        <v>896.8</v>
      </c>
      <c r="M471" s="3">
        <v>0.2</v>
      </c>
      <c r="N471" t="str">
        <f>VLOOKUP(Table1[[#This Row],[Country]],REF_Country!$A$1:$D$11,2,FALSE)</f>
        <v>East Asia</v>
      </c>
      <c r="O471" t="str">
        <f>VLOOKUP(Table1[[#This Row],[Country]],REF_Country!$A$1:$D$11,3,FALSE)</f>
        <v>JP</v>
      </c>
      <c r="P471">
        <f>VLOOKUP(Table1[[#This Row],[Country]],REF_Country!$A$1:$D$11,4,FALSE)</f>
        <v>0.1</v>
      </c>
      <c r="Q471">
        <f>VLOOKUP(Table1[[#This Row],[Category]],REF_Target!$A$1:$E$6,2,FALSE)</f>
        <v>45000</v>
      </c>
      <c r="R471">
        <f>Table1[[#This Row],[Quantity]]*Table1[[#This Row],[Unit_Price]]</f>
        <v>8071.2</v>
      </c>
      <c r="S471">
        <f>Table1[[#This Row],[Gross_Sales]]*Table1[[#This Row],[Discount_Rate]]</f>
        <v>1614.24</v>
      </c>
      <c r="T471">
        <f>Table1[[#This Row],[Gross_Sales]]-Table1[[#This Row],[Discount_Amount]]</f>
        <v>6456.96</v>
      </c>
      <c r="U471">
        <f>VLOOKUP(Table1[[#This Row],[Category]],REF_Cost!$A$1:$B$6,2,FALSE)*Table1[[#This Row],[Quantity]]</f>
        <v>720</v>
      </c>
      <c r="V471">
        <f>Table1[[#This Row],[Net_Sales]]-Table1[[#This Row],[Total_Cost]]</f>
        <v>5736.96</v>
      </c>
      <c r="W471" t="str">
        <f>TEXT(Table1[[#This Row],[Order_Date]],"mmm")</f>
        <v>Jul</v>
      </c>
      <c r="X471">
        <f>ROUNDUP(MONTH(Table1[[#This Row],[Order_Date]])/3,0)</f>
        <v>3</v>
      </c>
      <c r="Y471">
        <f>YEAR(Table1[[#This Row],[Order_Date]])</f>
        <v>2024</v>
      </c>
    </row>
    <row r="472" spans="1:25" x14ac:dyDescent="0.25">
      <c r="A472" t="s">
        <v>1958</v>
      </c>
      <c r="B472" t="s">
        <v>1959</v>
      </c>
      <c r="C472" t="s">
        <v>1960</v>
      </c>
      <c r="D472" t="s">
        <v>1961</v>
      </c>
      <c r="E472" t="s">
        <v>39</v>
      </c>
      <c r="F472" t="s">
        <v>40</v>
      </c>
      <c r="G472" t="s">
        <v>41</v>
      </c>
      <c r="H472" t="s">
        <v>42</v>
      </c>
      <c r="I472" t="s">
        <v>33</v>
      </c>
      <c r="J472" t="s">
        <v>126</v>
      </c>
      <c r="K472">
        <v>1</v>
      </c>
      <c r="L472">
        <v>602.48</v>
      </c>
      <c r="M472" s="3">
        <v>0.15</v>
      </c>
      <c r="N472" t="str">
        <f>VLOOKUP(Table1[[#This Row],[Country]],REF_Country!$A$1:$D$11,2,FALSE)</f>
        <v>Southeast Asia</v>
      </c>
      <c r="O472" t="str">
        <f>VLOOKUP(Table1[[#This Row],[Country]],REF_Country!$A$1:$D$11,3,FALSE)</f>
        <v>TH</v>
      </c>
      <c r="P472">
        <f>VLOOKUP(Table1[[#This Row],[Country]],REF_Country!$A$1:$D$11,4,FALSE)</f>
        <v>7.0000000000000007E-2</v>
      </c>
      <c r="Q472">
        <f>VLOOKUP(Table1[[#This Row],[Category]],REF_Target!$A$1:$E$6,2,FALSE)</f>
        <v>45000</v>
      </c>
      <c r="R472">
        <f>Table1[[#This Row],[Quantity]]*Table1[[#This Row],[Unit_Price]]</f>
        <v>602.48</v>
      </c>
      <c r="S472">
        <f>Table1[[#This Row],[Gross_Sales]]*Table1[[#This Row],[Discount_Rate]]</f>
        <v>90.372</v>
      </c>
      <c r="T472">
        <f>Table1[[#This Row],[Gross_Sales]]-Table1[[#This Row],[Discount_Amount]]</f>
        <v>512.10800000000006</v>
      </c>
      <c r="U472">
        <f>VLOOKUP(Table1[[#This Row],[Category]],REF_Cost!$A$1:$B$6,2,FALSE)*Table1[[#This Row],[Quantity]]</f>
        <v>80</v>
      </c>
      <c r="V472">
        <f>Table1[[#This Row],[Net_Sales]]-Table1[[#This Row],[Total_Cost]]</f>
        <v>432.10800000000006</v>
      </c>
      <c r="W472" t="str">
        <f>TEXT(Table1[[#This Row],[Order_Date]],"mmm")</f>
        <v>Aug</v>
      </c>
      <c r="X472">
        <f>ROUNDUP(MONTH(Table1[[#This Row],[Order_Date]])/3,0)</f>
        <v>3</v>
      </c>
      <c r="Y472">
        <f>YEAR(Table1[[#This Row],[Order_Date]])</f>
        <v>2024</v>
      </c>
    </row>
    <row r="473" spans="1:25" x14ac:dyDescent="0.25">
      <c r="A473" t="s">
        <v>1962</v>
      </c>
      <c r="B473" t="s">
        <v>1963</v>
      </c>
      <c r="C473" t="s">
        <v>1964</v>
      </c>
      <c r="D473" t="s">
        <v>1965</v>
      </c>
      <c r="E473" t="s">
        <v>29</v>
      </c>
      <c r="F473" t="s">
        <v>84</v>
      </c>
      <c r="G473" t="s">
        <v>264</v>
      </c>
      <c r="H473" t="s">
        <v>32</v>
      </c>
      <c r="I473" t="s">
        <v>33</v>
      </c>
      <c r="J473" t="s">
        <v>73</v>
      </c>
      <c r="K473">
        <v>5</v>
      </c>
      <c r="L473">
        <v>262.23</v>
      </c>
      <c r="M473" s="3">
        <v>0.15</v>
      </c>
      <c r="N473" t="str">
        <f>VLOOKUP(Table1[[#This Row],[Country]],REF_Country!$A$1:$D$11,2,FALSE)</f>
        <v>Southeast Asia</v>
      </c>
      <c r="O473" t="str">
        <f>VLOOKUP(Table1[[#This Row],[Country]],REF_Country!$A$1:$D$11,3,FALSE)</f>
        <v>VN</v>
      </c>
      <c r="P473">
        <f>VLOOKUP(Table1[[#This Row],[Country]],REF_Country!$A$1:$D$11,4,FALSE)</f>
        <v>0.1</v>
      </c>
      <c r="Q473">
        <f>VLOOKUP(Table1[[#This Row],[Category]],REF_Target!$A$1:$E$6,2,FALSE)</f>
        <v>30000</v>
      </c>
      <c r="R473">
        <f>Table1[[#This Row],[Quantity]]*Table1[[#This Row],[Unit_Price]]</f>
        <v>1311.15</v>
      </c>
      <c r="S473">
        <f>Table1[[#This Row],[Gross_Sales]]*Table1[[#This Row],[Discount_Rate]]</f>
        <v>196.67250000000001</v>
      </c>
      <c r="T473">
        <f>Table1[[#This Row],[Gross_Sales]]-Table1[[#This Row],[Discount_Amount]]</f>
        <v>1114.4775</v>
      </c>
      <c r="U473">
        <f>VLOOKUP(Table1[[#This Row],[Category]],REF_Cost!$A$1:$B$6,2,FALSE)*Table1[[#This Row],[Quantity]]</f>
        <v>1000</v>
      </c>
      <c r="V473">
        <f>Table1[[#This Row],[Net_Sales]]-Table1[[#This Row],[Total_Cost]]</f>
        <v>114.47749999999996</v>
      </c>
      <c r="W473" t="str">
        <f>TEXT(Table1[[#This Row],[Order_Date]],"mmm")</f>
        <v>May</v>
      </c>
      <c r="X473">
        <f>ROUNDUP(MONTH(Table1[[#This Row],[Order_Date]])/3,0)</f>
        <v>2</v>
      </c>
      <c r="Y473">
        <f>YEAR(Table1[[#This Row],[Order_Date]])</f>
        <v>2024</v>
      </c>
    </row>
    <row r="474" spans="1:25" x14ac:dyDescent="0.25">
      <c r="A474" t="s">
        <v>1966</v>
      </c>
      <c r="B474" t="s">
        <v>1967</v>
      </c>
      <c r="C474" t="s">
        <v>1968</v>
      </c>
      <c r="D474" t="s">
        <v>1969</v>
      </c>
      <c r="E474" t="s">
        <v>78</v>
      </c>
      <c r="F474" t="s">
        <v>56</v>
      </c>
      <c r="G474" t="s">
        <v>95</v>
      </c>
      <c r="H474" t="s">
        <v>42</v>
      </c>
      <c r="I474" t="s">
        <v>96</v>
      </c>
      <c r="J474" t="s">
        <v>59</v>
      </c>
      <c r="K474">
        <v>9</v>
      </c>
      <c r="L474">
        <v>1171.42</v>
      </c>
      <c r="M474" s="3">
        <v>0</v>
      </c>
      <c r="N474" t="str">
        <f>VLOOKUP(Table1[[#This Row],[Country]],REF_Country!$A$1:$D$11,2,FALSE)</f>
        <v>Oceania</v>
      </c>
      <c r="O474" t="str">
        <f>VLOOKUP(Table1[[#This Row],[Country]],REF_Country!$A$1:$D$11,3,FALSE)</f>
        <v>AU</v>
      </c>
      <c r="P474">
        <f>VLOOKUP(Table1[[#This Row],[Country]],REF_Country!$A$1:$D$11,4,FALSE)</f>
        <v>0.1</v>
      </c>
      <c r="Q474">
        <f>VLOOKUP(Table1[[#This Row],[Category]],REF_Target!$A$1:$E$6,2,FALSE)</f>
        <v>50000</v>
      </c>
      <c r="R474">
        <f>Table1[[#This Row],[Quantity]]*Table1[[#This Row],[Unit_Price]]</f>
        <v>10542.78</v>
      </c>
      <c r="S474">
        <f>Table1[[#This Row],[Gross_Sales]]*Table1[[#This Row],[Discount_Rate]]</f>
        <v>0</v>
      </c>
      <c r="T474">
        <f>Table1[[#This Row],[Gross_Sales]]-Table1[[#This Row],[Discount_Amount]]</f>
        <v>10542.78</v>
      </c>
      <c r="U474">
        <f>VLOOKUP(Table1[[#This Row],[Category]],REF_Cost!$A$1:$B$6,2,FALSE)*Table1[[#This Row],[Quantity]]</f>
        <v>4050</v>
      </c>
      <c r="V474">
        <f>Table1[[#This Row],[Net_Sales]]-Table1[[#This Row],[Total_Cost]]</f>
        <v>6492.7800000000007</v>
      </c>
      <c r="W474" t="str">
        <f>TEXT(Table1[[#This Row],[Order_Date]],"mmm")</f>
        <v>Nov</v>
      </c>
      <c r="X474">
        <f>ROUNDUP(MONTH(Table1[[#This Row],[Order_Date]])/3,0)</f>
        <v>4</v>
      </c>
      <c r="Y474">
        <f>YEAR(Table1[[#This Row],[Order_Date]])</f>
        <v>2024</v>
      </c>
    </row>
    <row r="475" spans="1:25" x14ac:dyDescent="0.25">
      <c r="A475" t="s">
        <v>1970</v>
      </c>
      <c r="B475" t="s">
        <v>1971</v>
      </c>
      <c r="C475" t="s">
        <v>1972</v>
      </c>
      <c r="D475" t="s">
        <v>1973</v>
      </c>
      <c r="E475" t="s">
        <v>83</v>
      </c>
      <c r="F475" t="s">
        <v>30</v>
      </c>
      <c r="G475" t="s">
        <v>195</v>
      </c>
      <c r="H475" t="s">
        <v>72</v>
      </c>
      <c r="I475" t="s">
        <v>51</v>
      </c>
      <c r="J475" t="s">
        <v>126</v>
      </c>
      <c r="K475">
        <v>6</v>
      </c>
      <c r="L475">
        <v>148.91999999999999</v>
      </c>
      <c r="M475" s="3">
        <v>0.2</v>
      </c>
      <c r="N475" t="str">
        <f>VLOOKUP(Table1[[#This Row],[Country]],REF_Country!$A$1:$D$11,2,FALSE)</f>
        <v>South Asia</v>
      </c>
      <c r="O475" t="str">
        <f>VLOOKUP(Table1[[#This Row],[Country]],REF_Country!$A$1:$D$11,3,FALSE)</f>
        <v>IN</v>
      </c>
      <c r="P475">
        <f>VLOOKUP(Table1[[#This Row],[Country]],REF_Country!$A$1:$D$11,4,FALSE)</f>
        <v>0.18</v>
      </c>
      <c r="Q475">
        <f>VLOOKUP(Table1[[#This Row],[Category]],REF_Target!$A$1:$E$6,2,FALSE)</f>
        <v>40000</v>
      </c>
      <c r="R475">
        <f>Table1[[#This Row],[Quantity]]*Table1[[#This Row],[Unit_Price]]</f>
        <v>893.52</v>
      </c>
      <c r="S475">
        <f>Table1[[#This Row],[Gross_Sales]]*Table1[[#This Row],[Discount_Rate]]</f>
        <v>178.70400000000001</v>
      </c>
      <c r="T475">
        <f>Table1[[#This Row],[Gross_Sales]]-Table1[[#This Row],[Discount_Amount]]</f>
        <v>714.81600000000003</v>
      </c>
      <c r="U475">
        <f>VLOOKUP(Table1[[#This Row],[Category]],REF_Cost!$A$1:$B$6,2,FALSE)*Table1[[#This Row],[Quantity]]</f>
        <v>720</v>
      </c>
      <c r="V475">
        <f>Table1[[#This Row],[Net_Sales]]-Table1[[#This Row],[Total_Cost]]</f>
        <v>-5.1839999999999691</v>
      </c>
      <c r="W475" t="str">
        <f>TEXT(Table1[[#This Row],[Order_Date]],"mmm")</f>
        <v>Jan</v>
      </c>
      <c r="X475">
        <f>ROUNDUP(MONTH(Table1[[#This Row],[Order_Date]])/3,0)</f>
        <v>1</v>
      </c>
      <c r="Y475">
        <f>YEAR(Table1[[#This Row],[Order_Date]])</f>
        <v>2024</v>
      </c>
    </row>
    <row r="476" spans="1:25" x14ac:dyDescent="0.25">
      <c r="A476" t="s">
        <v>1974</v>
      </c>
      <c r="B476" t="s">
        <v>1975</v>
      </c>
      <c r="C476" t="s">
        <v>1976</v>
      </c>
      <c r="D476" t="s">
        <v>1977</v>
      </c>
      <c r="E476" t="s">
        <v>71</v>
      </c>
      <c r="F476" t="s">
        <v>56</v>
      </c>
      <c r="G476" t="s">
        <v>111</v>
      </c>
      <c r="H476" t="s">
        <v>72</v>
      </c>
      <c r="I476" t="s">
        <v>96</v>
      </c>
      <c r="J476" t="s">
        <v>34</v>
      </c>
      <c r="K476">
        <v>9</v>
      </c>
      <c r="L476">
        <v>1065.31</v>
      </c>
      <c r="M476" s="3">
        <v>0.15</v>
      </c>
      <c r="N476" t="str">
        <f>VLOOKUP(Table1[[#This Row],[Country]],REF_Country!$A$1:$D$11,2,FALSE)</f>
        <v>Southeast Asia</v>
      </c>
      <c r="O476" t="str">
        <f>VLOOKUP(Table1[[#This Row],[Country]],REF_Country!$A$1:$D$11,3,FALSE)</f>
        <v>PH</v>
      </c>
      <c r="P476">
        <f>VLOOKUP(Table1[[#This Row],[Country]],REF_Country!$A$1:$D$11,4,FALSE)</f>
        <v>0.12</v>
      </c>
      <c r="Q476">
        <f>VLOOKUP(Table1[[#This Row],[Category]],REF_Target!$A$1:$E$6,2,FALSE)</f>
        <v>50000</v>
      </c>
      <c r="R476">
        <f>Table1[[#This Row],[Quantity]]*Table1[[#This Row],[Unit_Price]]</f>
        <v>9587.7899999999991</v>
      </c>
      <c r="S476">
        <f>Table1[[#This Row],[Gross_Sales]]*Table1[[#This Row],[Discount_Rate]]</f>
        <v>1438.1684999999998</v>
      </c>
      <c r="T476">
        <f>Table1[[#This Row],[Gross_Sales]]-Table1[[#This Row],[Discount_Amount]]</f>
        <v>8149.6214999999993</v>
      </c>
      <c r="U476">
        <f>VLOOKUP(Table1[[#This Row],[Category]],REF_Cost!$A$1:$B$6,2,FALSE)*Table1[[#This Row],[Quantity]]</f>
        <v>4050</v>
      </c>
      <c r="V476">
        <f>Table1[[#This Row],[Net_Sales]]-Table1[[#This Row],[Total_Cost]]</f>
        <v>4099.6214999999993</v>
      </c>
      <c r="W476" t="str">
        <f>TEXT(Table1[[#This Row],[Order_Date]],"mmm")</f>
        <v>Dec</v>
      </c>
      <c r="X476">
        <f>ROUNDUP(MONTH(Table1[[#This Row],[Order_Date]])/3,0)</f>
        <v>4</v>
      </c>
      <c r="Y476">
        <f>YEAR(Table1[[#This Row],[Order_Date]])</f>
        <v>2024</v>
      </c>
    </row>
    <row r="477" spans="1:25" x14ac:dyDescent="0.25">
      <c r="A477" t="s">
        <v>1978</v>
      </c>
      <c r="B477" t="s">
        <v>1979</v>
      </c>
      <c r="C477" t="s">
        <v>1980</v>
      </c>
      <c r="D477" t="s">
        <v>1981</v>
      </c>
      <c r="E477" t="s">
        <v>48</v>
      </c>
      <c r="F477" t="s">
        <v>30</v>
      </c>
      <c r="G477" t="s">
        <v>31</v>
      </c>
      <c r="H477" t="s">
        <v>58</v>
      </c>
      <c r="I477" t="s">
        <v>66</v>
      </c>
      <c r="J477" t="s">
        <v>34</v>
      </c>
      <c r="K477">
        <v>1</v>
      </c>
      <c r="L477">
        <v>280.62</v>
      </c>
      <c r="M477" s="3">
        <v>0.1</v>
      </c>
      <c r="N477" t="str">
        <f>VLOOKUP(Table1[[#This Row],[Country]],REF_Country!$A$1:$D$11,2,FALSE)</f>
        <v>Southeast Asia</v>
      </c>
      <c r="O477" t="str">
        <f>VLOOKUP(Table1[[#This Row],[Country]],REF_Country!$A$1:$D$11,3,FALSE)</f>
        <v>SG</v>
      </c>
      <c r="P477">
        <f>VLOOKUP(Table1[[#This Row],[Country]],REF_Country!$A$1:$D$11,4,FALSE)</f>
        <v>7.0000000000000007E-2</v>
      </c>
      <c r="Q477">
        <f>VLOOKUP(Table1[[#This Row],[Category]],REF_Target!$A$1:$E$6,2,FALSE)</f>
        <v>40000</v>
      </c>
      <c r="R477">
        <f>Table1[[#This Row],[Quantity]]*Table1[[#This Row],[Unit_Price]]</f>
        <v>280.62</v>
      </c>
      <c r="S477">
        <f>Table1[[#This Row],[Gross_Sales]]*Table1[[#This Row],[Discount_Rate]]</f>
        <v>28.062000000000001</v>
      </c>
      <c r="T477">
        <f>Table1[[#This Row],[Gross_Sales]]-Table1[[#This Row],[Discount_Amount]]</f>
        <v>252.55799999999999</v>
      </c>
      <c r="U477">
        <f>VLOOKUP(Table1[[#This Row],[Category]],REF_Cost!$A$1:$B$6,2,FALSE)*Table1[[#This Row],[Quantity]]</f>
        <v>120</v>
      </c>
      <c r="V477">
        <f>Table1[[#This Row],[Net_Sales]]-Table1[[#This Row],[Total_Cost]]</f>
        <v>132.55799999999999</v>
      </c>
      <c r="W477" t="str">
        <f>TEXT(Table1[[#This Row],[Order_Date]],"mmm")</f>
        <v>Mar</v>
      </c>
      <c r="X477">
        <f>ROUNDUP(MONTH(Table1[[#This Row],[Order_Date]])/3,0)</f>
        <v>1</v>
      </c>
      <c r="Y477">
        <f>YEAR(Table1[[#This Row],[Order_Date]])</f>
        <v>2024</v>
      </c>
    </row>
    <row r="478" spans="1:25" x14ac:dyDescent="0.25">
      <c r="A478" t="s">
        <v>1982</v>
      </c>
      <c r="B478" t="s">
        <v>1983</v>
      </c>
      <c r="C478" t="s">
        <v>1984</v>
      </c>
      <c r="D478" t="s">
        <v>1985</v>
      </c>
      <c r="E478" t="s">
        <v>48</v>
      </c>
      <c r="F478" t="s">
        <v>30</v>
      </c>
      <c r="G478" t="s">
        <v>269</v>
      </c>
      <c r="H478" t="s">
        <v>42</v>
      </c>
      <c r="I478" t="s">
        <v>96</v>
      </c>
      <c r="J478" t="s">
        <v>34</v>
      </c>
      <c r="K478">
        <v>5</v>
      </c>
      <c r="L478">
        <v>939.5</v>
      </c>
      <c r="M478" s="3">
        <v>0</v>
      </c>
      <c r="N478" t="str">
        <f>VLOOKUP(Table1[[#This Row],[Country]],REF_Country!$A$1:$D$11,2,FALSE)</f>
        <v>Southeast Asia</v>
      </c>
      <c r="O478" t="str">
        <f>VLOOKUP(Table1[[#This Row],[Country]],REF_Country!$A$1:$D$11,3,FALSE)</f>
        <v>SG</v>
      </c>
      <c r="P478">
        <f>VLOOKUP(Table1[[#This Row],[Country]],REF_Country!$A$1:$D$11,4,FALSE)</f>
        <v>7.0000000000000007E-2</v>
      </c>
      <c r="Q478">
        <f>VLOOKUP(Table1[[#This Row],[Category]],REF_Target!$A$1:$E$6,2,FALSE)</f>
        <v>40000</v>
      </c>
      <c r="R478">
        <f>Table1[[#This Row],[Quantity]]*Table1[[#This Row],[Unit_Price]]</f>
        <v>4697.5</v>
      </c>
      <c r="S478">
        <f>Table1[[#This Row],[Gross_Sales]]*Table1[[#This Row],[Discount_Rate]]</f>
        <v>0</v>
      </c>
      <c r="T478">
        <f>Table1[[#This Row],[Gross_Sales]]-Table1[[#This Row],[Discount_Amount]]</f>
        <v>4697.5</v>
      </c>
      <c r="U478">
        <f>VLOOKUP(Table1[[#This Row],[Category]],REF_Cost!$A$1:$B$6,2,FALSE)*Table1[[#This Row],[Quantity]]</f>
        <v>600</v>
      </c>
      <c r="V478">
        <f>Table1[[#This Row],[Net_Sales]]-Table1[[#This Row],[Total_Cost]]</f>
        <v>4097.5</v>
      </c>
      <c r="W478" t="str">
        <f>TEXT(Table1[[#This Row],[Order_Date]],"mmm")</f>
        <v>Nov</v>
      </c>
      <c r="X478">
        <f>ROUNDUP(MONTH(Table1[[#This Row],[Order_Date]])/3,0)</f>
        <v>4</v>
      </c>
      <c r="Y478">
        <f>YEAR(Table1[[#This Row],[Order_Date]])</f>
        <v>2024</v>
      </c>
    </row>
    <row r="479" spans="1:25" x14ac:dyDescent="0.25">
      <c r="A479" t="s">
        <v>1986</v>
      </c>
      <c r="B479" t="s">
        <v>1987</v>
      </c>
      <c r="C479" t="s">
        <v>1988</v>
      </c>
      <c r="D479" t="s">
        <v>1989</v>
      </c>
      <c r="E479" t="s">
        <v>200</v>
      </c>
      <c r="F479" t="s">
        <v>30</v>
      </c>
      <c r="G479" t="s">
        <v>31</v>
      </c>
      <c r="H479" t="s">
        <v>42</v>
      </c>
      <c r="I479" t="s">
        <v>96</v>
      </c>
      <c r="J479" t="s">
        <v>126</v>
      </c>
      <c r="K479">
        <v>8</v>
      </c>
      <c r="L479">
        <v>889.46</v>
      </c>
      <c r="M479" s="3">
        <v>0.1</v>
      </c>
      <c r="N479" t="str">
        <f>VLOOKUP(Table1[[#This Row],[Country]],REF_Country!$A$1:$D$11,2,FALSE)</f>
        <v>East Asia</v>
      </c>
      <c r="O479" t="str">
        <f>VLOOKUP(Table1[[#This Row],[Country]],REF_Country!$A$1:$D$11,3,FALSE)</f>
        <v>KR</v>
      </c>
      <c r="P479">
        <f>VLOOKUP(Table1[[#This Row],[Country]],REF_Country!$A$1:$D$11,4,FALSE)</f>
        <v>0.1</v>
      </c>
      <c r="Q479">
        <f>VLOOKUP(Table1[[#This Row],[Category]],REF_Target!$A$1:$E$6,2,FALSE)</f>
        <v>40000</v>
      </c>
      <c r="R479">
        <f>Table1[[#This Row],[Quantity]]*Table1[[#This Row],[Unit_Price]]</f>
        <v>7115.68</v>
      </c>
      <c r="S479">
        <f>Table1[[#This Row],[Gross_Sales]]*Table1[[#This Row],[Discount_Rate]]</f>
        <v>711.5680000000001</v>
      </c>
      <c r="T479">
        <f>Table1[[#This Row],[Gross_Sales]]-Table1[[#This Row],[Discount_Amount]]</f>
        <v>6404.1120000000001</v>
      </c>
      <c r="U479">
        <f>VLOOKUP(Table1[[#This Row],[Category]],REF_Cost!$A$1:$B$6,2,FALSE)*Table1[[#This Row],[Quantity]]</f>
        <v>960</v>
      </c>
      <c r="V479">
        <f>Table1[[#This Row],[Net_Sales]]-Table1[[#This Row],[Total_Cost]]</f>
        <v>5444.1120000000001</v>
      </c>
      <c r="W479" t="str">
        <f>TEXT(Table1[[#This Row],[Order_Date]],"mmm")</f>
        <v>Jan</v>
      </c>
      <c r="X479">
        <f>ROUNDUP(MONTH(Table1[[#This Row],[Order_Date]])/3,0)</f>
        <v>1</v>
      </c>
      <c r="Y479">
        <f>YEAR(Table1[[#This Row],[Order_Date]])</f>
        <v>2024</v>
      </c>
    </row>
    <row r="480" spans="1:25" x14ac:dyDescent="0.25">
      <c r="A480" t="s">
        <v>1990</v>
      </c>
      <c r="B480" t="s">
        <v>1991</v>
      </c>
      <c r="C480" t="s">
        <v>1992</v>
      </c>
      <c r="D480" t="s">
        <v>1993</v>
      </c>
      <c r="E480" t="s">
        <v>78</v>
      </c>
      <c r="F480" t="s">
        <v>84</v>
      </c>
      <c r="G480" t="s">
        <v>90</v>
      </c>
      <c r="H480" t="s">
        <v>72</v>
      </c>
      <c r="I480" t="s">
        <v>43</v>
      </c>
      <c r="J480" t="s">
        <v>126</v>
      </c>
      <c r="K480">
        <v>4</v>
      </c>
      <c r="L480">
        <v>948.52</v>
      </c>
      <c r="M480" s="3">
        <v>0</v>
      </c>
      <c r="N480" t="str">
        <f>VLOOKUP(Table1[[#This Row],[Country]],REF_Country!$A$1:$D$11,2,FALSE)</f>
        <v>Oceania</v>
      </c>
      <c r="O480" t="str">
        <f>VLOOKUP(Table1[[#This Row],[Country]],REF_Country!$A$1:$D$11,3,FALSE)</f>
        <v>AU</v>
      </c>
      <c r="P480">
        <f>VLOOKUP(Table1[[#This Row],[Country]],REF_Country!$A$1:$D$11,4,FALSE)</f>
        <v>0.1</v>
      </c>
      <c r="Q480">
        <f>VLOOKUP(Table1[[#This Row],[Category]],REF_Target!$A$1:$E$6,2,FALSE)</f>
        <v>30000</v>
      </c>
      <c r="R480">
        <f>Table1[[#This Row],[Quantity]]*Table1[[#This Row],[Unit_Price]]</f>
        <v>3794.08</v>
      </c>
      <c r="S480">
        <f>Table1[[#This Row],[Gross_Sales]]*Table1[[#This Row],[Discount_Rate]]</f>
        <v>0</v>
      </c>
      <c r="T480">
        <f>Table1[[#This Row],[Gross_Sales]]-Table1[[#This Row],[Discount_Amount]]</f>
        <v>3794.08</v>
      </c>
      <c r="U480">
        <f>VLOOKUP(Table1[[#This Row],[Category]],REF_Cost!$A$1:$B$6,2,FALSE)*Table1[[#This Row],[Quantity]]</f>
        <v>800</v>
      </c>
      <c r="V480">
        <f>Table1[[#This Row],[Net_Sales]]-Table1[[#This Row],[Total_Cost]]</f>
        <v>2994.08</v>
      </c>
      <c r="W480" t="str">
        <f>TEXT(Table1[[#This Row],[Order_Date]],"mmm")</f>
        <v>Nov</v>
      </c>
      <c r="X480">
        <f>ROUNDUP(MONTH(Table1[[#This Row],[Order_Date]])/3,0)</f>
        <v>4</v>
      </c>
      <c r="Y480">
        <f>YEAR(Table1[[#This Row],[Order_Date]])</f>
        <v>2024</v>
      </c>
    </row>
    <row r="481" spans="1:25" x14ac:dyDescent="0.25">
      <c r="A481" t="s">
        <v>1994</v>
      </c>
      <c r="B481" t="s">
        <v>1995</v>
      </c>
      <c r="C481" t="s">
        <v>1996</v>
      </c>
      <c r="D481" t="s">
        <v>1997</v>
      </c>
      <c r="E481" t="s">
        <v>64</v>
      </c>
      <c r="F481" t="s">
        <v>40</v>
      </c>
      <c r="G481" t="s">
        <v>41</v>
      </c>
      <c r="H481" t="s">
        <v>32</v>
      </c>
      <c r="I481" t="s">
        <v>96</v>
      </c>
      <c r="J481" t="s">
        <v>73</v>
      </c>
      <c r="K481">
        <v>2</v>
      </c>
      <c r="L481">
        <v>458.19</v>
      </c>
      <c r="M481" s="3">
        <v>0</v>
      </c>
      <c r="N481" t="str">
        <f>VLOOKUP(Table1[[#This Row],[Country]],REF_Country!$A$1:$D$11,2,FALSE)</f>
        <v>Southeast Asia</v>
      </c>
      <c r="O481" t="str">
        <f>VLOOKUP(Table1[[#This Row],[Country]],REF_Country!$A$1:$D$11,3,FALSE)</f>
        <v>ID</v>
      </c>
      <c r="P481">
        <f>VLOOKUP(Table1[[#This Row],[Country]],REF_Country!$A$1:$D$11,4,FALSE)</f>
        <v>0.11</v>
      </c>
      <c r="Q481">
        <f>VLOOKUP(Table1[[#This Row],[Category]],REF_Target!$A$1:$E$6,2,FALSE)</f>
        <v>45000</v>
      </c>
      <c r="R481">
        <f>Table1[[#This Row],[Quantity]]*Table1[[#This Row],[Unit_Price]]</f>
        <v>916.38</v>
      </c>
      <c r="S481">
        <f>Table1[[#This Row],[Gross_Sales]]*Table1[[#This Row],[Discount_Rate]]</f>
        <v>0</v>
      </c>
      <c r="T481">
        <f>Table1[[#This Row],[Gross_Sales]]-Table1[[#This Row],[Discount_Amount]]</f>
        <v>916.38</v>
      </c>
      <c r="U481">
        <f>VLOOKUP(Table1[[#This Row],[Category]],REF_Cost!$A$1:$B$6,2,FALSE)*Table1[[#This Row],[Quantity]]</f>
        <v>160</v>
      </c>
      <c r="V481">
        <f>Table1[[#This Row],[Net_Sales]]-Table1[[#This Row],[Total_Cost]]</f>
        <v>756.38</v>
      </c>
      <c r="W481" t="str">
        <f>TEXT(Table1[[#This Row],[Order_Date]],"mmm")</f>
        <v>Jun</v>
      </c>
      <c r="X481">
        <f>ROUNDUP(MONTH(Table1[[#This Row],[Order_Date]])/3,0)</f>
        <v>2</v>
      </c>
      <c r="Y481">
        <f>YEAR(Table1[[#This Row],[Order_Date]])</f>
        <v>2024</v>
      </c>
    </row>
    <row r="482" spans="1:25" x14ac:dyDescent="0.25">
      <c r="A482" t="s">
        <v>1998</v>
      </c>
      <c r="B482" t="s">
        <v>1999</v>
      </c>
      <c r="C482" t="s">
        <v>2000</v>
      </c>
      <c r="D482" t="s">
        <v>2001</v>
      </c>
      <c r="E482" t="s">
        <v>83</v>
      </c>
      <c r="F482" t="s">
        <v>40</v>
      </c>
      <c r="G482" t="s">
        <v>41</v>
      </c>
      <c r="H482" t="s">
        <v>58</v>
      </c>
      <c r="I482" t="s">
        <v>51</v>
      </c>
      <c r="J482" t="s">
        <v>126</v>
      </c>
      <c r="K482">
        <v>8</v>
      </c>
      <c r="L482">
        <v>278.47000000000003</v>
      </c>
      <c r="M482" s="3">
        <v>0.2</v>
      </c>
      <c r="N482" t="str">
        <f>VLOOKUP(Table1[[#This Row],[Country]],REF_Country!$A$1:$D$11,2,FALSE)</f>
        <v>South Asia</v>
      </c>
      <c r="O482" t="str">
        <f>VLOOKUP(Table1[[#This Row],[Country]],REF_Country!$A$1:$D$11,3,FALSE)</f>
        <v>IN</v>
      </c>
      <c r="P482">
        <f>VLOOKUP(Table1[[#This Row],[Country]],REF_Country!$A$1:$D$11,4,FALSE)</f>
        <v>0.18</v>
      </c>
      <c r="Q482">
        <f>VLOOKUP(Table1[[#This Row],[Category]],REF_Target!$A$1:$E$6,2,FALSE)</f>
        <v>45000</v>
      </c>
      <c r="R482">
        <f>Table1[[#This Row],[Quantity]]*Table1[[#This Row],[Unit_Price]]</f>
        <v>2227.7600000000002</v>
      </c>
      <c r="S482">
        <f>Table1[[#This Row],[Gross_Sales]]*Table1[[#This Row],[Discount_Rate]]</f>
        <v>445.55200000000008</v>
      </c>
      <c r="T482">
        <f>Table1[[#This Row],[Gross_Sales]]-Table1[[#This Row],[Discount_Amount]]</f>
        <v>1782.2080000000001</v>
      </c>
      <c r="U482">
        <f>VLOOKUP(Table1[[#This Row],[Category]],REF_Cost!$A$1:$B$6,2,FALSE)*Table1[[#This Row],[Quantity]]</f>
        <v>640</v>
      </c>
      <c r="V482">
        <f>Table1[[#This Row],[Net_Sales]]-Table1[[#This Row],[Total_Cost]]</f>
        <v>1142.2080000000001</v>
      </c>
      <c r="W482" t="str">
        <f>TEXT(Table1[[#This Row],[Order_Date]],"mmm")</f>
        <v>Dec</v>
      </c>
      <c r="X482">
        <f>ROUNDUP(MONTH(Table1[[#This Row],[Order_Date]])/3,0)</f>
        <v>4</v>
      </c>
      <c r="Y482">
        <f>YEAR(Table1[[#This Row],[Order_Date]])</f>
        <v>2024</v>
      </c>
    </row>
    <row r="483" spans="1:25" x14ac:dyDescent="0.25">
      <c r="A483" t="s">
        <v>2002</v>
      </c>
      <c r="B483" t="s">
        <v>2003</v>
      </c>
      <c r="C483" t="s">
        <v>2004</v>
      </c>
      <c r="D483" t="s">
        <v>2005</v>
      </c>
      <c r="E483" t="s">
        <v>149</v>
      </c>
      <c r="F483" t="s">
        <v>56</v>
      </c>
      <c r="G483" t="s">
        <v>57</v>
      </c>
      <c r="H483" t="s">
        <v>42</v>
      </c>
      <c r="I483" t="s">
        <v>43</v>
      </c>
      <c r="J483" t="s">
        <v>126</v>
      </c>
      <c r="K483">
        <v>2</v>
      </c>
      <c r="L483">
        <v>1267.31</v>
      </c>
      <c r="M483" s="3">
        <v>0.05</v>
      </c>
      <c r="N483" t="str">
        <f>VLOOKUP(Table1[[#This Row],[Country]],REF_Country!$A$1:$D$11,2,FALSE)</f>
        <v>East Asia</v>
      </c>
      <c r="O483" t="str">
        <f>VLOOKUP(Table1[[#This Row],[Country]],REF_Country!$A$1:$D$11,3,FALSE)</f>
        <v>JP</v>
      </c>
      <c r="P483">
        <f>VLOOKUP(Table1[[#This Row],[Country]],REF_Country!$A$1:$D$11,4,FALSE)</f>
        <v>0.1</v>
      </c>
      <c r="Q483">
        <f>VLOOKUP(Table1[[#This Row],[Category]],REF_Target!$A$1:$E$6,2,FALSE)</f>
        <v>50000</v>
      </c>
      <c r="R483">
        <f>Table1[[#This Row],[Quantity]]*Table1[[#This Row],[Unit_Price]]</f>
        <v>2534.62</v>
      </c>
      <c r="S483">
        <f>Table1[[#This Row],[Gross_Sales]]*Table1[[#This Row],[Discount_Rate]]</f>
        <v>126.73099999999999</v>
      </c>
      <c r="T483">
        <f>Table1[[#This Row],[Gross_Sales]]-Table1[[#This Row],[Discount_Amount]]</f>
        <v>2407.8890000000001</v>
      </c>
      <c r="U483">
        <f>VLOOKUP(Table1[[#This Row],[Category]],REF_Cost!$A$1:$B$6,2,FALSE)*Table1[[#This Row],[Quantity]]</f>
        <v>900</v>
      </c>
      <c r="V483">
        <f>Table1[[#This Row],[Net_Sales]]-Table1[[#This Row],[Total_Cost]]</f>
        <v>1507.8890000000001</v>
      </c>
      <c r="W483" t="str">
        <f>TEXT(Table1[[#This Row],[Order_Date]],"mmm")</f>
        <v>Jun</v>
      </c>
      <c r="X483">
        <f>ROUNDUP(MONTH(Table1[[#This Row],[Order_Date]])/3,0)</f>
        <v>2</v>
      </c>
      <c r="Y483">
        <f>YEAR(Table1[[#This Row],[Order_Date]])</f>
        <v>2024</v>
      </c>
    </row>
    <row r="484" spans="1:25" x14ac:dyDescent="0.25">
      <c r="A484" t="s">
        <v>2006</v>
      </c>
      <c r="B484" t="s">
        <v>2007</v>
      </c>
      <c r="C484" t="s">
        <v>2008</v>
      </c>
      <c r="D484" t="s">
        <v>2009</v>
      </c>
      <c r="E484" t="s">
        <v>78</v>
      </c>
      <c r="F484" t="s">
        <v>30</v>
      </c>
      <c r="G484" t="s">
        <v>31</v>
      </c>
      <c r="H484" t="s">
        <v>32</v>
      </c>
      <c r="I484" t="s">
        <v>96</v>
      </c>
      <c r="J484" t="s">
        <v>59</v>
      </c>
      <c r="K484">
        <v>2</v>
      </c>
      <c r="L484">
        <v>923.9</v>
      </c>
      <c r="M484" s="3">
        <v>0.15</v>
      </c>
      <c r="N484" t="str">
        <f>VLOOKUP(Table1[[#This Row],[Country]],REF_Country!$A$1:$D$11,2,FALSE)</f>
        <v>Oceania</v>
      </c>
      <c r="O484" t="str">
        <f>VLOOKUP(Table1[[#This Row],[Country]],REF_Country!$A$1:$D$11,3,FALSE)</f>
        <v>AU</v>
      </c>
      <c r="P484">
        <f>VLOOKUP(Table1[[#This Row],[Country]],REF_Country!$A$1:$D$11,4,FALSE)</f>
        <v>0.1</v>
      </c>
      <c r="Q484">
        <f>VLOOKUP(Table1[[#This Row],[Category]],REF_Target!$A$1:$E$6,2,FALSE)</f>
        <v>40000</v>
      </c>
      <c r="R484">
        <f>Table1[[#This Row],[Quantity]]*Table1[[#This Row],[Unit_Price]]</f>
        <v>1847.8</v>
      </c>
      <c r="S484">
        <f>Table1[[#This Row],[Gross_Sales]]*Table1[[#This Row],[Discount_Rate]]</f>
        <v>277.16999999999996</v>
      </c>
      <c r="T484">
        <f>Table1[[#This Row],[Gross_Sales]]-Table1[[#This Row],[Discount_Amount]]</f>
        <v>1570.63</v>
      </c>
      <c r="U484">
        <f>VLOOKUP(Table1[[#This Row],[Category]],REF_Cost!$A$1:$B$6,2,FALSE)*Table1[[#This Row],[Quantity]]</f>
        <v>240</v>
      </c>
      <c r="V484">
        <f>Table1[[#This Row],[Net_Sales]]-Table1[[#This Row],[Total_Cost]]</f>
        <v>1330.63</v>
      </c>
      <c r="W484" t="str">
        <f>TEXT(Table1[[#This Row],[Order_Date]],"mmm")</f>
        <v>Jun</v>
      </c>
      <c r="X484">
        <f>ROUNDUP(MONTH(Table1[[#This Row],[Order_Date]])/3,0)</f>
        <v>2</v>
      </c>
      <c r="Y484">
        <f>YEAR(Table1[[#This Row],[Order_Date]])</f>
        <v>2024</v>
      </c>
    </row>
    <row r="485" spans="1:25" x14ac:dyDescent="0.25">
      <c r="A485" t="s">
        <v>2010</v>
      </c>
      <c r="B485" t="s">
        <v>2011</v>
      </c>
      <c r="C485" t="s">
        <v>2012</v>
      </c>
      <c r="D485" t="s">
        <v>2013</v>
      </c>
      <c r="E485" t="s">
        <v>78</v>
      </c>
      <c r="F485" t="s">
        <v>40</v>
      </c>
      <c r="G485" t="s">
        <v>41</v>
      </c>
      <c r="H485" t="s">
        <v>42</v>
      </c>
      <c r="I485" t="s">
        <v>33</v>
      </c>
      <c r="J485" t="s">
        <v>34</v>
      </c>
      <c r="K485">
        <v>3</v>
      </c>
      <c r="L485">
        <v>540.47</v>
      </c>
      <c r="M485" s="3">
        <v>0.15</v>
      </c>
      <c r="N485" t="str">
        <f>VLOOKUP(Table1[[#This Row],[Country]],REF_Country!$A$1:$D$11,2,FALSE)</f>
        <v>Oceania</v>
      </c>
      <c r="O485" t="str">
        <f>VLOOKUP(Table1[[#This Row],[Country]],REF_Country!$A$1:$D$11,3,FALSE)</f>
        <v>AU</v>
      </c>
      <c r="P485">
        <f>VLOOKUP(Table1[[#This Row],[Country]],REF_Country!$A$1:$D$11,4,FALSE)</f>
        <v>0.1</v>
      </c>
      <c r="Q485">
        <f>VLOOKUP(Table1[[#This Row],[Category]],REF_Target!$A$1:$E$6,2,FALSE)</f>
        <v>45000</v>
      </c>
      <c r="R485">
        <f>Table1[[#This Row],[Quantity]]*Table1[[#This Row],[Unit_Price]]</f>
        <v>1621.41</v>
      </c>
      <c r="S485">
        <f>Table1[[#This Row],[Gross_Sales]]*Table1[[#This Row],[Discount_Rate]]</f>
        <v>243.2115</v>
      </c>
      <c r="T485">
        <f>Table1[[#This Row],[Gross_Sales]]-Table1[[#This Row],[Discount_Amount]]</f>
        <v>1378.1985</v>
      </c>
      <c r="U485">
        <f>VLOOKUP(Table1[[#This Row],[Category]],REF_Cost!$A$1:$B$6,2,FALSE)*Table1[[#This Row],[Quantity]]</f>
        <v>240</v>
      </c>
      <c r="V485">
        <f>Table1[[#This Row],[Net_Sales]]-Table1[[#This Row],[Total_Cost]]</f>
        <v>1138.1985</v>
      </c>
      <c r="W485" t="str">
        <f>TEXT(Table1[[#This Row],[Order_Date]],"mmm")</f>
        <v>Nov</v>
      </c>
      <c r="X485">
        <f>ROUNDUP(MONTH(Table1[[#This Row],[Order_Date]])/3,0)</f>
        <v>4</v>
      </c>
      <c r="Y485">
        <f>YEAR(Table1[[#This Row],[Order_Date]])</f>
        <v>2024</v>
      </c>
    </row>
    <row r="486" spans="1:25" x14ac:dyDescent="0.25">
      <c r="A486" t="s">
        <v>2014</v>
      </c>
      <c r="B486" t="s">
        <v>2015</v>
      </c>
      <c r="C486" t="s">
        <v>2016</v>
      </c>
      <c r="D486" t="s">
        <v>2017</v>
      </c>
      <c r="E486" t="s">
        <v>29</v>
      </c>
      <c r="F486" t="s">
        <v>30</v>
      </c>
      <c r="G486" t="s">
        <v>269</v>
      </c>
      <c r="H486" t="s">
        <v>32</v>
      </c>
      <c r="I486" t="s">
        <v>43</v>
      </c>
      <c r="J486" t="s">
        <v>34</v>
      </c>
      <c r="K486">
        <v>8</v>
      </c>
      <c r="L486">
        <v>190.54</v>
      </c>
      <c r="M486" s="3">
        <v>0.2</v>
      </c>
      <c r="N486" t="str">
        <f>VLOOKUP(Table1[[#This Row],[Country]],REF_Country!$A$1:$D$11,2,FALSE)</f>
        <v>Southeast Asia</v>
      </c>
      <c r="O486" t="str">
        <f>VLOOKUP(Table1[[#This Row],[Country]],REF_Country!$A$1:$D$11,3,FALSE)</f>
        <v>VN</v>
      </c>
      <c r="P486">
        <f>VLOOKUP(Table1[[#This Row],[Country]],REF_Country!$A$1:$D$11,4,FALSE)</f>
        <v>0.1</v>
      </c>
      <c r="Q486">
        <f>VLOOKUP(Table1[[#This Row],[Category]],REF_Target!$A$1:$E$6,2,FALSE)</f>
        <v>40000</v>
      </c>
      <c r="R486">
        <f>Table1[[#This Row],[Quantity]]*Table1[[#This Row],[Unit_Price]]</f>
        <v>1524.32</v>
      </c>
      <c r="S486">
        <f>Table1[[#This Row],[Gross_Sales]]*Table1[[#This Row],[Discount_Rate]]</f>
        <v>304.86399999999998</v>
      </c>
      <c r="T486">
        <f>Table1[[#This Row],[Gross_Sales]]-Table1[[#This Row],[Discount_Amount]]</f>
        <v>1219.4559999999999</v>
      </c>
      <c r="U486">
        <f>VLOOKUP(Table1[[#This Row],[Category]],REF_Cost!$A$1:$B$6,2,FALSE)*Table1[[#This Row],[Quantity]]</f>
        <v>960</v>
      </c>
      <c r="V486">
        <f>Table1[[#This Row],[Net_Sales]]-Table1[[#This Row],[Total_Cost]]</f>
        <v>259.4559999999999</v>
      </c>
      <c r="W486" t="str">
        <f>TEXT(Table1[[#This Row],[Order_Date]],"mmm")</f>
        <v>Apr</v>
      </c>
      <c r="X486">
        <f>ROUNDUP(MONTH(Table1[[#This Row],[Order_Date]])/3,0)</f>
        <v>2</v>
      </c>
      <c r="Y486">
        <f>YEAR(Table1[[#This Row],[Order_Date]])</f>
        <v>2024</v>
      </c>
    </row>
    <row r="487" spans="1:25" x14ac:dyDescent="0.25">
      <c r="A487" t="s">
        <v>2018</v>
      </c>
      <c r="B487" t="s">
        <v>2019</v>
      </c>
      <c r="C487" t="s">
        <v>2020</v>
      </c>
      <c r="D487" t="s">
        <v>2021</v>
      </c>
      <c r="E487" t="s">
        <v>78</v>
      </c>
      <c r="F487" t="s">
        <v>30</v>
      </c>
      <c r="G487" t="s">
        <v>269</v>
      </c>
      <c r="H487" t="s">
        <v>32</v>
      </c>
      <c r="I487" t="s">
        <v>66</v>
      </c>
      <c r="J487" t="s">
        <v>59</v>
      </c>
      <c r="K487">
        <v>5</v>
      </c>
      <c r="L487">
        <v>966.32</v>
      </c>
      <c r="M487" s="3">
        <v>0.05</v>
      </c>
      <c r="N487" t="str">
        <f>VLOOKUP(Table1[[#This Row],[Country]],REF_Country!$A$1:$D$11,2,FALSE)</f>
        <v>Oceania</v>
      </c>
      <c r="O487" t="str">
        <f>VLOOKUP(Table1[[#This Row],[Country]],REF_Country!$A$1:$D$11,3,FALSE)</f>
        <v>AU</v>
      </c>
      <c r="P487">
        <f>VLOOKUP(Table1[[#This Row],[Country]],REF_Country!$A$1:$D$11,4,FALSE)</f>
        <v>0.1</v>
      </c>
      <c r="Q487">
        <f>VLOOKUP(Table1[[#This Row],[Category]],REF_Target!$A$1:$E$6,2,FALSE)</f>
        <v>40000</v>
      </c>
      <c r="R487">
        <f>Table1[[#This Row],[Quantity]]*Table1[[#This Row],[Unit_Price]]</f>
        <v>4831.6000000000004</v>
      </c>
      <c r="S487">
        <f>Table1[[#This Row],[Gross_Sales]]*Table1[[#This Row],[Discount_Rate]]</f>
        <v>241.58000000000004</v>
      </c>
      <c r="T487">
        <f>Table1[[#This Row],[Gross_Sales]]-Table1[[#This Row],[Discount_Amount]]</f>
        <v>4590.0200000000004</v>
      </c>
      <c r="U487">
        <f>VLOOKUP(Table1[[#This Row],[Category]],REF_Cost!$A$1:$B$6,2,FALSE)*Table1[[#This Row],[Quantity]]</f>
        <v>600</v>
      </c>
      <c r="V487">
        <f>Table1[[#This Row],[Net_Sales]]-Table1[[#This Row],[Total_Cost]]</f>
        <v>3990.0200000000004</v>
      </c>
      <c r="W487" t="str">
        <f>TEXT(Table1[[#This Row],[Order_Date]],"mmm")</f>
        <v>Jan</v>
      </c>
      <c r="X487">
        <f>ROUNDUP(MONTH(Table1[[#This Row],[Order_Date]])/3,0)</f>
        <v>1</v>
      </c>
      <c r="Y487">
        <f>YEAR(Table1[[#This Row],[Order_Date]])</f>
        <v>2024</v>
      </c>
    </row>
    <row r="488" spans="1:25" x14ac:dyDescent="0.25">
      <c r="A488" t="s">
        <v>2022</v>
      </c>
      <c r="B488" t="s">
        <v>2023</v>
      </c>
      <c r="C488" t="s">
        <v>2024</v>
      </c>
      <c r="D488" t="s">
        <v>2025</v>
      </c>
      <c r="E488" t="s">
        <v>64</v>
      </c>
      <c r="F488" t="s">
        <v>56</v>
      </c>
      <c r="G488" t="s">
        <v>190</v>
      </c>
      <c r="H488" t="s">
        <v>32</v>
      </c>
      <c r="I488" t="s">
        <v>43</v>
      </c>
      <c r="J488" t="s">
        <v>73</v>
      </c>
      <c r="K488">
        <v>10</v>
      </c>
      <c r="L488">
        <v>521.91999999999996</v>
      </c>
      <c r="M488" s="3">
        <v>0.15</v>
      </c>
      <c r="N488" t="str">
        <f>VLOOKUP(Table1[[#This Row],[Country]],REF_Country!$A$1:$D$11,2,FALSE)</f>
        <v>Southeast Asia</v>
      </c>
      <c r="O488" t="str">
        <f>VLOOKUP(Table1[[#This Row],[Country]],REF_Country!$A$1:$D$11,3,FALSE)</f>
        <v>ID</v>
      </c>
      <c r="P488">
        <f>VLOOKUP(Table1[[#This Row],[Country]],REF_Country!$A$1:$D$11,4,FALSE)</f>
        <v>0.11</v>
      </c>
      <c r="Q488">
        <f>VLOOKUP(Table1[[#This Row],[Category]],REF_Target!$A$1:$E$6,2,FALSE)</f>
        <v>50000</v>
      </c>
      <c r="R488">
        <f>Table1[[#This Row],[Quantity]]*Table1[[#This Row],[Unit_Price]]</f>
        <v>5219.2</v>
      </c>
      <c r="S488">
        <f>Table1[[#This Row],[Gross_Sales]]*Table1[[#This Row],[Discount_Rate]]</f>
        <v>782.88</v>
      </c>
      <c r="T488">
        <f>Table1[[#This Row],[Gross_Sales]]-Table1[[#This Row],[Discount_Amount]]</f>
        <v>4436.32</v>
      </c>
      <c r="U488">
        <f>VLOOKUP(Table1[[#This Row],[Category]],REF_Cost!$A$1:$B$6,2,FALSE)*Table1[[#This Row],[Quantity]]</f>
        <v>4500</v>
      </c>
      <c r="V488">
        <f>Table1[[#This Row],[Net_Sales]]-Table1[[#This Row],[Total_Cost]]</f>
        <v>-63.680000000000291</v>
      </c>
      <c r="W488" t="str">
        <f>TEXT(Table1[[#This Row],[Order_Date]],"mmm")</f>
        <v>Oct</v>
      </c>
      <c r="X488">
        <f>ROUNDUP(MONTH(Table1[[#This Row],[Order_Date]])/3,0)</f>
        <v>4</v>
      </c>
      <c r="Y488">
        <f>YEAR(Table1[[#This Row],[Order_Date]])</f>
        <v>2024</v>
      </c>
    </row>
    <row r="489" spans="1:25" x14ac:dyDescent="0.25">
      <c r="A489" t="s">
        <v>2026</v>
      </c>
      <c r="B489" t="s">
        <v>2027</v>
      </c>
      <c r="C489" t="s">
        <v>2028</v>
      </c>
      <c r="D489" t="s">
        <v>2029</v>
      </c>
      <c r="E489" t="s">
        <v>200</v>
      </c>
      <c r="F489" t="s">
        <v>56</v>
      </c>
      <c r="G489" t="s">
        <v>95</v>
      </c>
      <c r="H489" t="s">
        <v>58</v>
      </c>
      <c r="I489" t="s">
        <v>96</v>
      </c>
      <c r="J489" t="s">
        <v>34</v>
      </c>
      <c r="K489">
        <v>8</v>
      </c>
      <c r="L489">
        <v>730.02</v>
      </c>
      <c r="M489" s="3">
        <v>0.15</v>
      </c>
      <c r="N489" t="str">
        <f>VLOOKUP(Table1[[#This Row],[Country]],REF_Country!$A$1:$D$11,2,FALSE)</f>
        <v>East Asia</v>
      </c>
      <c r="O489" t="str">
        <f>VLOOKUP(Table1[[#This Row],[Country]],REF_Country!$A$1:$D$11,3,FALSE)</f>
        <v>KR</v>
      </c>
      <c r="P489">
        <f>VLOOKUP(Table1[[#This Row],[Country]],REF_Country!$A$1:$D$11,4,FALSE)</f>
        <v>0.1</v>
      </c>
      <c r="Q489">
        <f>VLOOKUP(Table1[[#This Row],[Category]],REF_Target!$A$1:$E$6,2,FALSE)</f>
        <v>50000</v>
      </c>
      <c r="R489">
        <f>Table1[[#This Row],[Quantity]]*Table1[[#This Row],[Unit_Price]]</f>
        <v>5840.16</v>
      </c>
      <c r="S489">
        <f>Table1[[#This Row],[Gross_Sales]]*Table1[[#This Row],[Discount_Rate]]</f>
        <v>876.024</v>
      </c>
      <c r="T489">
        <f>Table1[[#This Row],[Gross_Sales]]-Table1[[#This Row],[Discount_Amount]]</f>
        <v>4964.1359999999995</v>
      </c>
      <c r="U489">
        <f>VLOOKUP(Table1[[#This Row],[Category]],REF_Cost!$A$1:$B$6,2,FALSE)*Table1[[#This Row],[Quantity]]</f>
        <v>3600</v>
      </c>
      <c r="V489">
        <f>Table1[[#This Row],[Net_Sales]]-Table1[[#This Row],[Total_Cost]]</f>
        <v>1364.1359999999995</v>
      </c>
      <c r="W489" t="str">
        <f>TEXT(Table1[[#This Row],[Order_Date]],"mmm")</f>
        <v>Jun</v>
      </c>
      <c r="X489">
        <f>ROUNDUP(MONTH(Table1[[#This Row],[Order_Date]])/3,0)</f>
        <v>2</v>
      </c>
      <c r="Y489">
        <f>YEAR(Table1[[#This Row],[Order_Date]])</f>
        <v>2024</v>
      </c>
    </row>
    <row r="490" spans="1:25" x14ac:dyDescent="0.25">
      <c r="A490" t="s">
        <v>2030</v>
      </c>
      <c r="B490" t="s">
        <v>2031</v>
      </c>
      <c r="C490" t="s">
        <v>2032</v>
      </c>
      <c r="D490" t="s">
        <v>2033</v>
      </c>
      <c r="E490" t="s">
        <v>71</v>
      </c>
      <c r="F490" t="s">
        <v>40</v>
      </c>
      <c r="G490" t="s">
        <v>41</v>
      </c>
      <c r="H490" t="s">
        <v>58</v>
      </c>
      <c r="I490" t="s">
        <v>66</v>
      </c>
      <c r="J490" t="s">
        <v>126</v>
      </c>
      <c r="K490">
        <v>10</v>
      </c>
      <c r="L490">
        <v>42.8</v>
      </c>
      <c r="M490" s="3">
        <v>0.2</v>
      </c>
      <c r="N490" t="str">
        <f>VLOOKUP(Table1[[#This Row],[Country]],REF_Country!$A$1:$D$11,2,FALSE)</f>
        <v>Southeast Asia</v>
      </c>
      <c r="O490" t="str">
        <f>VLOOKUP(Table1[[#This Row],[Country]],REF_Country!$A$1:$D$11,3,FALSE)</f>
        <v>PH</v>
      </c>
      <c r="P490">
        <f>VLOOKUP(Table1[[#This Row],[Country]],REF_Country!$A$1:$D$11,4,FALSE)</f>
        <v>0.12</v>
      </c>
      <c r="Q490">
        <f>VLOOKUP(Table1[[#This Row],[Category]],REF_Target!$A$1:$E$6,2,FALSE)</f>
        <v>45000</v>
      </c>
      <c r="R490">
        <f>Table1[[#This Row],[Quantity]]*Table1[[#This Row],[Unit_Price]]</f>
        <v>428</v>
      </c>
      <c r="S490">
        <f>Table1[[#This Row],[Gross_Sales]]*Table1[[#This Row],[Discount_Rate]]</f>
        <v>85.600000000000009</v>
      </c>
      <c r="T490">
        <f>Table1[[#This Row],[Gross_Sales]]-Table1[[#This Row],[Discount_Amount]]</f>
        <v>342.4</v>
      </c>
      <c r="U490">
        <f>VLOOKUP(Table1[[#This Row],[Category]],REF_Cost!$A$1:$B$6,2,FALSE)*Table1[[#This Row],[Quantity]]</f>
        <v>800</v>
      </c>
      <c r="V490">
        <f>Table1[[#This Row],[Net_Sales]]-Table1[[#This Row],[Total_Cost]]</f>
        <v>-457.6</v>
      </c>
      <c r="W490" t="str">
        <f>TEXT(Table1[[#This Row],[Order_Date]],"mmm")</f>
        <v>Sep</v>
      </c>
      <c r="X490">
        <f>ROUNDUP(MONTH(Table1[[#This Row],[Order_Date]])/3,0)</f>
        <v>3</v>
      </c>
      <c r="Y490">
        <f>YEAR(Table1[[#This Row],[Order_Date]])</f>
        <v>2024</v>
      </c>
    </row>
    <row r="491" spans="1:25" x14ac:dyDescent="0.25">
      <c r="A491" t="s">
        <v>2034</v>
      </c>
      <c r="B491" t="s">
        <v>2035</v>
      </c>
      <c r="C491" t="s">
        <v>2036</v>
      </c>
      <c r="D491" t="s">
        <v>2037</v>
      </c>
      <c r="E491" t="s">
        <v>149</v>
      </c>
      <c r="F491" t="s">
        <v>40</v>
      </c>
      <c r="G491" t="s">
        <v>106</v>
      </c>
      <c r="H491" t="s">
        <v>32</v>
      </c>
      <c r="I491" t="s">
        <v>66</v>
      </c>
      <c r="J491" t="s">
        <v>59</v>
      </c>
      <c r="K491">
        <v>7</v>
      </c>
      <c r="L491">
        <v>862.91</v>
      </c>
      <c r="M491" s="3">
        <v>0</v>
      </c>
      <c r="N491" t="str">
        <f>VLOOKUP(Table1[[#This Row],[Country]],REF_Country!$A$1:$D$11,2,FALSE)</f>
        <v>East Asia</v>
      </c>
      <c r="O491" t="str">
        <f>VLOOKUP(Table1[[#This Row],[Country]],REF_Country!$A$1:$D$11,3,FALSE)</f>
        <v>JP</v>
      </c>
      <c r="P491">
        <f>VLOOKUP(Table1[[#This Row],[Country]],REF_Country!$A$1:$D$11,4,FALSE)</f>
        <v>0.1</v>
      </c>
      <c r="Q491">
        <f>VLOOKUP(Table1[[#This Row],[Category]],REF_Target!$A$1:$E$6,2,FALSE)</f>
        <v>45000</v>
      </c>
      <c r="R491">
        <f>Table1[[#This Row],[Quantity]]*Table1[[#This Row],[Unit_Price]]</f>
        <v>6040.37</v>
      </c>
      <c r="S491">
        <f>Table1[[#This Row],[Gross_Sales]]*Table1[[#This Row],[Discount_Rate]]</f>
        <v>0</v>
      </c>
      <c r="T491">
        <f>Table1[[#This Row],[Gross_Sales]]-Table1[[#This Row],[Discount_Amount]]</f>
        <v>6040.37</v>
      </c>
      <c r="U491">
        <f>VLOOKUP(Table1[[#This Row],[Category]],REF_Cost!$A$1:$B$6,2,FALSE)*Table1[[#This Row],[Quantity]]</f>
        <v>560</v>
      </c>
      <c r="V491">
        <f>Table1[[#This Row],[Net_Sales]]-Table1[[#This Row],[Total_Cost]]</f>
        <v>5480.37</v>
      </c>
      <c r="W491" t="str">
        <f>TEXT(Table1[[#This Row],[Order_Date]],"mmm")</f>
        <v>May</v>
      </c>
      <c r="X491">
        <f>ROUNDUP(MONTH(Table1[[#This Row],[Order_Date]])/3,0)</f>
        <v>2</v>
      </c>
      <c r="Y491">
        <f>YEAR(Table1[[#This Row],[Order_Date]])</f>
        <v>2024</v>
      </c>
    </row>
    <row r="492" spans="1:25" x14ac:dyDescent="0.25">
      <c r="A492" t="s">
        <v>2038</v>
      </c>
      <c r="B492" t="s">
        <v>2039</v>
      </c>
      <c r="C492" t="s">
        <v>2040</v>
      </c>
      <c r="D492" t="s">
        <v>2041</v>
      </c>
      <c r="E492" t="s">
        <v>200</v>
      </c>
      <c r="F492" t="s">
        <v>30</v>
      </c>
      <c r="G492" t="s">
        <v>65</v>
      </c>
      <c r="H492" t="s">
        <v>58</v>
      </c>
      <c r="I492" t="s">
        <v>43</v>
      </c>
      <c r="J492" t="s">
        <v>126</v>
      </c>
      <c r="K492">
        <v>5</v>
      </c>
      <c r="L492">
        <v>686.08</v>
      </c>
      <c r="M492" s="3">
        <v>0</v>
      </c>
      <c r="N492" t="str">
        <f>VLOOKUP(Table1[[#This Row],[Country]],REF_Country!$A$1:$D$11,2,FALSE)</f>
        <v>East Asia</v>
      </c>
      <c r="O492" t="str">
        <f>VLOOKUP(Table1[[#This Row],[Country]],REF_Country!$A$1:$D$11,3,FALSE)</f>
        <v>KR</v>
      </c>
      <c r="P492">
        <f>VLOOKUP(Table1[[#This Row],[Country]],REF_Country!$A$1:$D$11,4,FALSE)</f>
        <v>0.1</v>
      </c>
      <c r="Q492">
        <f>VLOOKUP(Table1[[#This Row],[Category]],REF_Target!$A$1:$E$6,2,FALSE)</f>
        <v>40000</v>
      </c>
      <c r="R492">
        <f>Table1[[#This Row],[Quantity]]*Table1[[#This Row],[Unit_Price]]</f>
        <v>3430.4</v>
      </c>
      <c r="S492">
        <f>Table1[[#This Row],[Gross_Sales]]*Table1[[#This Row],[Discount_Rate]]</f>
        <v>0</v>
      </c>
      <c r="T492">
        <f>Table1[[#This Row],[Gross_Sales]]-Table1[[#This Row],[Discount_Amount]]</f>
        <v>3430.4</v>
      </c>
      <c r="U492">
        <f>VLOOKUP(Table1[[#This Row],[Category]],REF_Cost!$A$1:$B$6,2,FALSE)*Table1[[#This Row],[Quantity]]</f>
        <v>600</v>
      </c>
      <c r="V492">
        <f>Table1[[#This Row],[Net_Sales]]-Table1[[#This Row],[Total_Cost]]</f>
        <v>2830.4</v>
      </c>
      <c r="W492" t="str">
        <f>TEXT(Table1[[#This Row],[Order_Date]],"mmm")</f>
        <v>May</v>
      </c>
      <c r="X492">
        <f>ROUNDUP(MONTH(Table1[[#This Row],[Order_Date]])/3,0)</f>
        <v>2</v>
      </c>
      <c r="Y492">
        <f>YEAR(Table1[[#This Row],[Order_Date]])</f>
        <v>2024</v>
      </c>
    </row>
    <row r="493" spans="1:25" x14ac:dyDescent="0.25">
      <c r="A493" t="s">
        <v>2042</v>
      </c>
      <c r="B493" t="s">
        <v>2043</v>
      </c>
      <c r="C493" t="s">
        <v>2044</v>
      </c>
      <c r="D493" t="s">
        <v>2045</v>
      </c>
      <c r="E493" t="s">
        <v>116</v>
      </c>
      <c r="F493" t="s">
        <v>49</v>
      </c>
      <c r="G493" t="s">
        <v>259</v>
      </c>
      <c r="H493" t="s">
        <v>72</v>
      </c>
      <c r="I493" t="s">
        <v>43</v>
      </c>
      <c r="J493" t="s">
        <v>59</v>
      </c>
      <c r="K493">
        <v>8</v>
      </c>
      <c r="L493">
        <v>52.03</v>
      </c>
      <c r="M493" s="3">
        <v>0.15</v>
      </c>
      <c r="N493" t="str">
        <f>VLOOKUP(Table1[[#This Row],[Country]],REF_Country!$A$1:$D$11,2,FALSE)</f>
        <v>Southeast Asia</v>
      </c>
      <c r="O493" t="str">
        <f>VLOOKUP(Table1[[#This Row],[Country]],REF_Country!$A$1:$D$11,3,FALSE)</f>
        <v>MY</v>
      </c>
      <c r="P493">
        <f>VLOOKUP(Table1[[#This Row],[Country]],REF_Country!$A$1:$D$11,4,FALSE)</f>
        <v>0.06</v>
      </c>
      <c r="Q493">
        <f>VLOOKUP(Table1[[#This Row],[Category]],REF_Target!$A$1:$E$6,2,FALSE)</f>
        <v>35000</v>
      </c>
      <c r="R493">
        <f>Table1[[#This Row],[Quantity]]*Table1[[#This Row],[Unit_Price]]</f>
        <v>416.24</v>
      </c>
      <c r="S493">
        <f>Table1[[#This Row],[Gross_Sales]]*Table1[[#This Row],[Discount_Rate]]</f>
        <v>62.436</v>
      </c>
      <c r="T493">
        <f>Table1[[#This Row],[Gross_Sales]]-Table1[[#This Row],[Discount_Amount]]</f>
        <v>353.80400000000003</v>
      </c>
      <c r="U493">
        <f>VLOOKUP(Table1[[#This Row],[Category]],REF_Cost!$A$1:$B$6,2,FALSE)*Table1[[#This Row],[Quantity]]</f>
        <v>1200</v>
      </c>
      <c r="V493">
        <f>Table1[[#This Row],[Net_Sales]]-Table1[[#This Row],[Total_Cost]]</f>
        <v>-846.19599999999991</v>
      </c>
      <c r="W493" t="str">
        <f>TEXT(Table1[[#This Row],[Order_Date]],"mmm")</f>
        <v>Jan</v>
      </c>
      <c r="X493">
        <f>ROUNDUP(MONTH(Table1[[#This Row],[Order_Date]])/3,0)</f>
        <v>1</v>
      </c>
      <c r="Y493">
        <f>YEAR(Table1[[#This Row],[Order_Date]])</f>
        <v>2024</v>
      </c>
    </row>
    <row r="494" spans="1:25" x14ac:dyDescent="0.25">
      <c r="A494" t="s">
        <v>2046</v>
      </c>
      <c r="B494" t="s">
        <v>2047</v>
      </c>
      <c r="C494" t="s">
        <v>2048</v>
      </c>
      <c r="D494" t="s">
        <v>2049</v>
      </c>
      <c r="E494" t="s">
        <v>71</v>
      </c>
      <c r="F494" t="s">
        <v>30</v>
      </c>
      <c r="G494" t="s">
        <v>269</v>
      </c>
      <c r="H494" t="s">
        <v>72</v>
      </c>
      <c r="I494" t="s">
        <v>43</v>
      </c>
      <c r="J494" t="s">
        <v>126</v>
      </c>
      <c r="K494">
        <v>9</v>
      </c>
      <c r="L494">
        <v>1235.8800000000001</v>
      </c>
      <c r="M494" s="3">
        <v>0.2</v>
      </c>
      <c r="N494" t="str">
        <f>VLOOKUP(Table1[[#This Row],[Country]],REF_Country!$A$1:$D$11,2,FALSE)</f>
        <v>Southeast Asia</v>
      </c>
      <c r="O494" t="str">
        <f>VLOOKUP(Table1[[#This Row],[Country]],REF_Country!$A$1:$D$11,3,FALSE)</f>
        <v>PH</v>
      </c>
      <c r="P494">
        <f>VLOOKUP(Table1[[#This Row],[Country]],REF_Country!$A$1:$D$11,4,FALSE)</f>
        <v>0.12</v>
      </c>
      <c r="Q494">
        <f>VLOOKUP(Table1[[#This Row],[Category]],REF_Target!$A$1:$E$6,2,FALSE)</f>
        <v>40000</v>
      </c>
      <c r="R494">
        <f>Table1[[#This Row],[Quantity]]*Table1[[#This Row],[Unit_Price]]</f>
        <v>11122.920000000002</v>
      </c>
      <c r="S494">
        <f>Table1[[#This Row],[Gross_Sales]]*Table1[[#This Row],[Discount_Rate]]</f>
        <v>2224.5840000000003</v>
      </c>
      <c r="T494">
        <f>Table1[[#This Row],[Gross_Sales]]-Table1[[#This Row],[Discount_Amount]]</f>
        <v>8898.3360000000011</v>
      </c>
      <c r="U494">
        <f>VLOOKUP(Table1[[#This Row],[Category]],REF_Cost!$A$1:$B$6,2,FALSE)*Table1[[#This Row],[Quantity]]</f>
        <v>1080</v>
      </c>
      <c r="V494">
        <f>Table1[[#This Row],[Net_Sales]]-Table1[[#This Row],[Total_Cost]]</f>
        <v>7818.3360000000011</v>
      </c>
      <c r="W494" t="str">
        <f>TEXT(Table1[[#This Row],[Order_Date]],"mmm")</f>
        <v>Sep</v>
      </c>
      <c r="X494">
        <f>ROUNDUP(MONTH(Table1[[#This Row],[Order_Date]])/3,0)</f>
        <v>3</v>
      </c>
      <c r="Y494">
        <f>YEAR(Table1[[#This Row],[Order_Date]])</f>
        <v>2024</v>
      </c>
    </row>
    <row r="495" spans="1:25" x14ac:dyDescent="0.25">
      <c r="A495" t="s">
        <v>2050</v>
      </c>
      <c r="B495" t="s">
        <v>2051</v>
      </c>
      <c r="C495" t="s">
        <v>2052</v>
      </c>
      <c r="D495" t="s">
        <v>2053</v>
      </c>
      <c r="E495" t="s">
        <v>78</v>
      </c>
      <c r="F495" t="s">
        <v>56</v>
      </c>
      <c r="G495" t="s">
        <v>101</v>
      </c>
      <c r="H495" t="s">
        <v>32</v>
      </c>
      <c r="I495" t="s">
        <v>66</v>
      </c>
      <c r="J495" t="s">
        <v>34</v>
      </c>
      <c r="K495">
        <v>1</v>
      </c>
      <c r="L495">
        <v>476.81</v>
      </c>
      <c r="M495" s="3">
        <v>0.2</v>
      </c>
      <c r="N495" t="str">
        <f>VLOOKUP(Table1[[#This Row],[Country]],REF_Country!$A$1:$D$11,2,FALSE)</f>
        <v>Oceania</v>
      </c>
      <c r="O495" t="str">
        <f>VLOOKUP(Table1[[#This Row],[Country]],REF_Country!$A$1:$D$11,3,FALSE)</f>
        <v>AU</v>
      </c>
      <c r="P495">
        <f>VLOOKUP(Table1[[#This Row],[Country]],REF_Country!$A$1:$D$11,4,FALSE)</f>
        <v>0.1</v>
      </c>
      <c r="Q495">
        <f>VLOOKUP(Table1[[#This Row],[Category]],REF_Target!$A$1:$E$6,2,FALSE)</f>
        <v>50000</v>
      </c>
      <c r="R495">
        <f>Table1[[#This Row],[Quantity]]*Table1[[#This Row],[Unit_Price]]</f>
        <v>476.81</v>
      </c>
      <c r="S495">
        <f>Table1[[#This Row],[Gross_Sales]]*Table1[[#This Row],[Discount_Rate]]</f>
        <v>95.362000000000009</v>
      </c>
      <c r="T495">
        <f>Table1[[#This Row],[Gross_Sales]]-Table1[[#This Row],[Discount_Amount]]</f>
        <v>381.44799999999998</v>
      </c>
      <c r="U495">
        <f>VLOOKUP(Table1[[#This Row],[Category]],REF_Cost!$A$1:$B$6,2,FALSE)*Table1[[#This Row],[Quantity]]</f>
        <v>450</v>
      </c>
      <c r="V495">
        <f>Table1[[#This Row],[Net_Sales]]-Table1[[#This Row],[Total_Cost]]</f>
        <v>-68.552000000000021</v>
      </c>
      <c r="W495" t="str">
        <f>TEXT(Table1[[#This Row],[Order_Date]],"mmm")</f>
        <v>Jul</v>
      </c>
      <c r="X495">
        <f>ROUNDUP(MONTH(Table1[[#This Row],[Order_Date]])/3,0)</f>
        <v>3</v>
      </c>
      <c r="Y495">
        <f>YEAR(Table1[[#This Row],[Order_Date]])</f>
        <v>2024</v>
      </c>
    </row>
    <row r="496" spans="1:25" x14ac:dyDescent="0.25">
      <c r="A496" t="s">
        <v>2054</v>
      </c>
      <c r="B496" t="s">
        <v>2055</v>
      </c>
      <c r="C496" t="s">
        <v>2056</v>
      </c>
      <c r="D496" t="s">
        <v>2057</v>
      </c>
      <c r="E496" t="s">
        <v>29</v>
      </c>
      <c r="F496" t="s">
        <v>56</v>
      </c>
      <c r="G496" t="s">
        <v>111</v>
      </c>
      <c r="H496" t="s">
        <v>72</v>
      </c>
      <c r="I496" t="s">
        <v>43</v>
      </c>
      <c r="J496" t="s">
        <v>59</v>
      </c>
      <c r="K496">
        <v>4</v>
      </c>
      <c r="L496">
        <v>1141.3599999999999</v>
      </c>
      <c r="M496" s="3">
        <v>0.05</v>
      </c>
      <c r="N496" t="str">
        <f>VLOOKUP(Table1[[#This Row],[Country]],REF_Country!$A$1:$D$11,2,FALSE)</f>
        <v>Southeast Asia</v>
      </c>
      <c r="O496" t="str">
        <f>VLOOKUP(Table1[[#This Row],[Country]],REF_Country!$A$1:$D$11,3,FALSE)</f>
        <v>VN</v>
      </c>
      <c r="P496">
        <f>VLOOKUP(Table1[[#This Row],[Country]],REF_Country!$A$1:$D$11,4,FALSE)</f>
        <v>0.1</v>
      </c>
      <c r="Q496">
        <f>VLOOKUP(Table1[[#This Row],[Category]],REF_Target!$A$1:$E$6,2,FALSE)</f>
        <v>50000</v>
      </c>
      <c r="R496">
        <f>Table1[[#This Row],[Quantity]]*Table1[[#This Row],[Unit_Price]]</f>
        <v>4565.4399999999996</v>
      </c>
      <c r="S496">
        <f>Table1[[#This Row],[Gross_Sales]]*Table1[[#This Row],[Discount_Rate]]</f>
        <v>228.27199999999999</v>
      </c>
      <c r="T496">
        <f>Table1[[#This Row],[Gross_Sales]]-Table1[[#This Row],[Discount_Amount]]</f>
        <v>4337.1679999999997</v>
      </c>
      <c r="U496">
        <f>VLOOKUP(Table1[[#This Row],[Category]],REF_Cost!$A$1:$B$6,2,FALSE)*Table1[[#This Row],[Quantity]]</f>
        <v>1800</v>
      </c>
      <c r="V496">
        <f>Table1[[#This Row],[Net_Sales]]-Table1[[#This Row],[Total_Cost]]</f>
        <v>2537.1679999999997</v>
      </c>
      <c r="W496" t="str">
        <f>TEXT(Table1[[#This Row],[Order_Date]],"mmm")</f>
        <v>Feb</v>
      </c>
      <c r="X496">
        <f>ROUNDUP(MONTH(Table1[[#This Row],[Order_Date]])/3,0)</f>
        <v>1</v>
      </c>
      <c r="Y496">
        <f>YEAR(Table1[[#This Row],[Order_Date]])</f>
        <v>2024</v>
      </c>
    </row>
    <row r="497" spans="1:25" x14ac:dyDescent="0.25">
      <c r="A497" t="s">
        <v>2058</v>
      </c>
      <c r="B497" t="s">
        <v>2059</v>
      </c>
      <c r="C497" t="s">
        <v>2060</v>
      </c>
      <c r="D497" t="s">
        <v>2061</v>
      </c>
      <c r="E497" t="s">
        <v>200</v>
      </c>
      <c r="F497" t="s">
        <v>56</v>
      </c>
      <c r="G497" t="s">
        <v>190</v>
      </c>
      <c r="H497" t="s">
        <v>32</v>
      </c>
      <c r="I497" t="s">
        <v>33</v>
      </c>
      <c r="J497" t="s">
        <v>126</v>
      </c>
      <c r="K497">
        <v>5</v>
      </c>
      <c r="L497">
        <v>236.74</v>
      </c>
      <c r="M497" s="3">
        <v>0</v>
      </c>
      <c r="N497" t="str">
        <f>VLOOKUP(Table1[[#This Row],[Country]],REF_Country!$A$1:$D$11,2,FALSE)</f>
        <v>East Asia</v>
      </c>
      <c r="O497" t="str">
        <f>VLOOKUP(Table1[[#This Row],[Country]],REF_Country!$A$1:$D$11,3,FALSE)</f>
        <v>KR</v>
      </c>
      <c r="P497">
        <f>VLOOKUP(Table1[[#This Row],[Country]],REF_Country!$A$1:$D$11,4,FALSE)</f>
        <v>0.1</v>
      </c>
      <c r="Q497">
        <f>VLOOKUP(Table1[[#This Row],[Category]],REF_Target!$A$1:$E$6,2,FALSE)</f>
        <v>50000</v>
      </c>
      <c r="R497">
        <f>Table1[[#This Row],[Quantity]]*Table1[[#This Row],[Unit_Price]]</f>
        <v>1183.7</v>
      </c>
      <c r="S497">
        <f>Table1[[#This Row],[Gross_Sales]]*Table1[[#This Row],[Discount_Rate]]</f>
        <v>0</v>
      </c>
      <c r="T497">
        <f>Table1[[#This Row],[Gross_Sales]]-Table1[[#This Row],[Discount_Amount]]</f>
        <v>1183.7</v>
      </c>
      <c r="U497">
        <f>VLOOKUP(Table1[[#This Row],[Category]],REF_Cost!$A$1:$B$6,2,FALSE)*Table1[[#This Row],[Quantity]]</f>
        <v>2250</v>
      </c>
      <c r="V497">
        <f>Table1[[#This Row],[Net_Sales]]-Table1[[#This Row],[Total_Cost]]</f>
        <v>-1066.3</v>
      </c>
      <c r="W497" t="str">
        <f>TEXT(Table1[[#This Row],[Order_Date]],"mmm")</f>
        <v>Sep</v>
      </c>
      <c r="X497">
        <f>ROUNDUP(MONTH(Table1[[#This Row],[Order_Date]])/3,0)</f>
        <v>3</v>
      </c>
      <c r="Y497">
        <f>YEAR(Table1[[#This Row],[Order_Date]])</f>
        <v>2024</v>
      </c>
    </row>
    <row r="498" spans="1:25" x14ac:dyDescent="0.25">
      <c r="A498" t="s">
        <v>2062</v>
      </c>
      <c r="B498" t="s">
        <v>2063</v>
      </c>
      <c r="C498" t="s">
        <v>2064</v>
      </c>
      <c r="D498" t="s">
        <v>2065</v>
      </c>
      <c r="E498" t="s">
        <v>71</v>
      </c>
      <c r="F498" t="s">
        <v>84</v>
      </c>
      <c r="G498" t="s">
        <v>85</v>
      </c>
      <c r="H498" t="s">
        <v>72</v>
      </c>
      <c r="I498" t="s">
        <v>43</v>
      </c>
      <c r="J498" t="s">
        <v>126</v>
      </c>
      <c r="K498">
        <v>5</v>
      </c>
      <c r="L498">
        <v>1415.77</v>
      </c>
      <c r="M498" s="3">
        <v>0.15</v>
      </c>
      <c r="N498" t="str">
        <f>VLOOKUP(Table1[[#This Row],[Country]],REF_Country!$A$1:$D$11,2,FALSE)</f>
        <v>Southeast Asia</v>
      </c>
      <c r="O498" t="str">
        <f>VLOOKUP(Table1[[#This Row],[Country]],REF_Country!$A$1:$D$11,3,FALSE)</f>
        <v>PH</v>
      </c>
      <c r="P498">
        <f>VLOOKUP(Table1[[#This Row],[Country]],REF_Country!$A$1:$D$11,4,FALSE)</f>
        <v>0.12</v>
      </c>
      <c r="Q498">
        <f>VLOOKUP(Table1[[#This Row],[Category]],REF_Target!$A$1:$E$6,2,FALSE)</f>
        <v>30000</v>
      </c>
      <c r="R498">
        <f>Table1[[#This Row],[Quantity]]*Table1[[#This Row],[Unit_Price]]</f>
        <v>7078.85</v>
      </c>
      <c r="S498">
        <f>Table1[[#This Row],[Gross_Sales]]*Table1[[#This Row],[Discount_Rate]]</f>
        <v>1061.8275000000001</v>
      </c>
      <c r="T498">
        <f>Table1[[#This Row],[Gross_Sales]]-Table1[[#This Row],[Discount_Amount]]</f>
        <v>6017.0225</v>
      </c>
      <c r="U498">
        <f>VLOOKUP(Table1[[#This Row],[Category]],REF_Cost!$A$1:$B$6,2,FALSE)*Table1[[#This Row],[Quantity]]</f>
        <v>1000</v>
      </c>
      <c r="V498">
        <f>Table1[[#This Row],[Net_Sales]]-Table1[[#This Row],[Total_Cost]]</f>
        <v>5017.0225</v>
      </c>
      <c r="W498" t="str">
        <f>TEXT(Table1[[#This Row],[Order_Date]],"mmm")</f>
        <v>Oct</v>
      </c>
      <c r="X498">
        <f>ROUNDUP(MONTH(Table1[[#This Row],[Order_Date]])/3,0)</f>
        <v>4</v>
      </c>
      <c r="Y498">
        <f>YEAR(Table1[[#This Row],[Order_Date]])</f>
        <v>2024</v>
      </c>
    </row>
    <row r="499" spans="1:25" x14ac:dyDescent="0.25">
      <c r="A499" t="s">
        <v>2066</v>
      </c>
      <c r="B499" t="s">
        <v>2067</v>
      </c>
      <c r="C499" t="s">
        <v>2068</v>
      </c>
      <c r="D499" t="s">
        <v>2069</v>
      </c>
      <c r="E499" t="s">
        <v>200</v>
      </c>
      <c r="F499" t="s">
        <v>56</v>
      </c>
      <c r="G499" t="s">
        <v>95</v>
      </c>
      <c r="H499" t="s">
        <v>42</v>
      </c>
      <c r="I499" t="s">
        <v>51</v>
      </c>
      <c r="J499" t="s">
        <v>126</v>
      </c>
      <c r="K499">
        <v>1</v>
      </c>
      <c r="L499">
        <v>58.05</v>
      </c>
      <c r="M499" s="3">
        <v>0</v>
      </c>
      <c r="N499" t="str">
        <f>VLOOKUP(Table1[[#This Row],[Country]],REF_Country!$A$1:$D$11,2,FALSE)</f>
        <v>East Asia</v>
      </c>
      <c r="O499" t="str">
        <f>VLOOKUP(Table1[[#This Row],[Country]],REF_Country!$A$1:$D$11,3,FALSE)</f>
        <v>KR</v>
      </c>
      <c r="P499">
        <f>VLOOKUP(Table1[[#This Row],[Country]],REF_Country!$A$1:$D$11,4,FALSE)</f>
        <v>0.1</v>
      </c>
      <c r="Q499">
        <f>VLOOKUP(Table1[[#This Row],[Category]],REF_Target!$A$1:$E$6,2,FALSE)</f>
        <v>50000</v>
      </c>
      <c r="R499">
        <f>Table1[[#This Row],[Quantity]]*Table1[[#This Row],[Unit_Price]]</f>
        <v>58.05</v>
      </c>
      <c r="S499">
        <f>Table1[[#This Row],[Gross_Sales]]*Table1[[#This Row],[Discount_Rate]]</f>
        <v>0</v>
      </c>
      <c r="T499">
        <f>Table1[[#This Row],[Gross_Sales]]-Table1[[#This Row],[Discount_Amount]]</f>
        <v>58.05</v>
      </c>
      <c r="U499">
        <f>VLOOKUP(Table1[[#This Row],[Category]],REF_Cost!$A$1:$B$6,2,FALSE)*Table1[[#This Row],[Quantity]]</f>
        <v>450</v>
      </c>
      <c r="V499">
        <f>Table1[[#This Row],[Net_Sales]]-Table1[[#This Row],[Total_Cost]]</f>
        <v>-391.95</v>
      </c>
      <c r="W499" t="str">
        <f>TEXT(Table1[[#This Row],[Order_Date]],"mmm")</f>
        <v>Nov</v>
      </c>
      <c r="X499">
        <f>ROUNDUP(MONTH(Table1[[#This Row],[Order_Date]])/3,0)</f>
        <v>4</v>
      </c>
      <c r="Y499">
        <f>YEAR(Table1[[#This Row],[Order_Date]])</f>
        <v>2024</v>
      </c>
    </row>
    <row r="500" spans="1:25" x14ac:dyDescent="0.25">
      <c r="A500" t="s">
        <v>2070</v>
      </c>
      <c r="B500" t="s">
        <v>2071</v>
      </c>
      <c r="C500" t="s">
        <v>2072</v>
      </c>
      <c r="D500" t="s">
        <v>2073</v>
      </c>
      <c r="E500" t="s">
        <v>83</v>
      </c>
      <c r="F500" t="s">
        <v>40</v>
      </c>
      <c r="G500" t="s">
        <v>565</v>
      </c>
      <c r="H500" t="s">
        <v>72</v>
      </c>
      <c r="I500" t="s">
        <v>33</v>
      </c>
      <c r="J500" t="s">
        <v>126</v>
      </c>
      <c r="K500">
        <v>5</v>
      </c>
      <c r="L500">
        <v>930.23</v>
      </c>
      <c r="M500" s="3">
        <v>0.05</v>
      </c>
      <c r="N500" t="str">
        <f>VLOOKUP(Table1[[#This Row],[Country]],REF_Country!$A$1:$D$11,2,FALSE)</f>
        <v>South Asia</v>
      </c>
      <c r="O500" t="str">
        <f>VLOOKUP(Table1[[#This Row],[Country]],REF_Country!$A$1:$D$11,3,FALSE)</f>
        <v>IN</v>
      </c>
      <c r="P500">
        <f>VLOOKUP(Table1[[#This Row],[Country]],REF_Country!$A$1:$D$11,4,FALSE)</f>
        <v>0.18</v>
      </c>
      <c r="Q500">
        <f>VLOOKUP(Table1[[#This Row],[Category]],REF_Target!$A$1:$E$6,2,FALSE)</f>
        <v>45000</v>
      </c>
      <c r="R500">
        <f>Table1[[#This Row],[Quantity]]*Table1[[#This Row],[Unit_Price]]</f>
        <v>4651.1499999999996</v>
      </c>
      <c r="S500">
        <f>Table1[[#This Row],[Gross_Sales]]*Table1[[#This Row],[Discount_Rate]]</f>
        <v>232.5575</v>
      </c>
      <c r="T500">
        <f>Table1[[#This Row],[Gross_Sales]]-Table1[[#This Row],[Discount_Amount]]</f>
        <v>4418.5924999999997</v>
      </c>
      <c r="U500">
        <f>VLOOKUP(Table1[[#This Row],[Category]],REF_Cost!$A$1:$B$6,2,FALSE)*Table1[[#This Row],[Quantity]]</f>
        <v>400</v>
      </c>
      <c r="V500">
        <f>Table1[[#This Row],[Net_Sales]]-Table1[[#This Row],[Total_Cost]]</f>
        <v>4018.5924999999997</v>
      </c>
      <c r="W500" t="str">
        <f>TEXT(Table1[[#This Row],[Order_Date]],"mmm")</f>
        <v>Jul</v>
      </c>
      <c r="X500">
        <f>ROUNDUP(MONTH(Table1[[#This Row],[Order_Date]])/3,0)</f>
        <v>3</v>
      </c>
      <c r="Y500">
        <f>YEAR(Table1[[#This Row],[Order_Date]])</f>
        <v>2024</v>
      </c>
    </row>
    <row r="501" spans="1:25" x14ac:dyDescent="0.25">
      <c r="A501" t="s">
        <v>2074</v>
      </c>
      <c r="B501" t="s">
        <v>2075</v>
      </c>
      <c r="C501" t="s">
        <v>2076</v>
      </c>
      <c r="D501" t="s">
        <v>2077</v>
      </c>
      <c r="E501" t="s">
        <v>200</v>
      </c>
      <c r="F501" t="s">
        <v>56</v>
      </c>
      <c r="G501" t="s">
        <v>57</v>
      </c>
      <c r="H501" t="s">
        <v>72</v>
      </c>
      <c r="I501" t="s">
        <v>43</v>
      </c>
      <c r="J501" t="s">
        <v>73</v>
      </c>
      <c r="K501">
        <v>8</v>
      </c>
      <c r="L501">
        <v>475.93</v>
      </c>
      <c r="M501" s="3">
        <v>0.1</v>
      </c>
      <c r="N501" t="str">
        <f>VLOOKUP(Table1[[#This Row],[Country]],REF_Country!$A$1:$D$11,2,FALSE)</f>
        <v>East Asia</v>
      </c>
      <c r="O501" t="str">
        <f>VLOOKUP(Table1[[#This Row],[Country]],REF_Country!$A$1:$D$11,3,FALSE)</f>
        <v>KR</v>
      </c>
      <c r="P501">
        <f>VLOOKUP(Table1[[#This Row],[Country]],REF_Country!$A$1:$D$11,4,FALSE)</f>
        <v>0.1</v>
      </c>
      <c r="Q501">
        <f>VLOOKUP(Table1[[#This Row],[Category]],REF_Target!$A$1:$E$6,2,FALSE)</f>
        <v>50000</v>
      </c>
      <c r="R501">
        <f>Table1[[#This Row],[Quantity]]*Table1[[#This Row],[Unit_Price]]</f>
        <v>3807.44</v>
      </c>
      <c r="S501">
        <f>Table1[[#This Row],[Gross_Sales]]*Table1[[#This Row],[Discount_Rate]]</f>
        <v>380.74400000000003</v>
      </c>
      <c r="T501">
        <f>Table1[[#This Row],[Gross_Sales]]-Table1[[#This Row],[Discount_Amount]]</f>
        <v>3426.6959999999999</v>
      </c>
      <c r="U501">
        <f>VLOOKUP(Table1[[#This Row],[Category]],REF_Cost!$A$1:$B$6,2,FALSE)*Table1[[#This Row],[Quantity]]</f>
        <v>3600</v>
      </c>
      <c r="V501">
        <f>Table1[[#This Row],[Net_Sales]]-Table1[[#This Row],[Total_Cost]]</f>
        <v>-173.30400000000009</v>
      </c>
      <c r="W501" t="str">
        <f>TEXT(Table1[[#This Row],[Order_Date]],"mmm")</f>
        <v>Oct</v>
      </c>
      <c r="X501">
        <f>ROUNDUP(MONTH(Table1[[#This Row],[Order_Date]])/3,0)</f>
        <v>4</v>
      </c>
      <c r="Y501">
        <f>YEAR(Table1[[#This Row],[Order_Date]])</f>
        <v>2024</v>
      </c>
    </row>
    <row r="502" spans="1:25" x14ac:dyDescent="0.25">
      <c r="A502" t="s">
        <v>2078</v>
      </c>
      <c r="B502" t="s">
        <v>2079</v>
      </c>
      <c r="C502" t="s">
        <v>2080</v>
      </c>
      <c r="D502" t="s">
        <v>2081</v>
      </c>
      <c r="E502" t="s">
        <v>48</v>
      </c>
      <c r="F502" t="s">
        <v>84</v>
      </c>
      <c r="G502" t="s">
        <v>412</v>
      </c>
      <c r="H502" t="s">
        <v>42</v>
      </c>
      <c r="I502" t="s">
        <v>51</v>
      </c>
      <c r="J502" t="s">
        <v>59</v>
      </c>
      <c r="K502">
        <v>1</v>
      </c>
      <c r="L502">
        <v>688.13</v>
      </c>
      <c r="M502" s="3">
        <v>0</v>
      </c>
      <c r="N502" t="str">
        <f>VLOOKUP(Table1[[#This Row],[Country]],REF_Country!$A$1:$D$11,2,FALSE)</f>
        <v>Southeast Asia</v>
      </c>
      <c r="O502" t="str">
        <f>VLOOKUP(Table1[[#This Row],[Country]],REF_Country!$A$1:$D$11,3,FALSE)</f>
        <v>SG</v>
      </c>
      <c r="P502">
        <f>VLOOKUP(Table1[[#This Row],[Country]],REF_Country!$A$1:$D$11,4,FALSE)</f>
        <v>7.0000000000000007E-2</v>
      </c>
      <c r="Q502">
        <f>VLOOKUP(Table1[[#This Row],[Category]],REF_Target!$A$1:$E$6,2,FALSE)</f>
        <v>30000</v>
      </c>
      <c r="R502">
        <f>Table1[[#This Row],[Quantity]]*Table1[[#This Row],[Unit_Price]]</f>
        <v>688.13</v>
      </c>
      <c r="S502">
        <f>Table1[[#This Row],[Gross_Sales]]*Table1[[#This Row],[Discount_Rate]]</f>
        <v>0</v>
      </c>
      <c r="T502">
        <f>Table1[[#This Row],[Gross_Sales]]-Table1[[#This Row],[Discount_Amount]]</f>
        <v>688.13</v>
      </c>
      <c r="U502">
        <f>VLOOKUP(Table1[[#This Row],[Category]],REF_Cost!$A$1:$B$6,2,FALSE)*Table1[[#This Row],[Quantity]]</f>
        <v>200</v>
      </c>
      <c r="V502">
        <f>Table1[[#This Row],[Net_Sales]]-Table1[[#This Row],[Total_Cost]]</f>
        <v>488.13</v>
      </c>
      <c r="W502" t="str">
        <f>TEXT(Table1[[#This Row],[Order_Date]],"mmm")</f>
        <v>May</v>
      </c>
      <c r="X502">
        <f>ROUNDUP(MONTH(Table1[[#This Row],[Order_Date]])/3,0)</f>
        <v>2</v>
      </c>
      <c r="Y502">
        <f>YEAR(Table1[[#This Row],[Order_Date]])</f>
        <v>2024</v>
      </c>
    </row>
    <row r="503" spans="1:25" x14ac:dyDescent="0.25">
      <c r="A503" t="s">
        <v>2082</v>
      </c>
      <c r="B503" t="s">
        <v>2083</v>
      </c>
      <c r="C503" t="s">
        <v>2084</v>
      </c>
      <c r="D503" t="s">
        <v>2085</v>
      </c>
      <c r="E503" t="s">
        <v>71</v>
      </c>
      <c r="F503" t="s">
        <v>40</v>
      </c>
      <c r="G503" t="s">
        <v>41</v>
      </c>
      <c r="H503" t="s">
        <v>32</v>
      </c>
      <c r="I503" t="s">
        <v>66</v>
      </c>
      <c r="J503" t="s">
        <v>126</v>
      </c>
      <c r="K503">
        <v>2</v>
      </c>
      <c r="L503">
        <v>204.18</v>
      </c>
      <c r="M503" s="3">
        <v>0.1</v>
      </c>
      <c r="N503" t="str">
        <f>VLOOKUP(Table1[[#This Row],[Country]],REF_Country!$A$1:$D$11,2,FALSE)</f>
        <v>Southeast Asia</v>
      </c>
      <c r="O503" t="str">
        <f>VLOOKUP(Table1[[#This Row],[Country]],REF_Country!$A$1:$D$11,3,FALSE)</f>
        <v>PH</v>
      </c>
      <c r="P503">
        <f>VLOOKUP(Table1[[#This Row],[Country]],REF_Country!$A$1:$D$11,4,FALSE)</f>
        <v>0.12</v>
      </c>
      <c r="Q503">
        <f>VLOOKUP(Table1[[#This Row],[Category]],REF_Target!$A$1:$E$6,2,FALSE)</f>
        <v>45000</v>
      </c>
      <c r="R503">
        <f>Table1[[#This Row],[Quantity]]*Table1[[#This Row],[Unit_Price]]</f>
        <v>408.36</v>
      </c>
      <c r="S503">
        <f>Table1[[#This Row],[Gross_Sales]]*Table1[[#This Row],[Discount_Rate]]</f>
        <v>40.836000000000006</v>
      </c>
      <c r="T503">
        <f>Table1[[#This Row],[Gross_Sales]]-Table1[[#This Row],[Discount_Amount]]</f>
        <v>367.524</v>
      </c>
      <c r="U503">
        <f>VLOOKUP(Table1[[#This Row],[Category]],REF_Cost!$A$1:$B$6,2,FALSE)*Table1[[#This Row],[Quantity]]</f>
        <v>160</v>
      </c>
      <c r="V503">
        <f>Table1[[#This Row],[Net_Sales]]-Table1[[#This Row],[Total_Cost]]</f>
        <v>207.524</v>
      </c>
      <c r="W503" t="str">
        <f>TEXT(Table1[[#This Row],[Order_Date]],"mmm")</f>
        <v>Aug</v>
      </c>
      <c r="X503">
        <f>ROUNDUP(MONTH(Table1[[#This Row],[Order_Date]])/3,0)</f>
        <v>3</v>
      </c>
      <c r="Y503">
        <f>YEAR(Table1[[#This Row],[Order_Date]])</f>
        <v>2024</v>
      </c>
    </row>
    <row r="504" spans="1:25" x14ac:dyDescent="0.25">
      <c r="A504" t="s">
        <v>2086</v>
      </c>
      <c r="B504" t="s">
        <v>2087</v>
      </c>
      <c r="C504" t="s">
        <v>2088</v>
      </c>
      <c r="D504" t="s">
        <v>2089</v>
      </c>
      <c r="E504" t="s">
        <v>83</v>
      </c>
      <c r="F504" t="s">
        <v>49</v>
      </c>
      <c r="G504" t="s">
        <v>286</v>
      </c>
      <c r="H504" t="s">
        <v>42</v>
      </c>
      <c r="I504" t="s">
        <v>96</v>
      </c>
      <c r="J504" t="s">
        <v>126</v>
      </c>
      <c r="K504">
        <v>9</v>
      </c>
      <c r="L504">
        <v>937</v>
      </c>
      <c r="M504" s="3">
        <v>0</v>
      </c>
      <c r="N504" t="str">
        <f>VLOOKUP(Table1[[#This Row],[Country]],REF_Country!$A$1:$D$11,2,FALSE)</f>
        <v>South Asia</v>
      </c>
      <c r="O504" t="str">
        <f>VLOOKUP(Table1[[#This Row],[Country]],REF_Country!$A$1:$D$11,3,FALSE)</f>
        <v>IN</v>
      </c>
      <c r="P504">
        <f>VLOOKUP(Table1[[#This Row],[Country]],REF_Country!$A$1:$D$11,4,FALSE)</f>
        <v>0.18</v>
      </c>
      <c r="Q504">
        <f>VLOOKUP(Table1[[#This Row],[Category]],REF_Target!$A$1:$E$6,2,FALSE)</f>
        <v>35000</v>
      </c>
      <c r="R504">
        <f>Table1[[#This Row],[Quantity]]*Table1[[#This Row],[Unit_Price]]</f>
        <v>8433</v>
      </c>
      <c r="S504">
        <f>Table1[[#This Row],[Gross_Sales]]*Table1[[#This Row],[Discount_Rate]]</f>
        <v>0</v>
      </c>
      <c r="T504">
        <f>Table1[[#This Row],[Gross_Sales]]-Table1[[#This Row],[Discount_Amount]]</f>
        <v>8433</v>
      </c>
      <c r="U504">
        <f>VLOOKUP(Table1[[#This Row],[Category]],REF_Cost!$A$1:$B$6,2,FALSE)*Table1[[#This Row],[Quantity]]</f>
        <v>1350</v>
      </c>
      <c r="V504">
        <f>Table1[[#This Row],[Net_Sales]]-Table1[[#This Row],[Total_Cost]]</f>
        <v>7083</v>
      </c>
      <c r="W504" t="str">
        <f>TEXT(Table1[[#This Row],[Order_Date]],"mmm")</f>
        <v>Sep</v>
      </c>
      <c r="X504">
        <f>ROUNDUP(MONTH(Table1[[#This Row],[Order_Date]])/3,0)</f>
        <v>3</v>
      </c>
      <c r="Y504">
        <f>YEAR(Table1[[#This Row],[Order_Date]])</f>
        <v>2024</v>
      </c>
    </row>
    <row r="505" spans="1:25" x14ac:dyDescent="0.25">
      <c r="A505" t="s">
        <v>2090</v>
      </c>
      <c r="B505" t="s">
        <v>2091</v>
      </c>
      <c r="C505" t="s">
        <v>2092</v>
      </c>
      <c r="D505" t="s">
        <v>2093</v>
      </c>
      <c r="E505" t="s">
        <v>149</v>
      </c>
      <c r="F505" t="s">
        <v>49</v>
      </c>
      <c r="G505" t="s">
        <v>259</v>
      </c>
      <c r="H505" t="s">
        <v>72</v>
      </c>
      <c r="I505" t="s">
        <v>43</v>
      </c>
      <c r="J505" t="s">
        <v>126</v>
      </c>
      <c r="K505">
        <v>9</v>
      </c>
      <c r="L505">
        <v>1184.18</v>
      </c>
      <c r="M505" s="3">
        <v>0.2</v>
      </c>
      <c r="N505" t="str">
        <f>VLOOKUP(Table1[[#This Row],[Country]],REF_Country!$A$1:$D$11,2,FALSE)</f>
        <v>East Asia</v>
      </c>
      <c r="O505" t="str">
        <f>VLOOKUP(Table1[[#This Row],[Country]],REF_Country!$A$1:$D$11,3,FALSE)</f>
        <v>JP</v>
      </c>
      <c r="P505">
        <f>VLOOKUP(Table1[[#This Row],[Country]],REF_Country!$A$1:$D$11,4,FALSE)</f>
        <v>0.1</v>
      </c>
      <c r="Q505">
        <f>VLOOKUP(Table1[[#This Row],[Category]],REF_Target!$A$1:$E$6,2,FALSE)</f>
        <v>35000</v>
      </c>
      <c r="R505">
        <f>Table1[[#This Row],[Quantity]]*Table1[[#This Row],[Unit_Price]]</f>
        <v>10657.62</v>
      </c>
      <c r="S505">
        <f>Table1[[#This Row],[Gross_Sales]]*Table1[[#This Row],[Discount_Rate]]</f>
        <v>2131.5240000000003</v>
      </c>
      <c r="T505">
        <f>Table1[[#This Row],[Gross_Sales]]-Table1[[#This Row],[Discount_Amount]]</f>
        <v>8526.0960000000014</v>
      </c>
      <c r="U505">
        <f>VLOOKUP(Table1[[#This Row],[Category]],REF_Cost!$A$1:$B$6,2,FALSE)*Table1[[#This Row],[Quantity]]</f>
        <v>1350</v>
      </c>
      <c r="V505">
        <f>Table1[[#This Row],[Net_Sales]]-Table1[[#This Row],[Total_Cost]]</f>
        <v>7176.0960000000014</v>
      </c>
      <c r="W505" t="str">
        <f>TEXT(Table1[[#This Row],[Order_Date]],"mmm")</f>
        <v>Apr</v>
      </c>
      <c r="X505">
        <f>ROUNDUP(MONTH(Table1[[#This Row],[Order_Date]])/3,0)</f>
        <v>2</v>
      </c>
      <c r="Y505">
        <f>YEAR(Table1[[#This Row],[Order_Date]])</f>
        <v>2024</v>
      </c>
    </row>
    <row r="506" spans="1:25" x14ac:dyDescent="0.25">
      <c r="A506" t="s">
        <v>2094</v>
      </c>
      <c r="B506" t="s">
        <v>2095</v>
      </c>
      <c r="C506" t="s">
        <v>2096</v>
      </c>
      <c r="D506" t="s">
        <v>2097</v>
      </c>
      <c r="E506" t="s">
        <v>83</v>
      </c>
      <c r="F506" t="s">
        <v>49</v>
      </c>
      <c r="G506" t="s">
        <v>50</v>
      </c>
      <c r="H506" t="s">
        <v>58</v>
      </c>
      <c r="I506" t="s">
        <v>96</v>
      </c>
      <c r="J506" t="s">
        <v>126</v>
      </c>
      <c r="K506">
        <v>8</v>
      </c>
      <c r="L506">
        <v>839.31</v>
      </c>
      <c r="M506" s="3">
        <v>0</v>
      </c>
      <c r="N506" t="str">
        <f>VLOOKUP(Table1[[#This Row],[Country]],REF_Country!$A$1:$D$11,2,FALSE)</f>
        <v>South Asia</v>
      </c>
      <c r="O506" t="str">
        <f>VLOOKUP(Table1[[#This Row],[Country]],REF_Country!$A$1:$D$11,3,FALSE)</f>
        <v>IN</v>
      </c>
      <c r="P506">
        <f>VLOOKUP(Table1[[#This Row],[Country]],REF_Country!$A$1:$D$11,4,FALSE)</f>
        <v>0.18</v>
      </c>
      <c r="Q506">
        <f>VLOOKUP(Table1[[#This Row],[Category]],REF_Target!$A$1:$E$6,2,FALSE)</f>
        <v>35000</v>
      </c>
      <c r="R506">
        <f>Table1[[#This Row],[Quantity]]*Table1[[#This Row],[Unit_Price]]</f>
        <v>6714.48</v>
      </c>
      <c r="S506">
        <f>Table1[[#This Row],[Gross_Sales]]*Table1[[#This Row],[Discount_Rate]]</f>
        <v>0</v>
      </c>
      <c r="T506">
        <f>Table1[[#This Row],[Gross_Sales]]-Table1[[#This Row],[Discount_Amount]]</f>
        <v>6714.48</v>
      </c>
      <c r="U506">
        <f>VLOOKUP(Table1[[#This Row],[Category]],REF_Cost!$A$1:$B$6,2,FALSE)*Table1[[#This Row],[Quantity]]</f>
        <v>1200</v>
      </c>
      <c r="V506">
        <f>Table1[[#This Row],[Net_Sales]]-Table1[[#This Row],[Total_Cost]]</f>
        <v>5514.48</v>
      </c>
      <c r="W506" t="str">
        <f>TEXT(Table1[[#This Row],[Order_Date]],"mmm")</f>
        <v>Sep</v>
      </c>
      <c r="X506">
        <f>ROUNDUP(MONTH(Table1[[#This Row],[Order_Date]])/3,0)</f>
        <v>3</v>
      </c>
      <c r="Y506">
        <f>YEAR(Table1[[#This Row],[Order_Date]])</f>
        <v>2024</v>
      </c>
    </row>
    <row r="507" spans="1:25" x14ac:dyDescent="0.25">
      <c r="A507" t="s">
        <v>2098</v>
      </c>
      <c r="B507" t="s">
        <v>2099</v>
      </c>
      <c r="C507" t="s">
        <v>2100</v>
      </c>
      <c r="D507" t="s">
        <v>2101</v>
      </c>
      <c r="E507" t="s">
        <v>83</v>
      </c>
      <c r="F507" t="s">
        <v>49</v>
      </c>
      <c r="G507" t="s">
        <v>50</v>
      </c>
      <c r="H507" t="s">
        <v>72</v>
      </c>
      <c r="I507" t="s">
        <v>43</v>
      </c>
      <c r="J507" t="s">
        <v>126</v>
      </c>
      <c r="K507">
        <v>1</v>
      </c>
      <c r="L507">
        <v>749.03</v>
      </c>
      <c r="M507" s="3">
        <v>0</v>
      </c>
      <c r="N507" t="str">
        <f>VLOOKUP(Table1[[#This Row],[Country]],REF_Country!$A$1:$D$11,2,FALSE)</f>
        <v>South Asia</v>
      </c>
      <c r="O507" t="str">
        <f>VLOOKUP(Table1[[#This Row],[Country]],REF_Country!$A$1:$D$11,3,FALSE)</f>
        <v>IN</v>
      </c>
      <c r="P507">
        <f>VLOOKUP(Table1[[#This Row],[Country]],REF_Country!$A$1:$D$11,4,FALSE)</f>
        <v>0.18</v>
      </c>
      <c r="Q507">
        <f>VLOOKUP(Table1[[#This Row],[Category]],REF_Target!$A$1:$E$6,2,FALSE)</f>
        <v>35000</v>
      </c>
      <c r="R507">
        <f>Table1[[#This Row],[Quantity]]*Table1[[#This Row],[Unit_Price]]</f>
        <v>749.03</v>
      </c>
      <c r="S507">
        <f>Table1[[#This Row],[Gross_Sales]]*Table1[[#This Row],[Discount_Rate]]</f>
        <v>0</v>
      </c>
      <c r="T507">
        <f>Table1[[#This Row],[Gross_Sales]]-Table1[[#This Row],[Discount_Amount]]</f>
        <v>749.03</v>
      </c>
      <c r="U507">
        <f>VLOOKUP(Table1[[#This Row],[Category]],REF_Cost!$A$1:$B$6,2,FALSE)*Table1[[#This Row],[Quantity]]</f>
        <v>150</v>
      </c>
      <c r="V507">
        <f>Table1[[#This Row],[Net_Sales]]-Table1[[#This Row],[Total_Cost]]</f>
        <v>599.03</v>
      </c>
      <c r="W507" t="str">
        <f>TEXT(Table1[[#This Row],[Order_Date]],"mmm")</f>
        <v>Feb</v>
      </c>
      <c r="X507">
        <f>ROUNDUP(MONTH(Table1[[#This Row],[Order_Date]])/3,0)</f>
        <v>1</v>
      </c>
      <c r="Y507">
        <f>YEAR(Table1[[#This Row],[Order_Date]])</f>
        <v>2024</v>
      </c>
    </row>
    <row r="508" spans="1:25" x14ac:dyDescent="0.25">
      <c r="A508" t="s">
        <v>2102</v>
      </c>
      <c r="B508" t="s">
        <v>2103</v>
      </c>
      <c r="C508" t="s">
        <v>2104</v>
      </c>
      <c r="D508" t="s">
        <v>2105</v>
      </c>
      <c r="E508" t="s">
        <v>78</v>
      </c>
      <c r="F508" t="s">
        <v>84</v>
      </c>
      <c r="G508" t="s">
        <v>264</v>
      </c>
      <c r="H508" t="s">
        <v>72</v>
      </c>
      <c r="I508" t="s">
        <v>66</v>
      </c>
      <c r="J508" t="s">
        <v>59</v>
      </c>
      <c r="K508">
        <v>8</v>
      </c>
      <c r="L508">
        <v>929.12</v>
      </c>
      <c r="M508" s="3">
        <v>0</v>
      </c>
      <c r="N508" t="str">
        <f>VLOOKUP(Table1[[#This Row],[Country]],REF_Country!$A$1:$D$11,2,FALSE)</f>
        <v>Oceania</v>
      </c>
      <c r="O508" t="str">
        <f>VLOOKUP(Table1[[#This Row],[Country]],REF_Country!$A$1:$D$11,3,FALSE)</f>
        <v>AU</v>
      </c>
      <c r="P508">
        <f>VLOOKUP(Table1[[#This Row],[Country]],REF_Country!$A$1:$D$11,4,FALSE)</f>
        <v>0.1</v>
      </c>
      <c r="Q508">
        <f>VLOOKUP(Table1[[#This Row],[Category]],REF_Target!$A$1:$E$6,2,FALSE)</f>
        <v>30000</v>
      </c>
      <c r="R508">
        <f>Table1[[#This Row],[Quantity]]*Table1[[#This Row],[Unit_Price]]</f>
        <v>7432.96</v>
      </c>
      <c r="S508">
        <f>Table1[[#This Row],[Gross_Sales]]*Table1[[#This Row],[Discount_Rate]]</f>
        <v>0</v>
      </c>
      <c r="T508">
        <f>Table1[[#This Row],[Gross_Sales]]-Table1[[#This Row],[Discount_Amount]]</f>
        <v>7432.96</v>
      </c>
      <c r="U508">
        <f>VLOOKUP(Table1[[#This Row],[Category]],REF_Cost!$A$1:$B$6,2,FALSE)*Table1[[#This Row],[Quantity]]</f>
        <v>1600</v>
      </c>
      <c r="V508">
        <f>Table1[[#This Row],[Net_Sales]]-Table1[[#This Row],[Total_Cost]]</f>
        <v>5832.96</v>
      </c>
      <c r="W508" t="str">
        <f>TEXT(Table1[[#This Row],[Order_Date]],"mmm")</f>
        <v>Dec</v>
      </c>
      <c r="X508">
        <f>ROUNDUP(MONTH(Table1[[#This Row],[Order_Date]])/3,0)</f>
        <v>4</v>
      </c>
      <c r="Y508">
        <f>YEAR(Table1[[#This Row],[Order_Date]])</f>
        <v>2024</v>
      </c>
    </row>
    <row r="509" spans="1:25" x14ac:dyDescent="0.25">
      <c r="A509" t="s">
        <v>2106</v>
      </c>
      <c r="B509" t="s">
        <v>2107</v>
      </c>
      <c r="C509" t="s">
        <v>2108</v>
      </c>
      <c r="D509" t="s">
        <v>2109</v>
      </c>
      <c r="E509" t="s">
        <v>149</v>
      </c>
      <c r="F509" t="s">
        <v>84</v>
      </c>
      <c r="G509" t="s">
        <v>205</v>
      </c>
      <c r="H509" t="s">
        <v>42</v>
      </c>
      <c r="I509" t="s">
        <v>43</v>
      </c>
      <c r="J509" t="s">
        <v>59</v>
      </c>
      <c r="K509">
        <v>10</v>
      </c>
      <c r="L509">
        <v>880.35</v>
      </c>
      <c r="M509" s="3">
        <v>0.15</v>
      </c>
      <c r="N509" t="str">
        <f>VLOOKUP(Table1[[#This Row],[Country]],REF_Country!$A$1:$D$11,2,FALSE)</f>
        <v>East Asia</v>
      </c>
      <c r="O509" t="str">
        <f>VLOOKUP(Table1[[#This Row],[Country]],REF_Country!$A$1:$D$11,3,FALSE)</f>
        <v>JP</v>
      </c>
      <c r="P509">
        <f>VLOOKUP(Table1[[#This Row],[Country]],REF_Country!$A$1:$D$11,4,FALSE)</f>
        <v>0.1</v>
      </c>
      <c r="Q509">
        <f>VLOOKUP(Table1[[#This Row],[Category]],REF_Target!$A$1:$E$6,2,FALSE)</f>
        <v>30000</v>
      </c>
      <c r="R509">
        <f>Table1[[#This Row],[Quantity]]*Table1[[#This Row],[Unit_Price]]</f>
        <v>8803.5</v>
      </c>
      <c r="S509">
        <f>Table1[[#This Row],[Gross_Sales]]*Table1[[#This Row],[Discount_Rate]]</f>
        <v>1320.5249999999999</v>
      </c>
      <c r="T509">
        <f>Table1[[#This Row],[Gross_Sales]]-Table1[[#This Row],[Discount_Amount]]</f>
        <v>7482.9750000000004</v>
      </c>
      <c r="U509">
        <f>VLOOKUP(Table1[[#This Row],[Category]],REF_Cost!$A$1:$B$6,2,FALSE)*Table1[[#This Row],[Quantity]]</f>
        <v>2000</v>
      </c>
      <c r="V509">
        <f>Table1[[#This Row],[Net_Sales]]-Table1[[#This Row],[Total_Cost]]</f>
        <v>5482.9750000000004</v>
      </c>
      <c r="W509" t="str">
        <f>TEXT(Table1[[#This Row],[Order_Date]],"mmm")</f>
        <v>Dec</v>
      </c>
      <c r="X509">
        <f>ROUNDUP(MONTH(Table1[[#This Row],[Order_Date]])/3,0)</f>
        <v>4</v>
      </c>
      <c r="Y509">
        <f>YEAR(Table1[[#This Row],[Order_Date]])</f>
        <v>2024</v>
      </c>
    </row>
    <row r="510" spans="1:25" x14ac:dyDescent="0.25">
      <c r="A510" t="s">
        <v>2110</v>
      </c>
      <c r="B510" t="s">
        <v>2111</v>
      </c>
      <c r="C510" t="s">
        <v>2112</v>
      </c>
      <c r="D510" t="s">
        <v>2113</v>
      </c>
      <c r="E510" t="s">
        <v>64</v>
      </c>
      <c r="F510" t="s">
        <v>40</v>
      </c>
      <c r="G510" t="s">
        <v>315</v>
      </c>
      <c r="H510" t="s">
        <v>72</v>
      </c>
      <c r="I510" t="s">
        <v>96</v>
      </c>
      <c r="J510" t="s">
        <v>34</v>
      </c>
      <c r="K510">
        <v>5</v>
      </c>
      <c r="L510">
        <v>177.9</v>
      </c>
      <c r="M510" s="3">
        <v>0</v>
      </c>
      <c r="N510" t="str">
        <f>VLOOKUP(Table1[[#This Row],[Country]],REF_Country!$A$1:$D$11,2,FALSE)</f>
        <v>Southeast Asia</v>
      </c>
      <c r="O510" t="str">
        <f>VLOOKUP(Table1[[#This Row],[Country]],REF_Country!$A$1:$D$11,3,FALSE)</f>
        <v>ID</v>
      </c>
      <c r="P510">
        <f>VLOOKUP(Table1[[#This Row],[Country]],REF_Country!$A$1:$D$11,4,FALSE)</f>
        <v>0.11</v>
      </c>
      <c r="Q510">
        <f>VLOOKUP(Table1[[#This Row],[Category]],REF_Target!$A$1:$E$6,2,FALSE)</f>
        <v>45000</v>
      </c>
      <c r="R510">
        <f>Table1[[#This Row],[Quantity]]*Table1[[#This Row],[Unit_Price]]</f>
        <v>889.5</v>
      </c>
      <c r="S510">
        <f>Table1[[#This Row],[Gross_Sales]]*Table1[[#This Row],[Discount_Rate]]</f>
        <v>0</v>
      </c>
      <c r="T510">
        <f>Table1[[#This Row],[Gross_Sales]]-Table1[[#This Row],[Discount_Amount]]</f>
        <v>889.5</v>
      </c>
      <c r="U510">
        <f>VLOOKUP(Table1[[#This Row],[Category]],REF_Cost!$A$1:$B$6,2,FALSE)*Table1[[#This Row],[Quantity]]</f>
        <v>400</v>
      </c>
      <c r="V510">
        <f>Table1[[#This Row],[Net_Sales]]-Table1[[#This Row],[Total_Cost]]</f>
        <v>489.5</v>
      </c>
      <c r="W510" t="str">
        <f>TEXT(Table1[[#This Row],[Order_Date]],"mmm")</f>
        <v>Jul</v>
      </c>
      <c r="X510">
        <f>ROUNDUP(MONTH(Table1[[#This Row],[Order_Date]])/3,0)</f>
        <v>3</v>
      </c>
      <c r="Y510">
        <f>YEAR(Table1[[#This Row],[Order_Date]])</f>
        <v>2024</v>
      </c>
    </row>
    <row r="511" spans="1:25" x14ac:dyDescent="0.25">
      <c r="A511" t="s">
        <v>2114</v>
      </c>
      <c r="B511" t="s">
        <v>2115</v>
      </c>
      <c r="C511" t="s">
        <v>2116</v>
      </c>
      <c r="D511" t="s">
        <v>2117</v>
      </c>
      <c r="E511" t="s">
        <v>149</v>
      </c>
      <c r="F511" t="s">
        <v>49</v>
      </c>
      <c r="G511" t="s">
        <v>226</v>
      </c>
      <c r="H511" t="s">
        <v>72</v>
      </c>
      <c r="I511" t="s">
        <v>43</v>
      </c>
      <c r="J511" t="s">
        <v>34</v>
      </c>
      <c r="K511">
        <v>3</v>
      </c>
      <c r="L511">
        <v>824.5</v>
      </c>
      <c r="M511" s="3">
        <v>0.1</v>
      </c>
      <c r="N511" t="str">
        <f>VLOOKUP(Table1[[#This Row],[Country]],REF_Country!$A$1:$D$11,2,FALSE)</f>
        <v>East Asia</v>
      </c>
      <c r="O511" t="str">
        <f>VLOOKUP(Table1[[#This Row],[Country]],REF_Country!$A$1:$D$11,3,FALSE)</f>
        <v>JP</v>
      </c>
      <c r="P511">
        <f>VLOOKUP(Table1[[#This Row],[Country]],REF_Country!$A$1:$D$11,4,FALSE)</f>
        <v>0.1</v>
      </c>
      <c r="Q511">
        <f>VLOOKUP(Table1[[#This Row],[Category]],REF_Target!$A$1:$E$6,2,FALSE)</f>
        <v>35000</v>
      </c>
      <c r="R511">
        <f>Table1[[#This Row],[Quantity]]*Table1[[#This Row],[Unit_Price]]</f>
        <v>2473.5</v>
      </c>
      <c r="S511">
        <f>Table1[[#This Row],[Gross_Sales]]*Table1[[#This Row],[Discount_Rate]]</f>
        <v>247.35000000000002</v>
      </c>
      <c r="T511">
        <f>Table1[[#This Row],[Gross_Sales]]-Table1[[#This Row],[Discount_Amount]]</f>
        <v>2226.15</v>
      </c>
      <c r="U511">
        <f>VLOOKUP(Table1[[#This Row],[Category]],REF_Cost!$A$1:$B$6,2,FALSE)*Table1[[#This Row],[Quantity]]</f>
        <v>450</v>
      </c>
      <c r="V511">
        <f>Table1[[#This Row],[Net_Sales]]-Table1[[#This Row],[Total_Cost]]</f>
        <v>1776.15</v>
      </c>
      <c r="W511" t="str">
        <f>TEXT(Table1[[#This Row],[Order_Date]],"mmm")</f>
        <v>Jun</v>
      </c>
      <c r="X511">
        <f>ROUNDUP(MONTH(Table1[[#This Row],[Order_Date]])/3,0)</f>
        <v>2</v>
      </c>
      <c r="Y511">
        <f>YEAR(Table1[[#This Row],[Order_Date]])</f>
        <v>2024</v>
      </c>
    </row>
    <row r="512" spans="1:25" x14ac:dyDescent="0.25">
      <c r="A512" t="s">
        <v>2118</v>
      </c>
      <c r="B512" t="s">
        <v>2119</v>
      </c>
      <c r="C512" t="s">
        <v>2120</v>
      </c>
      <c r="D512" t="s">
        <v>2121</v>
      </c>
      <c r="E512" t="s">
        <v>48</v>
      </c>
      <c r="F512" t="s">
        <v>30</v>
      </c>
      <c r="G512" t="s">
        <v>269</v>
      </c>
      <c r="H512" t="s">
        <v>42</v>
      </c>
      <c r="I512" t="s">
        <v>96</v>
      </c>
      <c r="J512" t="s">
        <v>73</v>
      </c>
      <c r="K512">
        <v>1</v>
      </c>
      <c r="L512">
        <v>121.54</v>
      </c>
      <c r="M512" s="3">
        <v>0</v>
      </c>
      <c r="N512" t="str">
        <f>VLOOKUP(Table1[[#This Row],[Country]],REF_Country!$A$1:$D$11,2,FALSE)</f>
        <v>Southeast Asia</v>
      </c>
      <c r="O512" t="str">
        <f>VLOOKUP(Table1[[#This Row],[Country]],REF_Country!$A$1:$D$11,3,FALSE)</f>
        <v>SG</v>
      </c>
      <c r="P512">
        <f>VLOOKUP(Table1[[#This Row],[Country]],REF_Country!$A$1:$D$11,4,FALSE)</f>
        <v>7.0000000000000007E-2</v>
      </c>
      <c r="Q512">
        <f>VLOOKUP(Table1[[#This Row],[Category]],REF_Target!$A$1:$E$6,2,FALSE)</f>
        <v>40000</v>
      </c>
      <c r="R512">
        <f>Table1[[#This Row],[Quantity]]*Table1[[#This Row],[Unit_Price]]</f>
        <v>121.54</v>
      </c>
      <c r="S512">
        <f>Table1[[#This Row],[Gross_Sales]]*Table1[[#This Row],[Discount_Rate]]</f>
        <v>0</v>
      </c>
      <c r="T512">
        <f>Table1[[#This Row],[Gross_Sales]]-Table1[[#This Row],[Discount_Amount]]</f>
        <v>121.54</v>
      </c>
      <c r="U512">
        <f>VLOOKUP(Table1[[#This Row],[Category]],REF_Cost!$A$1:$B$6,2,FALSE)*Table1[[#This Row],[Quantity]]</f>
        <v>120</v>
      </c>
      <c r="V512">
        <f>Table1[[#This Row],[Net_Sales]]-Table1[[#This Row],[Total_Cost]]</f>
        <v>1.5400000000000063</v>
      </c>
      <c r="W512" t="str">
        <f>TEXT(Table1[[#This Row],[Order_Date]],"mmm")</f>
        <v>Aug</v>
      </c>
      <c r="X512">
        <f>ROUNDUP(MONTH(Table1[[#This Row],[Order_Date]])/3,0)</f>
        <v>3</v>
      </c>
      <c r="Y512">
        <f>YEAR(Table1[[#This Row],[Order_Date]])</f>
        <v>2024</v>
      </c>
    </row>
    <row r="513" spans="1:25" x14ac:dyDescent="0.25">
      <c r="A513" t="s">
        <v>2122</v>
      </c>
      <c r="B513" t="s">
        <v>2123</v>
      </c>
      <c r="C513" t="s">
        <v>2124</v>
      </c>
      <c r="D513" t="s">
        <v>2125</v>
      </c>
      <c r="E513" t="s">
        <v>149</v>
      </c>
      <c r="F513" t="s">
        <v>49</v>
      </c>
      <c r="G513" t="s">
        <v>259</v>
      </c>
      <c r="H513" t="s">
        <v>42</v>
      </c>
      <c r="I513" t="s">
        <v>33</v>
      </c>
      <c r="J513" t="s">
        <v>34</v>
      </c>
      <c r="K513">
        <v>10</v>
      </c>
      <c r="L513">
        <v>1396.51</v>
      </c>
      <c r="M513" s="3">
        <v>0</v>
      </c>
      <c r="N513" t="str">
        <f>VLOOKUP(Table1[[#This Row],[Country]],REF_Country!$A$1:$D$11,2,FALSE)</f>
        <v>East Asia</v>
      </c>
      <c r="O513" t="str">
        <f>VLOOKUP(Table1[[#This Row],[Country]],REF_Country!$A$1:$D$11,3,FALSE)</f>
        <v>JP</v>
      </c>
      <c r="P513">
        <f>VLOOKUP(Table1[[#This Row],[Country]],REF_Country!$A$1:$D$11,4,FALSE)</f>
        <v>0.1</v>
      </c>
      <c r="Q513">
        <f>VLOOKUP(Table1[[#This Row],[Category]],REF_Target!$A$1:$E$6,2,FALSE)</f>
        <v>35000</v>
      </c>
      <c r="R513">
        <f>Table1[[#This Row],[Quantity]]*Table1[[#This Row],[Unit_Price]]</f>
        <v>13965.1</v>
      </c>
      <c r="S513">
        <f>Table1[[#This Row],[Gross_Sales]]*Table1[[#This Row],[Discount_Rate]]</f>
        <v>0</v>
      </c>
      <c r="T513">
        <f>Table1[[#This Row],[Gross_Sales]]-Table1[[#This Row],[Discount_Amount]]</f>
        <v>13965.1</v>
      </c>
      <c r="U513">
        <f>VLOOKUP(Table1[[#This Row],[Category]],REF_Cost!$A$1:$B$6,2,FALSE)*Table1[[#This Row],[Quantity]]</f>
        <v>1500</v>
      </c>
      <c r="V513">
        <f>Table1[[#This Row],[Net_Sales]]-Table1[[#This Row],[Total_Cost]]</f>
        <v>12465.1</v>
      </c>
      <c r="W513" t="str">
        <f>TEXT(Table1[[#This Row],[Order_Date]],"mmm")</f>
        <v>Mar</v>
      </c>
      <c r="X513">
        <f>ROUNDUP(MONTH(Table1[[#This Row],[Order_Date]])/3,0)</f>
        <v>1</v>
      </c>
      <c r="Y513">
        <f>YEAR(Table1[[#This Row],[Order_Date]])</f>
        <v>2024</v>
      </c>
    </row>
    <row r="514" spans="1:25" x14ac:dyDescent="0.25">
      <c r="A514" t="s">
        <v>2126</v>
      </c>
      <c r="B514" t="s">
        <v>2127</v>
      </c>
      <c r="C514" t="s">
        <v>2128</v>
      </c>
      <c r="D514" t="s">
        <v>2129</v>
      </c>
      <c r="E514" t="s">
        <v>39</v>
      </c>
      <c r="F514" t="s">
        <v>30</v>
      </c>
      <c r="G514" t="s">
        <v>195</v>
      </c>
      <c r="H514" t="s">
        <v>72</v>
      </c>
      <c r="I514" t="s">
        <v>33</v>
      </c>
      <c r="J514" t="s">
        <v>59</v>
      </c>
      <c r="K514">
        <v>10</v>
      </c>
      <c r="L514">
        <v>912.79</v>
      </c>
      <c r="M514" s="3">
        <v>0.1</v>
      </c>
      <c r="N514" t="str">
        <f>VLOOKUP(Table1[[#This Row],[Country]],REF_Country!$A$1:$D$11,2,FALSE)</f>
        <v>Southeast Asia</v>
      </c>
      <c r="O514" t="str">
        <f>VLOOKUP(Table1[[#This Row],[Country]],REF_Country!$A$1:$D$11,3,FALSE)</f>
        <v>TH</v>
      </c>
      <c r="P514">
        <f>VLOOKUP(Table1[[#This Row],[Country]],REF_Country!$A$1:$D$11,4,FALSE)</f>
        <v>7.0000000000000007E-2</v>
      </c>
      <c r="Q514">
        <f>VLOOKUP(Table1[[#This Row],[Category]],REF_Target!$A$1:$E$6,2,FALSE)</f>
        <v>40000</v>
      </c>
      <c r="R514">
        <f>Table1[[#This Row],[Quantity]]*Table1[[#This Row],[Unit_Price]]</f>
        <v>9127.9</v>
      </c>
      <c r="S514">
        <f>Table1[[#This Row],[Gross_Sales]]*Table1[[#This Row],[Discount_Rate]]</f>
        <v>912.79</v>
      </c>
      <c r="T514">
        <f>Table1[[#This Row],[Gross_Sales]]-Table1[[#This Row],[Discount_Amount]]</f>
        <v>8215.11</v>
      </c>
      <c r="U514">
        <f>VLOOKUP(Table1[[#This Row],[Category]],REF_Cost!$A$1:$B$6,2,FALSE)*Table1[[#This Row],[Quantity]]</f>
        <v>1200</v>
      </c>
      <c r="V514">
        <f>Table1[[#This Row],[Net_Sales]]-Table1[[#This Row],[Total_Cost]]</f>
        <v>7015.1100000000006</v>
      </c>
      <c r="W514" t="str">
        <f>TEXT(Table1[[#This Row],[Order_Date]],"mmm")</f>
        <v>Aug</v>
      </c>
      <c r="X514">
        <f>ROUNDUP(MONTH(Table1[[#This Row],[Order_Date]])/3,0)</f>
        <v>3</v>
      </c>
      <c r="Y514">
        <f>YEAR(Table1[[#This Row],[Order_Date]])</f>
        <v>2024</v>
      </c>
    </row>
    <row r="515" spans="1:25" x14ac:dyDescent="0.25">
      <c r="A515" t="s">
        <v>2130</v>
      </c>
      <c r="B515" t="s">
        <v>2131</v>
      </c>
      <c r="C515" t="s">
        <v>2132</v>
      </c>
      <c r="D515" t="s">
        <v>2133</v>
      </c>
      <c r="E515" t="s">
        <v>64</v>
      </c>
      <c r="F515" t="s">
        <v>56</v>
      </c>
      <c r="G515" t="s">
        <v>111</v>
      </c>
      <c r="H515" t="s">
        <v>42</v>
      </c>
      <c r="I515" t="s">
        <v>51</v>
      </c>
      <c r="J515" t="s">
        <v>73</v>
      </c>
      <c r="K515">
        <v>6</v>
      </c>
      <c r="L515">
        <v>732.65</v>
      </c>
      <c r="M515" s="3">
        <v>0</v>
      </c>
      <c r="N515" t="str">
        <f>VLOOKUP(Table1[[#This Row],[Country]],REF_Country!$A$1:$D$11,2,FALSE)</f>
        <v>Southeast Asia</v>
      </c>
      <c r="O515" t="str">
        <f>VLOOKUP(Table1[[#This Row],[Country]],REF_Country!$A$1:$D$11,3,FALSE)</f>
        <v>ID</v>
      </c>
      <c r="P515">
        <f>VLOOKUP(Table1[[#This Row],[Country]],REF_Country!$A$1:$D$11,4,FALSE)</f>
        <v>0.11</v>
      </c>
      <c r="Q515">
        <f>VLOOKUP(Table1[[#This Row],[Category]],REF_Target!$A$1:$E$6,2,FALSE)</f>
        <v>50000</v>
      </c>
      <c r="R515">
        <f>Table1[[#This Row],[Quantity]]*Table1[[#This Row],[Unit_Price]]</f>
        <v>4395.8999999999996</v>
      </c>
      <c r="S515">
        <f>Table1[[#This Row],[Gross_Sales]]*Table1[[#This Row],[Discount_Rate]]</f>
        <v>0</v>
      </c>
      <c r="T515">
        <f>Table1[[#This Row],[Gross_Sales]]-Table1[[#This Row],[Discount_Amount]]</f>
        <v>4395.8999999999996</v>
      </c>
      <c r="U515">
        <f>VLOOKUP(Table1[[#This Row],[Category]],REF_Cost!$A$1:$B$6,2,FALSE)*Table1[[#This Row],[Quantity]]</f>
        <v>2700</v>
      </c>
      <c r="V515">
        <f>Table1[[#This Row],[Net_Sales]]-Table1[[#This Row],[Total_Cost]]</f>
        <v>1695.8999999999996</v>
      </c>
      <c r="W515" t="str">
        <f>TEXT(Table1[[#This Row],[Order_Date]],"mmm")</f>
        <v>Oct</v>
      </c>
      <c r="X515">
        <f>ROUNDUP(MONTH(Table1[[#This Row],[Order_Date]])/3,0)</f>
        <v>4</v>
      </c>
      <c r="Y515">
        <f>YEAR(Table1[[#This Row],[Order_Date]])</f>
        <v>2024</v>
      </c>
    </row>
    <row r="516" spans="1:25" x14ac:dyDescent="0.25">
      <c r="A516" t="s">
        <v>2134</v>
      </c>
      <c r="B516" t="s">
        <v>2135</v>
      </c>
      <c r="C516" t="s">
        <v>2136</v>
      </c>
      <c r="D516" t="s">
        <v>2137</v>
      </c>
      <c r="E516" t="s">
        <v>116</v>
      </c>
      <c r="F516" t="s">
        <v>40</v>
      </c>
      <c r="G516" t="s">
        <v>41</v>
      </c>
      <c r="H516" t="s">
        <v>32</v>
      </c>
      <c r="I516" t="s">
        <v>33</v>
      </c>
      <c r="J516" t="s">
        <v>59</v>
      </c>
      <c r="K516">
        <v>8</v>
      </c>
      <c r="L516">
        <v>146.34</v>
      </c>
      <c r="M516" s="3">
        <v>0.2</v>
      </c>
      <c r="N516" t="str">
        <f>VLOOKUP(Table1[[#This Row],[Country]],REF_Country!$A$1:$D$11,2,FALSE)</f>
        <v>Southeast Asia</v>
      </c>
      <c r="O516" t="str">
        <f>VLOOKUP(Table1[[#This Row],[Country]],REF_Country!$A$1:$D$11,3,FALSE)</f>
        <v>MY</v>
      </c>
      <c r="P516">
        <f>VLOOKUP(Table1[[#This Row],[Country]],REF_Country!$A$1:$D$11,4,FALSE)</f>
        <v>0.06</v>
      </c>
      <c r="Q516">
        <f>VLOOKUP(Table1[[#This Row],[Category]],REF_Target!$A$1:$E$6,2,FALSE)</f>
        <v>45000</v>
      </c>
      <c r="R516">
        <f>Table1[[#This Row],[Quantity]]*Table1[[#This Row],[Unit_Price]]</f>
        <v>1170.72</v>
      </c>
      <c r="S516">
        <f>Table1[[#This Row],[Gross_Sales]]*Table1[[#This Row],[Discount_Rate]]</f>
        <v>234.14400000000001</v>
      </c>
      <c r="T516">
        <f>Table1[[#This Row],[Gross_Sales]]-Table1[[#This Row],[Discount_Amount]]</f>
        <v>936.57600000000002</v>
      </c>
      <c r="U516">
        <f>VLOOKUP(Table1[[#This Row],[Category]],REF_Cost!$A$1:$B$6,2,FALSE)*Table1[[#This Row],[Quantity]]</f>
        <v>640</v>
      </c>
      <c r="V516">
        <f>Table1[[#This Row],[Net_Sales]]-Table1[[#This Row],[Total_Cost]]</f>
        <v>296.57600000000002</v>
      </c>
      <c r="W516" t="str">
        <f>TEXT(Table1[[#This Row],[Order_Date]],"mmm")</f>
        <v>May</v>
      </c>
      <c r="X516">
        <f>ROUNDUP(MONTH(Table1[[#This Row],[Order_Date]])/3,0)</f>
        <v>2</v>
      </c>
      <c r="Y516">
        <f>YEAR(Table1[[#This Row],[Order_Date]])</f>
        <v>2024</v>
      </c>
    </row>
    <row r="517" spans="1:25" x14ac:dyDescent="0.25">
      <c r="A517" t="s">
        <v>2138</v>
      </c>
      <c r="B517" t="s">
        <v>2139</v>
      </c>
      <c r="C517" t="s">
        <v>2140</v>
      </c>
      <c r="D517" t="s">
        <v>2141</v>
      </c>
      <c r="E517" t="s">
        <v>64</v>
      </c>
      <c r="F517" t="s">
        <v>49</v>
      </c>
      <c r="G517" t="s">
        <v>226</v>
      </c>
      <c r="H517" t="s">
        <v>58</v>
      </c>
      <c r="I517" t="s">
        <v>96</v>
      </c>
      <c r="J517" t="s">
        <v>59</v>
      </c>
      <c r="K517">
        <v>8</v>
      </c>
      <c r="L517">
        <v>776.3</v>
      </c>
      <c r="M517" s="3">
        <v>0.15</v>
      </c>
      <c r="N517" t="str">
        <f>VLOOKUP(Table1[[#This Row],[Country]],REF_Country!$A$1:$D$11,2,FALSE)</f>
        <v>Southeast Asia</v>
      </c>
      <c r="O517" t="str">
        <f>VLOOKUP(Table1[[#This Row],[Country]],REF_Country!$A$1:$D$11,3,FALSE)</f>
        <v>ID</v>
      </c>
      <c r="P517">
        <f>VLOOKUP(Table1[[#This Row],[Country]],REF_Country!$A$1:$D$11,4,FALSE)</f>
        <v>0.11</v>
      </c>
      <c r="Q517">
        <f>VLOOKUP(Table1[[#This Row],[Category]],REF_Target!$A$1:$E$6,2,FALSE)</f>
        <v>35000</v>
      </c>
      <c r="R517">
        <f>Table1[[#This Row],[Quantity]]*Table1[[#This Row],[Unit_Price]]</f>
        <v>6210.4</v>
      </c>
      <c r="S517">
        <f>Table1[[#This Row],[Gross_Sales]]*Table1[[#This Row],[Discount_Rate]]</f>
        <v>931.56</v>
      </c>
      <c r="T517">
        <f>Table1[[#This Row],[Gross_Sales]]-Table1[[#This Row],[Discount_Amount]]</f>
        <v>5278.84</v>
      </c>
      <c r="U517">
        <f>VLOOKUP(Table1[[#This Row],[Category]],REF_Cost!$A$1:$B$6,2,FALSE)*Table1[[#This Row],[Quantity]]</f>
        <v>1200</v>
      </c>
      <c r="V517">
        <f>Table1[[#This Row],[Net_Sales]]-Table1[[#This Row],[Total_Cost]]</f>
        <v>4078.84</v>
      </c>
      <c r="W517" t="str">
        <f>TEXT(Table1[[#This Row],[Order_Date]],"mmm")</f>
        <v>Jan</v>
      </c>
      <c r="X517">
        <f>ROUNDUP(MONTH(Table1[[#This Row],[Order_Date]])/3,0)</f>
        <v>1</v>
      </c>
      <c r="Y517">
        <f>YEAR(Table1[[#This Row],[Order_Date]])</f>
        <v>2024</v>
      </c>
    </row>
    <row r="518" spans="1:25" x14ac:dyDescent="0.25">
      <c r="A518" t="s">
        <v>2142</v>
      </c>
      <c r="B518" t="s">
        <v>2143</v>
      </c>
      <c r="C518" t="s">
        <v>2144</v>
      </c>
      <c r="D518" t="s">
        <v>2145</v>
      </c>
      <c r="E518" t="s">
        <v>83</v>
      </c>
      <c r="F518" t="s">
        <v>84</v>
      </c>
      <c r="G518" t="s">
        <v>90</v>
      </c>
      <c r="H518" t="s">
        <v>72</v>
      </c>
      <c r="I518" t="s">
        <v>33</v>
      </c>
      <c r="J518" t="s">
        <v>126</v>
      </c>
      <c r="K518">
        <v>8</v>
      </c>
      <c r="L518">
        <v>401.76</v>
      </c>
      <c r="M518" s="3">
        <v>0.15</v>
      </c>
      <c r="N518" t="str">
        <f>VLOOKUP(Table1[[#This Row],[Country]],REF_Country!$A$1:$D$11,2,FALSE)</f>
        <v>South Asia</v>
      </c>
      <c r="O518" t="str">
        <f>VLOOKUP(Table1[[#This Row],[Country]],REF_Country!$A$1:$D$11,3,FALSE)</f>
        <v>IN</v>
      </c>
      <c r="P518">
        <f>VLOOKUP(Table1[[#This Row],[Country]],REF_Country!$A$1:$D$11,4,FALSE)</f>
        <v>0.18</v>
      </c>
      <c r="Q518">
        <f>VLOOKUP(Table1[[#This Row],[Category]],REF_Target!$A$1:$E$6,2,FALSE)</f>
        <v>30000</v>
      </c>
      <c r="R518">
        <f>Table1[[#This Row],[Quantity]]*Table1[[#This Row],[Unit_Price]]</f>
        <v>3214.08</v>
      </c>
      <c r="S518">
        <f>Table1[[#This Row],[Gross_Sales]]*Table1[[#This Row],[Discount_Rate]]</f>
        <v>482.11199999999997</v>
      </c>
      <c r="T518">
        <f>Table1[[#This Row],[Gross_Sales]]-Table1[[#This Row],[Discount_Amount]]</f>
        <v>2731.9679999999998</v>
      </c>
      <c r="U518">
        <f>VLOOKUP(Table1[[#This Row],[Category]],REF_Cost!$A$1:$B$6,2,FALSE)*Table1[[#This Row],[Quantity]]</f>
        <v>1600</v>
      </c>
      <c r="V518">
        <f>Table1[[#This Row],[Net_Sales]]-Table1[[#This Row],[Total_Cost]]</f>
        <v>1131.9679999999998</v>
      </c>
      <c r="W518" t="str">
        <f>TEXT(Table1[[#This Row],[Order_Date]],"mmm")</f>
        <v>May</v>
      </c>
      <c r="X518">
        <f>ROUNDUP(MONTH(Table1[[#This Row],[Order_Date]])/3,0)</f>
        <v>2</v>
      </c>
      <c r="Y518">
        <f>YEAR(Table1[[#This Row],[Order_Date]])</f>
        <v>2024</v>
      </c>
    </row>
    <row r="519" spans="1:25" x14ac:dyDescent="0.25">
      <c r="A519" t="s">
        <v>2146</v>
      </c>
      <c r="B519" t="s">
        <v>2147</v>
      </c>
      <c r="C519" t="s">
        <v>2148</v>
      </c>
      <c r="D519" t="s">
        <v>2149</v>
      </c>
      <c r="E519" t="s">
        <v>64</v>
      </c>
      <c r="F519" t="s">
        <v>84</v>
      </c>
      <c r="G519" t="s">
        <v>264</v>
      </c>
      <c r="H519" t="s">
        <v>58</v>
      </c>
      <c r="I519" t="s">
        <v>66</v>
      </c>
      <c r="J519" t="s">
        <v>73</v>
      </c>
      <c r="K519">
        <v>9</v>
      </c>
      <c r="L519">
        <v>137.53</v>
      </c>
      <c r="M519" s="3">
        <v>0</v>
      </c>
      <c r="N519" t="str">
        <f>VLOOKUP(Table1[[#This Row],[Country]],REF_Country!$A$1:$D$11,2,FALSE)</f>
        <v>Southeast Asia</v>
      </c>
      <c r="O519" t="str">
        <f>VLOOKUP(Table1[[#This Row],[Country]],REF_Country!$A$1:$D$11,3,FALSE)</f>
        <v>ID</v>
      </c>
      <c r="P519">
        <f>VLOOKUP(Table1[[#This Row],[Country]],REF_Country!$A$1:$D$11,4,FALSE)</f>
        <v>0.11</v>
      </c>
      <c r="Q519">
        <f>VLOOKUP(Table1[[#This Row],[Category]],REF_Target!$A$1:$E$6,2,FALSE)</f>
        <v>30000</v>
      </c>
      <c r="R519">
        <f>Table1[[#This Row],[Quantity]]*Table1[[#This Row],[Unit_Price]]</f>
        <v>1237.77</v>
      </c>
      <c r="S519">
        <f>Table1[[#This Row],[Gross_Sales]]*Table1[[#This Row],[Discount_Rate]]</f>
        <v>0</v>
      </c>
      <c r="T519">
        <f>Table1[[#This Row],[Gross_Sales]]-Table1[[#This Row],[Discount_Amount]]</f>
        <v>1237.77</v>
      </c>
      <c r="U519">
        <f>VLOOKUP(Table1[[#This Row],[Category]],REF_Cost!$A$1:$B$6,2,FALSE)*Table1[[#This Row],[Quantity]]</f>
        <v>1800</v>
      </c>
      <c r="V519">
        <f>Table1[[#This Row],[Net_Sales]]-Table1[[#This Row],[Total_Cost]]</f>
        <v>-562.23</v>
      </c>
      <c r="W519" t="str">
        <f>TEXT(Table1[[#This Row],[Order_Date]],"mmm")</f>
        <v>May</v>
      </c>
      <c r="X519">
        <f>ROUNDUP(MONTH(Table1[[#This Row],[Order_Date]])/3,0)</f>
        <v>2</v>
      </c>
      <c r="Y519">
        <f>YEAR(Table1[[#This Row],[Order_Date]])</f>
        <v>2024</v>
      </c>
    </row>
    <row r="520" spans="1:25" x14ac:dyDescent="0.25">
      <c r="A520" t="s">
        <v>2150</v>
      </c>
      <c r="B520" t="s">
        <v>2151</v>
      </c>
      <c r="C520" t="s">
        <v>2152</v>
      </c>
      <c r="D520" t="s">
        <v>2153</v>
      </c>
      <c r="E520" t="s">
        <v>29</v>
      </c>
      <c r="F520" t="s">
        <v>56</v>
      </c>
      <c r="G520" t="s">
        <v>101</v>
      </c>
      <c r="H520" t="s">
        <v>72</v>
      </c>
      <c r="I520" t="s">
        <v>96</v>
      </c>
      <c r="J520" t="s">
        <v>59</v>
      </c>
      <c r="K520">
        <v>10</v>
      </c>
      <c r="L520">
        <v>911.67</v>
      </c>
      <c r="M520" s="3">
        <v>0.2</v>
      </c>
      <c r="N520" t="str">
        <f>VLOOKUP(Table1[[#This Row],[Country]],REF_Country!$A$1:$D$11,2,FALSE)</f>
        <v>Southeast Asia</v>
      </c>
      <c r="O520" t="str">
        <f>VLOOKUP(Table1[[#This Row],[Country]],REF_Country!$A$1:$D$11,3,FALSE)</f>
        <v>VN</v>
      </c>
      <c r="P520">
        <f>VLOOKUP(Table1[[#This Row],[Country]],REF_Country!$A$1:$D$11,4,FALSE)</f>
        <v>0.1</v>
      </c>
      <c r="Q520">
        <f>VLOOKUP(Table1[[#This Row],[Category]],REF_Target!$A$1:$E$6,2,FALSE)</f>
        <v>50000</v>
      </c>
      <c r="R520">
        <f>Table1[[#This Row],[Quantity]]*Table1[[#This Row],[Unit_Price]]</f>
        <v>9116.6999999999989</v>
      </c>
      <c r="S520">
        <f>Table1[[#This Row],[Gross_Sales]]*Table1[[#This Row],[Discount_Rate]]</f>
        <v>1823.34</v>
      </c>
      <c r="T520">
        <f>Table1[[#This Row],[Gross_Sales]]-Table1[[#This Row],[Discount_Amount]]</f>
        <v>7293.3599999999988</v>
      </c>
      <c r="U520">
        <f>VLOOKUP(Table1[[#This Row],[Category]],REF_Cost!$A$1:$B$6,2,FALSE)*Table1[[#This Row],[Quantity]]</f>
        <v>4500</v>
      </c>
      <c r="V520">
        <f>Table1[[#This Row],[Net_Sales]]-Table1[[#This Row],[Total_Cost]]</f>
        <v>2793.3599999999988</v>
      </c>
      <c r="W520" t="str">
        <f>TEXT(Table1[[#This Row],[Order_Date]],"mmm")</f>
        <v>May</v>
      </c>
      <c r="X520">
        <f>ROUNDUP(MONTH(Table1[[#This Row],[Order_Date]])/3,0)</f>
        <v>2</v>
      </c>
      <c r="Y520">
        <f>YEAR(Table1[[#This Row],[Order_Date]])</f>
        <v>2024</v>
      </c>
    </row>
    <row r="521" spans="1:25" x14ac:dyDescent="0.25">
      <c r="A521" t="s">
        <v>2154</v>
      </c>
      <c r="B521" t="s">
        <v>2155</v>
      </c>
      <c r="C521" t="s">
        <v>2156</v>
      </c>
      <c r="D521" t="s">
        <v>2157</v>
      </c>
      <c r="E521" t="s">
        <v>200</v>
      </c>
      <c r="F521" t="s">
        <v>30</v>
      </c>
      <c r="G521" t="s">
        <v>139</v>
      </c>
      <c r="H521" t="s">
        <v>72</v>
      </c>
      <c r="I521" t="s">
        <v>33</v>
      </c>
      <c r="J521" t="s">
        <v>73</v>
      </c>
      <c r="K521">
        <v>6</v>
      </c>
      <c r="L521">
        <v>1295.0899999999999</v>
      </c>
      <c r="M521" s="3">
        <v>0</v>
      </c>
      <c r="N521" t="str">
        <f>VLOOKUP(Table1[[#This Row],[Country]],REF_Country!$A$1:$D$11,2,FALSE)</f>
        <v>East Asia</v>
      </c>
      <c r="O521" t="str">
        <f>VLOOKUP(Table1[[#This Row],[Country]],REF_Country!$A$1:$D$11,3,FALSE)</f>
        <v>KR</v>
      </c>
      <c r="P521">
        <f>VLOOKUP(Table1[[#This Row],[Country]],REF_Country!$A$1:$D$11,4,FALSE)</f>
        <v>0.1</v>
      </c>
      <c r="Q521">
        <f>VLOOKUP(Table1[[#This Row],[Category]],REF_Target!$A$1:$E$6,2,FALSE)</f>
        <v>40000</v>
      </c>
      <c r="R521">
        <f>Table1[[#This Row],[Quantity]]*Table1[[#This Row],[Unit_Price]]</f>
        <v>7770.5399999999991</v>
      </c>
      <c r="S521">
        <f>Table1[[#This Row],[Gross_Sales]]*Table1[[#This Row],[Discount_Rate]]</f>
        <v>0</v>
      </c>
      <c r="T521">
        <f>Table1[[#This Row],[Gross_Sales]]-Table1[[#This Row],[Discount_Amount]]</f>
        <v>7770.5399999999991</v>
      </c>
      <c r="U521">
        <f>VLOOKUP(Table1[[#This Row],[Category]],REF_Cost!$A$1:$B$6,2,FALSE)*Table1[[#This Row],[Quantity]]</f>
        <v>720</v>
      </c>
      <c r="V521">
        <f>Table1[[#This Row],[Net_Sales]]-Table1[[#This Row],[Total_Cost]]</f>
        <v>7050.5399999999991</v>
      </c>
      <c r="W521" t="str">
        <f>TEXT(Table1[[#This Row],[Order_Date]],"mmm")</f>
        <v>May</v>
      </c>
      <c r="X521">
        <f>ROUNDUP(MONTH(Table1[[#This Row],[Order_Date]])/3,0)</f>
        <v>2</v>
      </c>
      <c r="Y521">
        <f>YEAR(Table1[[#This Row],[Order_Date]])</f>
        <v>2024</v>
      </c>
    </row>
    <row r="522" spans="1:25" x14ac:dyDescent="0.25">
      <c r="A522" t="s">
        <v>2158</v>
      </c>
      <c r="B522" t="s">
        <v>2159</v>
      </c>
      <c r="C522" t="s">
        <v>2160</v>
      </c>
      <c r="D522" t="s">
        <v>2161</v>
      </c>
      <c r="E522" t="s">
        <v>200</v>
      </c>
      <c r="F522" t="s">
        <v>30</v>
      </c>
      <c r="G522" t="s">
        <v>31</v>
      </c>
      <c r="H522" t="s">
        <v>58</v>
      </c>
      <c r="I522" t="s">
        <v>51</v>
      </c>
      <c r="J522" t="s">
        <v>126</v>
      </c>
      <c r="K522">
        <v>6</v>
      </c>
      <c r="L522">
        <v>872.97</v>
      </c>
      <c r="M522" s="3">
        <v>0</v>
      </c>
      <c r="N522" t="str">
        <f>VLOOKUP(Table1[[#This Row],[Country]],REF_Country!$A$1:$D$11,2,FALSE)</f>
        <v>East Asia</v>
      </c>
      <c r="O522" t="str">
        <f>VLOOKUP(Table1[[#This Row],[Country]],REF_Country!$A$1:$D$11,3,FALSE)</f>
        <v>KR</v>
      </c>
      <c r="P522">
        <f>VLOOKUP(Table1[[#This Row],[Country]],REF_Country!$A$1:$D$11,4,FALSE)</f>
        <v>0.1</v>
      </c>
      <c r="Q522">
        <f>VLOOKUP(Table1[[#This Row],[Category]],REF_Target!$A$1:$E$6,2,FALSE)</f>
        <v>40000</v>
      </c>
      <c r="R522">
        <f>Table1[[#This Row],[Quantity]]*Table1[[#This Row],[Unit_Price]]</f>
        <v>5237.82</v>
      </c>
      <c r="S522">
        <f>Table1[[#This Row],[Gross_Sales]]*Table1[[#This Row],[Discount_Rate]]</f>
        <v>0</v>
      </c>
      <c r="T522">
        <f>Table1[[#This Row],[Gross_Sales]]-Table1[[#This Row],[Discount_Amount]]</f>
        <v>5237.82</v>
      </c>
      <c r="U522">
        <f>VLOOKUP(Table1[[#This Row],[Category]],REF_Cost!$A$1:$B$6,2,FALSE)*Table1[[#This Row],[Quantity]]</f>
        <v>720</v>
      </c>
      <c r="V522">
        <f>Table1[[#This Row],[Net_Sales]]-Table1[[#This Row],[Total_Cost]]</f>
        <v>4517.82</v>
      </c>
      <c r="W522" t="str">
        <f>TEXT(Table1[[#This Row],[Order_Date]],"mmm")</f>
        <v>Jul</v>
      </c>
      <c r="X522">
        <f>ROUNDUP(MONTH(Table1[[#This Row],[Order_Date]])/3,0)</f>
        <v>3</v>
      </c>
      <c r="Y522">
        <f>YEAR(Table1[[#This Row],[Order_Date]])</f>
        <v>2024</v>
      </c>
    </row>
    <row r="523" spans="1:25" x14ac:dyDescent="0.25">
      <c r="A523" t="s">
        <v>2162</v>
      </c>
      <c r="B523" t="s">
        <v>2163</v>
      </c>
      <c r="C523" t="s">
        <v>2164</v>
      </c>
      <c r="D523" t="s">
        <v>2165</v>
      </c>
      <c r="E523" t="s">
        <v>29</v>
      </c>
      <c r="F523" t="s">
        <v>49</v>
      </c>
      <c r="G523" t="s">
        <v>259</v>
      </c>
      <c r="H523" t="s">
        <v>58</v>
      </c>
      <c r="I523" t="s">
        <v>43</v>
      </c>
      <c r="J523" t="s">
        <v>34</v>
      </c>
      <c r="K523">
        <v>7</v>
      </c>
      <c r="L523">
        <v>361.99</v>
      </c>
      <c r="M523" s="3">
        <v>0.1</v>
      </c>
      <c r="N523" t="str">
        <f>VLOOKUP(Table1[[#This Row],[Country]],REF_Country!$A$1:$D$11,2,FALSE)</f>
        <v>Southeast Asia</v>
      </c>
      <c r="O523" t="str">
        <f>VLOOKUP(Table1[[#This Row],[Country]],REF_Country!$A$1:$D$11,3,FALSE)</f>
        <v>VN</v>
      </c>
      <c r="P523">
        <f>VLOOKUP(Table1[[#This Row],[Country]],REF_Country!$A$1:$D$11,4,FALSE)</f>
        <v>0.1</v>
      </c>
      <c r="Q523">
        <f>VLOOKUP(Table1[[#This Row],[Category]],REF_Target!$A$1:$E$6,2,FALSE)</f>
        <v>35000</v>
      </c>
      <c r="R523">
        <f>Table1[[#This Row],[Quantity]]*Table1[[#This Row],[Unit_Price]]</f>
        <v>2533.9300000000003</v>
      </c>
      <c r="S523">
        <f>Table1[[#This Row],[Gross_Sales]]*Table1[[#This Row],[Discount_Rate]]</f>
        <v>253.39300000000003</v>
      </c>
      <c r="T523">
        <f>Table1[[#This Row],[Gross_Sales]]-Table1[[#This Row],[Discount_Amount]]</f>
        <v>2280.5370000000003</v>
      </c>
      <c r="U523">
        <f>VLOOKUP(Table1[[#This Row],[Category]],REF_Cost!$A$1:$B$6,2,FALSE)*Table1[[#This Row],[Quantity]]</f>
        <v>1050</v>
      </c>
      <c r="V523">
        <f>Table1[[#This Row],[Net_Sales]]-Table1[[#This Row],[Total_Cost]]</f>
        <v>1230.5370000000003</v>
      </c>
      <c r="W523" t="str">
        <f>TEXT(Table1[[#This Row],[Order_Date]],"mmm")</f>
        <v>Aug</v>
      </c>
      <c r="X523">
        <f>ROUNDUP(MONTH(Table1[[#This Row],[Order_Date]])/3,0)</f>
        <v>3</v>
      </c>
      <c r="Y523">
        <f>YEAR(Table1[[#This Row],[Order_Date]])</f>
        <v>2024</v>
      </c>
    </row>
    <row r="524" spans="1:25" x14ac:dyDescent="0.25">
      <c r="A524" t="s">
        <v>2166</v>
      </c>
      <c r="B524" t="s">
        <v>2167</v>
      </c>
      <c r="C524" t="s">
        <v>2168</v>
      </c>
      <c r="D524" t="s">
        <v>2169</v>
      </c>
      <c r="E524" t="s">
        <v>71</v>
      </c>
      <c r="F524" t="s">
        <v>40</v>
      </c>
      <c r="G524" t="s">
        <v>144</v>
      </c>
      <c r="H524" t="s">
        <v>58</v>
      </c>
      <c r="I524" t="s">
        <v>96</v>
      </c>
      <c r="J524" t="s">
        <v>59</v>
      </c>
      <c r="K524">
        <v>9</v>
      </c>
      <c r="L524">
        <v>159.59</v>
      </c>
      <c r="M524" s="3">
        <v>0.2</v>
      </c>
      <c r="N524" t="str">
        <f>VLOOKUP(Table1[[#This Row],[Country]],REF_Country!$A$1:$D$11,2,FALSE)</f>
        <v>Southeast Asia</v>
      </c>
      <c r="O524" t="str">
        <f>VLOOKUP(Table1[[#This Row],[Country]],REF_Country!$A$1:$D$11,3,FALSE)</f>
        <v>PH</v>
      </c>
      <c r="P524">
        <f>VLOOKUP(Table1[[#This Row],[Country]],REF_Country!$A$1:$D$11,4,FALSE)</f>
        <v>0.12</v>
      </c>
      <c r="Q524">
        <f>VLOOKUP(Table1[[#This Row],[Category]],REF_Target!$A$1:$E$6,2,FALSE)</f>
        <v>45000</v>
      </c>
      <c r="R524">
        <f>Table1[[#This Row],[Quantity]]*Table1[[#This Row],[Unit_Price]]</f>
        <v>1436.31</v>
      </c>
      <c r="S524">
        <f>Table1[[#This Row],[Gross_Sales]]*Table1[[#This Row],[Discount_Rate]]</f>
        <v>287.262</v>
      </c>
      <c r="T524">
        <f>Table1[[#This Row],[Gross_Sales]]-Table1[[#This Row],[Discount_Amount]]</f>
        <v>1149.048</v>
      </c>
      <c r="U524">
        <f>VLOOKUP(Table1[[#This Row],[Category]],REF_Cost!$A$1:$B$6,2,FALSE)*Table1[[#This Row],[Quantity]]</f>
        <v>720</v>
      </c>
      <c r="V524">
        <f>Table1[[#This Row],[Net_Sales]]-Table1[[#This Row],[Total_Cost]]</f>
        <v>429.048</v>
      </c>
      <c r="W524" t="str">
        <f>TEXT(Table1[[#This Row],[Order_Date]],"mmm")</f>
        <v>May</v>
      </c>
      <c r="X524">
        <f>ROUNDUP(MONTH(Table1[[#This Row],[Order_Date]])/3,0)</f>
        <v>2</v>
      </c>
      <c r="Y524">
        <f>YEAR(Table1[[#This Row],[Order_Date]])</f>
        <v>2024</v>
      </c>
    </row>
    <row r="525" spans="1:25" x14ac:dyDescent="0.25">
      <c r="A525" t="s">
        <v>2170</v>
      </c>
      <c r="B525" t="s">
        <v>2171</v>
      </c>
      <c r="C525" t="s">
        <v>2172</v>
      </c>
      <c r="D525" t="s">
        <v>2173</v>
      </c>
      <c r="E525" t="s">
        <v>116</v>
      </c>
      <c r="F525" t="s">
        <v>84</v>
      </c>
      <c r="G525" t="s">
        <v>90</v>
      </c>
      <c r="H525" t="s">
        <v>72</v>
      </c>
      <c r="I525" t="s">
        <v>33</v>
      </c>
      <c r="J525" t="s">
        <v>59</v>
      </c>
      <c r="K525">
        <v>4</v>
      </c>
      <c r="L525">
        <v>595.86</v>
      </c>
      <c r="M525" s="3">
        <v>0.2</v>
      </c>
      <c r="N525" t="str">
        <f>VLOOKUP(Table1[[#This Row],[Country]],REF_Country!$A$1:$D$11,2,FALSE)</f>
        <v>Southeast Asia</v>
      </c>
      <c r="O525" t="str">
        <f>VLOOKUP(Table1[[#This Row],[Country]],REF_Country!$A$1:$D$11,3,FALSE)</f>
        <v>MY</v>
      </c>
      <c r="P525">
        <f>VLOOKUP(Table1[[#This Row],[Country]],REF_Country!$A$1:$D$11,4,FALSE)</f>
        <v>0.06</v>
      </c>
      <c r="Q525">
        <f>VLOOKUP(Table1[[#This Row],[Category]],REF_Target!$A$1:$E$6,2,FALSE)</f>
        <v>30000</v>
      </c>
      <c r="R525">
        <f>Table1[[#This Row],[Quantity]]*Table1[[#This Row],[Unit_Price]]</f>
        <v>2383.44</v>
      </c>
      <c r="S525">
        <f>Table1[[#This Row],[Gross_Sales]]*Table1[[#This Row],[Discount_Rate]]</f>
        <v>476.68800000000005</v>
      </c>
      <c r="T525">
        <f>Table1[[#This Row],[Gross_Sales]]-Table1[[#This Row],[Discount_Amount]]</f>
        <v>1906.752</v>
      </c>
      <c r="U525">
        <f>VLOOKUP(Table1[[#This Row],[Category]],REF_Cost!$A$1:$B$6,2,FALSE)*Table1[[#This Row],[Quantity]]</f>
        <v>800</v>
      </c>
      <c r="V525">
        <f>Table1[[#This Row],[Net_Sales]]-Table1[[#This Row],[Total_Cost]]</f>
        <v>1106.752</v>
      </c>
      <c r="W525" t="str">
        <f>TEXT(Table1[[#This Row],[Order_Date]],"mmm")</f>
        <v>May</v>
      </c>
      <c r="X525">
        <f>ROUNDUP(MONTH(Table1[[#This Row],[Order_Date]])/3,0)</f>
        <v>2</v>
      </c>
      <c r="Y525">
        <f>YEAR(Table1[[#This Row],[Order_Date]])</f>
        <v>2024</v>
      </c>
    </row>
    <row r="526" spans="1:25" x14ac:dyDescent="0.25">
      <c r="A526" t="s">
        <v>2174</v>
      </c>
      <c r="B526" t="s">
        <v>2175</v>
      </c>
      <c r="C526" t="s">
        <v>2176</v>
      </c>
      <c r="D526" t="s">
        <v>2177</v>
      </c>
      <c r="E526" t="s">
        <v>78</v>
      </c>
      <c r="F526" t="s">
        <v>56</v>
      </c>
      <c r="G526" t="s">
        <v>101</v>
      </c>
      <c r="H526" t="s">
        <v>32</v>
      </c>
      <c r="I526" t="s">
        <v>33</v>
      </c>
      <c r="J526" t="s">
        <v>126</v>
      </c>
      <c r="K526">
        <v>1</v>
      </c>
      <c r="L526">
        <v>1250.06</v>
      </c>
      <c r="M526" s="3">
        <v>0.1</v>
      </c>
      <c r="N526" t="str">
        <f>VLOOKUP(Table1[[#This Row],[Country]],REF_Country!$A$1:$D$11,2,FALSE)</f>
        <v>Oceania</v>
      </c>
      <c r="O526" t="str">
        <f>VLOOKUP(Table1[[#This Row],[Country]],REF_Country!$A$1:$D$11,3,FALSE)</f>
        <v>AU</v>
      </c>
      <c r="P526">
        <f>VLOOKUP(Table1[[#This Row],[Country]],REF_Country!$A$1:$D$11,4,FALSE)</f>
        <v>0.1</v>
      </c>
      <c r="Q526">
        <f>VLOOKUP(Table1[[#This Row],[Category]],REF_Target!$A$1:$E$6,2,FALSE)</f>
        <v>50000</v>
      </c>
      <c r="R526">
        <f>Table1[[#This Row],[Quantity]]*Table1[[#This Row],[Unit_Price]]</f>
        <v>1250.06</v>
      </c>
      <c r="S526">
        <f>Table1[[#This Row],[Gross_Sales]]*Table1[[#This Row],[Discount_Rate]]</f>
        <v>125.006</v>
      </c>
      <c r="T526">
        <f>Table1[[#This Row],[Gross_Sales]]-Table1[[#This Row],[Discount_Amount]]</f>
        <v>1125.0539999999999</v>
      </c>
      <c r="U526">
        <f>VLOOKUP(Table1[[#This Row],[Category]],REF_Cost!$A$1:$B$6,2,FALSE)*Table1[[#This Row],[Quantity]]</f>
        <v>450</v>
      </c>
      <c r="V526">
        <f>Table1[[#This Row],[Net_Sales]]-Table1[[#This Row],[Total_Cost]]</f>
        <v>675.05399999999986</v>
      </c>
      <c r="W526" t="str">
        <f>TEXT(Table1[[#This Row],[Order_Date]],"mmm")</f>
        <v>Dec</v>
      </c>
      <c r="X526">
        <f>ROUNDUP(MONTH(Table1[[#This Row],[Order_Date]])/3,0)</f>
        <v>4</v>
      </c>
      <c r="Y526">
        <f>YEAR(Table1[[#This Row],[Order_Date]])</f>
        <v>2024</v>
      </c>
    </row>
    <row r="527" spans="1:25" x14ac:dyDescent="0.25">
      <c r="A527" t="s">
        <v>2178</v>
      </c>
      <c r="B527" t="s">
        <v>2179</v>
      </c>
      <c r="C527" t="s">
        <v>2180</v>
      </c>
      <c r="D527" t="s">
        <v>2181</v>
      </c>
      <c r="E527" t="s">
        <v>29</v>
      </c>
      <c r="F527" t="s">
        <v>84</v>
      </c>
      <c r="G527" t="s">
        <v>85</v>
      </c>
      <c r="H527" t="s">
        <v>32</v>
      </c>
      <c r="I527" t="s">
        <v>33</v>
      </c>
      <c r="J527" t="s">
        <v>73</v>
      </c>
      <c r="K527">
        <v>10</v>
      </c>
      <c r="L527">
        <v>65.55</v>
      </c>
      <c r="M527" s="3">
        <v>0</v>
      </c>
      <c r="N527" t="str">
        <f>VLOOKUP(Table1[[#This Row],[Country]],REF_Country!$A$1:$D$11,2,FALSE)</f>
        <v>Southeast Asia</v>
      </c>
      <c r="O527" t="str">
        <f>VLOOKUP(Table1[[#This Row],[Country]],REF_Country!$A$1:$D$11,3,FALSE)</f>
        <v>VN</v>
      </c>
      <c r="P527">
        <f>VLOOKUP(Table1[[#This Row],[Country]],REF_Country!$A$1:$D$11,4,FALSE)</f>
        <v>0.1</v>
      </c>
      <c r="Q527">
        <f>VLOOKUP(Table1[[#This Row],[Category]],REF_Target!$A$1:$E$6,2,FALSE)</f>
        <v>30000</v>
      </c>
      <c r="R527">
        <f>Table1[[#This Row],[Quantity]]*Table1[[#This Row],[Unit_Price]]</f>
        <v>655.5</v>
      </c>
      <c r="S527">
        <f>Table1[[#This Row],[Gross_Sales]]*Table1[[#This Row],[Discount_Rate]]</f>
        <v>0</v>
      </c>
      <c r="T527">
        <f>Table1[[#This Row],[Gross_Sales]]-Table1[[#This Row],[Discount_Amount]]</f>
        <v>655.5</v>
      </c>
      <c r="U527">
        <f>VLOOKUP(Table1[[#This Row],[Category]],REF_Cost!$A$1:$B$6,2,FALSE)*Table1[[#This Row],[Quantity]]</f>
        <v>2000</v>
      </c>
      <c r="V527">
        <f>Table1[[#This Row],[Net_Sales]]-Table1[[#This Row],[Total_Cost]]</f>
        <v>-1344.5</v>
      </c>
      <c r="W527" t="str">
        <f>TEXT(Table1[[#This Row],[Order_Date]],"mmm")</f>
        <v>Aug</v>
      </c>
      <c r="X527">
        <f>ROUNDUP(MONTH(Table1[[#This Row],[Order_Date]])/3,0)</f>
        <v>3</v>
      </c>
      <c r="Y527">
        <f>YEAR(Table1[[#This Row],[Order_Date]])</f>
        <v>2024</v>
      </c>
    </row>
    <row r="528" spans="1:25" x14ac:dyDescent="0.25">
      <c r="A528" t="s">
        <v>2182</v>
      </c>
      <c r="B528" t="s">
        <v>2183</v>
      </c>
      <c r="C528" t="s">
        <v>2184</v>
      </c>
      <c r="D528" t="s">
        <v>2185</v>
      </c>
      <c r="E528" t="s">
        <v>116</v>
      </c>
      <c r="F528" t="s">
        <v>56</v>
      </c>
      <c r="G528" t="s">
        <v>111</v>
      </c>
      <c r="H528" t="s">
        <v>32</v>
      </c>
      <c r="I528" t="s">
        <v>43</v>
      </c>
      <c r="J528" t="s">
        <v>59</v>
      </c>
      <c r="K528">
        <v>10</v>
      </c>
      <c r="L528">
        <v>207.91</v>
      </c>
      <c r="M528" s="3">
        <v>0</v>
      </c>
      <c r="N528" t="str">
        <f>VLOOKUP(Table1[[#This Row],[Country]],REF_Country!$A$1:$D$11,2,FALSE)</f>
        <v>Southeast Asia</v>
      </c>
      <c r="O528" t="str">
        <f>VLOOKUP(Table1[[#This Row],[Country]],REF_Country!$A$1:$D$11,3,FALSE)</f>
        <v>MY</v>
      </c>
      <c r="P528">
        <f>VLOOKUP(Table1[[#This Row],[Country]],REF_Country!$A$1:$D$11,4,FALSE)</f>
        <v>0.06</v>
      </c>
      <c r="Q528">
        <f>VLOOKUP(Table1[[#This Row],[Category]],REF_Target!$A$1:$E$6,2,FALSE)</f>
        <v>50000</v>
      </c>
      <c r="R528">
        <f>Table1[[#This Row],[Quantity]]*Table1[[#This Row],[Unit_Price]]</f>
        <v>2079.1</v>
      </c>
      <c r="S528">
        <f>Table1[[#This Row],[Gross_Sales]]*Table1[[#This Row],[Discount_Rate]]</f>
        <v>0</v>
      </c>
      <c r="T528">
        <f>Table1[[#This Row],[Gross_Sales]]-Table1[[#This Row],[Discount_Amount]]</f>
        <v>2079.1</v>
      </c>
      <c r="U528">
        <f>VLOOKUP(Table1[[#This Row],[Category]],REF_Cost!$A$1:$B$6,2,FALSE)*Table1[[#This Row],[Quantity]]</f>
        <v>4500</v>
      </c>
      <c r="V528">
        <f>Table1[[#This Row],[Net_Sales]]-Table1[[#This Row],[Total_Cost]]</f>
        <v>-2420.9</v>
      </c>
      <c r="W528" t="str">
        <f>TEXT(Table1[[#This Row],[Order_Date]],"mmm")</f>
        <v>Nov</v>
      </c>
      <c r="X528">
        <f>ROUNDUP(MONTH(Table1[[#This Row],[Order_Date]])/3,0)</f>
        <v>4</v>
      </c>
      <c r="Y528">
        <f>YEAR(Table1[[#This Row],[Order_Date]])</f>
        <v>2024</v>
      </c>
    </row>
    <row r="529" spans="1:25" x14ac:dyDescent="0.25">
      <c r="A529" t="s">
        <v>2186</v>
      </c>
      <c r="B529" t="s">
        <v>2187</v>
      </c>
      <c r="C529" t="s">
        <v>2188</v>
      </c>
      <c r="D529" t="s">
        <v>2189</v>
      </c>
      <c r="E529" t="s">
        <v>116</v>
      </c>
      <c r="F529" t="s">
        <v>49</v>
      </c>
      <c r="G529" t="s">
        <v>50</v>
      </c>
      <c r="H529" t="s">
        <v>72</v>
      </c>
      <c r="I529" t="s">
        <v>51</v>
      </c>
      <c r="J529" t="s">
        <v>59</v>
      </c>
      <c r="K529">
        <v>6</v>
      </c>
      <c r="L529">
        <v>1157.5</v>
      </c>
      <c r="M529" s="3">
        <v>0.05</v>
      </c>
      <c r="N529" t="str">
        <f>VLOOKUP(Table1[[#This Row],[Country]],REF_Country!$A$1:$D$11,2,FALSE)</f>
        <v>Southeast Asia</v>
      </c>
      <c r="O529" t="str">
        <f>VLOOKUP(Table1[[#This Row],[Country]],REF_Country!$A$1:$D$11,3,FALSE)</f>
        <v>MY</v>
      </c>
      <c r="P529">
        <f>VLOOKUP(Table1[[#This Row],[Country]],REF_Country!$A$1:$D$11,4,FALSE)</f>
        <v>0.06</v>
      </c>
      <c r="Q529">
        <f>VLOOKUP(Table1[[#This Row],[Category]],REF_Target!$A$1:$E$6,2,FALSE)</f>
        <v>35000</v>
      </c>
      <c r="R529">
        <f>Table1[[#This Row],[Quantity]]*Table1[[#This Row],[Unit_Price]]</f>
        <v>6945</v>
      </c>
      <c r="S529">
        <f>Table1[[#This Row],[Gross_Sales]]*Table1[[#This Row],[Discount_Rate]]</f>
        <v>347.25</v>
      </c>
      <c r="T529">
        <f>Table1[[#This Row],[Gross_Sales]]-Table1[[#This Row],[Discount_Amount]]</f>
        <v>6597.75</v>
      </c>
      <c r="U529">
        <f>VLOOKUP(Table1[[#This Row],[Category]],REF_Cost!$A$1:$B$6,2,FALSE)*Table1[[#This Row],[Quantity]]</f>
        <v>900</v>
      </c>
      <c r="V529">
        <f>Table1[[#This Row],[Net_Sales]]-Table1[[#This Row],[Total_Cost]]</f>
        <v>5697.75</v>
      </c>
      <c r="W529" t="str">
        <f>TEXT(Table1[[#This Row],[Order_Date]],"mmm")</f>
        <v>Aug</v>
      </c>
      <c r="X529">
        <f>ROUNDUP(MONTH(Table1[[#This Row],[Order_Date]])/3,0)</f>
        <v>3</v>
      </c>
      <c r="Y529">
        <f>YEAR(Table1[[#This Row],[Order_Date]])</f>
        <v>2024</v>
      </c>
    </row>
    <row r="530" spans="1:25" x14ac:dyDescent="0.25">
      <c r="A530" t="s">
        <v>2190</v>
      </c>
      <c r="B530" t="s">
        <v>2191</v>
      </c>
      <c r="C530" t="s">
        <v>2192</v>
      </c>
      <c r="D530" t="s">
        <v>2193</v>
      </c>
      <c r="E530" t="s">
        <v>64</v>
      </c>
      <c r="F530" t="s">
        <v>84</v>
      </c>
      <c r="G530" t="s">
        <v>412</v>
      </c>
      <c r="H530" t="s">
        <v>72</v>
      </c>
      <c r="I530" t="s">
        <v>33</v>
      </c>
      <c r="J530" t="s">
        <v>34</v>
      </c>
      <c r="K530">
        <v>2</v>
      </c>
      <c r="L530">
        <v>279.23</v>
      </c>
      <c r="M530" s="3">
        <v>0.1</v>
      </c>
      <c r="N530" t="str">
        <f>VLOOKUP(Table1[[#This Row],[Country]],REF_Country!$A$1:$D$11,2,FALSE)</f>
        <v>Southeast Asia</v>
      </c>
      <c r="O530" t="str">
        <f>VLOOKUP(Table1[[#This Row],[Country]],REF_Country!$A$1:$D$11,3,FALSE)</f>
        <v>ID</v>
      </c>
      <c r="P530">
        <f>VLOOKUP(Table1[[#This Row],[Country]],REF_Country!$A$1:$D$11,4,FALSE)</f>
        <v>0.11</v>
      </c>
      <c r="Q530">
        <f>VLOOKUP(Table1[[#This Row],[Category]],REF_Target!$A$1:$E$6,2,FALSE)</f>
        <v>30000</v>
      </c>
      <c r="R530">
        <f>Table1[[#This Row],[Quantity]]*Table1[[#This Row],[Unit_Price]]</f>
        <v>558.46</v>
      </c>
      <c r="S530">
        <f>Table1[[#This Row],[Gross_Sales]]*Table1[[#This Row],[Discount_Rate]]</f>
        <v>55.846000000000004</v>
      </c>
      <c r="T530">
        <f>Table1[[#This Row],[Gross_Sales]]-Table1[[#This Row],[Discount_Amount]]</f>
        <v>502.61400000000003</v>
      </c>
      <c r="U530">
        <f>VLOOKUP(Table1[[#This Row],[Category]],REF_Cost!$A$1:$B$6,2,FALSE)*Table1[[#This Row],[Quantity]]</f>
        <v>400</v>
      </c>
      <c r="V530">
        <f>Table1[[#This Row],[Net_Sales]]-Table1[[#This Row],[Total_Cost]]</f>
        <v>102.61400000000003</v>
      </c>
      <c r="W530" t="str">
        <f>TEXT(Table1[[#This Row],[Order_Date]],"mmm")</f>
        <v>Jul</v>
      </c>
      <c r="X530">
        <f>ROUNDUP(MONTH(Table1[[#This Row],[Order_Date]])/3,0)</f>
        <v>3</v>
      </c>
      <c r="Y530">
        <f>YEAR(Table1[[#This Row],[Order_Date]])</f>
        <v>2024</v>
      </c>
    </row>
    <row r="531" spans="1:25" x14ac:dyDescent="0.25">
      <c r="A531" t="s">
        <v>2194</v>
      </c>
      <c r="B531" t="s">
        <v>2195</v>
      </c>
      <c r="C531" t="s">
        <v>2196</v>
      </c>
      <c r="D531" t="s">
        <v>2197</v>
      </c>
      <c r="E531" t="s">
        <v>48</v>
      </c>
      <c r="F531" t="s">
        <v>40</v>
      </c>
      <c r="G531" t="s">
        <v>565</v>
      </c>
      <c r="H531" t="s">
        <v>58</v>
      </c>
      <c r="I531" t="s">
        <v>51</v>
      </c>
      <c r="J531" t="s">
        <v>126</v>
      </c>
      <c r="K531">
        <v>2</v>
      </c>
      <c r="L531">
        <v>339.3</v>
      </c>
      <c r="M531" s="3">
        <v>0.1</v>
      </c>
      <c r="N531" t="str">
        <f>VLOOKUP(Table1[[#This Row],[Country]],REF_Country!$A$1:$D$11,2,FALSE)</f>
        <v>Southeast Asia</v>
      </c>
      <c r="O531" t="str">
        <f>VLOOKUP(Table1[[#This Row],[Country]],REF_Country!$A$1:$D$11,3,FALSE)</f>
        <v>SG</v>
      </c>
      <c r="P531">
        <f>VLOOKUP(Table1[[#This Row],[Country]],REF_Country!$A$1:$D$11,4,FALSE)</f>
        <v>7.0000000000000007E-2</v>
      </c>
      <c r="Q531">
        <f>VLOOKUP(Table1[[#This Row],[Category]],REF_Target!$A$1:$E$6,2,FALSE)</f>
        <v>45000</v>
      </c>
      <c r="R531">
        <f>Table1[[#This Row],[Quantity]]*Table1[[#This Row],[Unit_Price]]</f>
        <v>678.6</v>
      </c>
      <c r="S531">
        <f>Table1[[#This Row],[Gross_Sales]]*Table1[[#This Row],[Discount_Rate]]</f>
        <v>67.86</v>
      </c>
      <c r="T531">
        <f>Table1[[#This Row],[Gross_Sales]]-Table1[[#This Row],[Discount_Amount]]</f>
        <v>610.74</v>
      </c>
      <c r="U531">
        <f>VLOOKUP(Table1[[#This Row],[Category]],REF_Cost!$A$1:$B$6,2,FALSE)*Table1[[#This Row],[Quantity]]</f>
        <v>160</v>
      </c>
      <c r="V531">
        <f>Table1[[#This Row],[Net_Sales]]-Table1[[#This Row],[Total_Cost]]</f>
        <v>450.74</v>
      </c>
      <c r="W531" t="str">
        <f>TEXT(Table1[[#This Row],[Order_Date]],"mmm")</f>
        <v>Nov</v>
      </c>
      <c r="X531">
        <f>ROUNDUP(MONTH(Table1[[#This Row],[Order_Date]])/3,0)</f>
        <v>4</v>
      </c>
      <c r="Y531">
        <f>YEAR(Table1[[#This Row],[Order_Date]])</f>
        <v>2024</v>
      </c>
    </row>
    <row r="532" spans="1:25" x14ac:dyDescent="0.25">
      <c r="A532" t="s">
        <v>2198</v>
      </c>
      <c r="B532" t="s">
        <v>2199</v>
      </c>
      <c r="C532" t="s">
        <v>2200</v>
      </c>
      <c r="D532" t="s">
        <v>2201</v>
      </c>
      <c r="E532" t="s">
        <v>29</v>
      </c>
      <c r="F532" t="s">
        <v>49</v>
      </c>
      <c r="G532" t="s">
        <v>117</v>
      </c>
      <c r="H532" t="s">
        <v>32</v>
      </c>
      <c r="I532" t="s">
        <v>51</v>
      </c>
      <c r="J532" t="s">
        <v>34</v>
      </c>
      <c r="K532">
        <v>3</v>
      </c>
      <c r="L532">
        <v>1346.32</v>
      </c>
      <c r="M532" s="3">
        <v>0.2</v>
      </c>
      <c r="N532" t="str">
        <f>VLOOKUP(Table1[[#This Row],[Country]],REF_Country!$A$1:$D$11,2,FALSE)</f>
        <v>Southeast Asia</v>
      </c>
      <c r="O532" t="str">
        <f>VLOOKUP(Table1[[#This Row],[Country]],REF_Country!$A$1:$D$11,3,FALSE)</f>
        <v>VN</v>
      </c>
      <c r="P532">
        <f>VLOOKUP(Table1[[#This Row],[Country]],REF_Country!$A$1:$D$11,4,FALSE)</f>
        <v>0.1</v>
      </c>
      <c r="Q532">
        <f>VLOOKUP(Table1[[#This Row],[Category]],REF_Target!$A$1:$E$6,2,FALSE)</f>
        <v>35000</v>
      </c>
      <c r="R532">
        <f>Table1[[#This Row],[Quantity]]*Table1[[#This Row],[Unit_Price]]</f>
        <v>4038.96</v>
      </c>
      <c r="S532">
        <f>Table1[[#This Row],[Gross_Sales]]*Table1[[#This Row],[Discount_Rate]]</f>
        <v>807.79200000000003</v>
      </c>
      <c r="T532">
        <f>Table1[[#This Row],[Gross_Sales]]-Table1[[#This Row],[Discount_Amount]]</f>
        <v>3231.1680000000001</v>
      </c>
      <c r="U532">
        <f>VLOOKUP(Table1[[#This Row],[Category]],REF_Cost!$A$1:$B$6,2,FALSE)*Table1[[#This Row],[Quantity]]</f>
        <v>450</v>
      </c>
      <c r="V532">
        <f>Table1[[#This Row],[Net_Sales]]-Table1[[#This Row],[Total_Cost]]</f>
        <v>2781.1680000000001</v>
      </c>
      <c r="W532" t="str">
        <f>TEXT(Table1[[#This Row],[Order_Date]],"mmm")</f>
        <v>Feb</v>
      </c>
      <c r="X532">
        <f>ROUNDUP(MONTH(Table1[[#This Row],[Order_Date]])/3,0)</f>
        <v>1</v>
      </c>
      <c r="Y532">
        <f>YEAR(Table1[[#This Row],[Order_Date]])</f>
        <v>2024</v>
      </c>
    </row>
    <row r="533" spans="1:25" x14ac:dyDescent="0.25">
      <c r="A533" t="s">
        <v>2202</v>
      </c>
      <c r="B533" t="s">
        <v>2203</v>
      </c>
      <c r="C533" t="s">
        <v>2204</v>
      </c>
      <c r="D533" t="s">
        <v>2205</v>
      </c>
      <c r="E533" t="s">
        <v>149</v>
      </c>
      <c r="F533" t="s">
        <v>40</v>
      </c>
      <c r="G533" t="s">
        <v>144</v>
      </c>
      <c r="H533" t="s">
        <v>42</v>
      </c>
      <c r="I533" t="s">
        <v>96</v>
      </c>
      <c r="J533" t="s">
        <v>126</v>
      </c>
      <c r="K533">
        <v>8</v>
      </c>
      <c r="L533">
        <v>780.34</v>
      </c>
      <c r="M533" s="3">
        <v>0.1</v>
      </c>
      <c r="N533" t="str">
        <f>VLOOKUP(Table1[[#This Row],[Country]],REF_Country!$A$1:$D$11,2,FALSE)</f>
        <v>East Asia</v>
      </c>
      <c r="O533" t="str">
        <f>VLOOKUP(Table1[[#This Row],[Country]],REF_Country!$A$1:$D$11,3,FALSE)</f>
        <v>JP</v>
      </c>
      <c r="P533">
        <f>VLOOKUP(Table1[[#This Row],[Country]],REF_Country!$A$1:$D$11,4,FALSE)</f>
        <v>0.1</v>
      </c>
      <c r="Q533">
        <f>VLOOKUP(Table1[[#This Row],[Category]],REF_Target!$A$1:$E$6,2,FALSE)</f>
        <v>45000</v>
      </c>
      <c r="R533">
        <f>Table1[[#This Row],[Quantity]]*Table1[[#This Row],[Unit_Price]]</f>
        <v>6242.72</v>
      </c>
      <c r="S533">
        <f>Table1[[#This Row],[Gross_Sales]]*Table1[[#This Row],[Discount_Rate]]</f>
        <v>624.27200000000005</v>
      </c>
      <c r="T533">
        <f>Table1[[#This Row],[Gross_Sales]]-Table1[[#This Row],[Discount_Amount]]</f>
        <v>5618.4480000000003</v>
      </c>
      <c r="U533">
        <f>VLOOKUP(Table1[[#This Row],[Category]],REF_Cost!$A$1:$B$6,2,FALSE)*Table1[[#This Row],[Quantity]]</f>
        <v>640</v>
      </c>
      <c r="V533">
        <f>Table1[[#This Row],[Net_Sales]]-Table1[[#This Row],[Total_Cost]]</f>
        <v>4978.4480000000003</v>
      </c>
      <c r="W533" t="str">
        <f>TEXT(Table1[[#This Row],[Order_Date]],"mmm")</f>
        <v>Mar</v>
      </c>
      <c r="X533">
        <f>ROUNDUP(MONTH(Table1[[#This Row],[Order_Date]])/3,0)</f>
        <v>1</v>
      </c>
      <c r="Y533">
        <f>YEAR(Table1[[#This Row],[Order_Date]])</f>
        <v>2024</v>
      </c>
    </row>
    <row r="534" spans="1:25" x14ac:dyDescent="0.25">
      <c r="A534" t="s">
        <v>2206</v>
      </c>
      <c r="B534" t="s">
        <v>2207</v>
      </c>
      <c r="C534" t="s">
        <v>2208</v>
      </c>
      <c r="D534" t="s">
        <v>2209</v>
      </c>
      <c r="E534" t="s">
        <v>200</v>
      </c>
      <c r="F534" t="s">
        <v>56</v>
      </c>
      <c r="G534" t="s">
        <v>111</v>
      </c>
      <c r="H534" t="s">
        <v>58</v>
      </c>
      <c r="I534" t="s">
        <v>96</v>
      </c>
      <c r="J534" t="s">
        <v>126</v>
      </c>
      <c r="K534">
        <v>6</v>
      </c>
      <c r="L534">
        <v>809.93</v>
      </c>
      <c r="M534" s="3">
        <v>0.05</v>
      </c>
      <c r="N534" t="str">
        <f>VLOOKUP(Table1[[#This Row],[Country]],REF_Country!$A$1:$D$11,2,FALSE)</f>
        <v>East Asia</v>
      </c>
      <c r="O534" t="str">
        <f>VLOOKUP(Table1[[#This Row],[Country]],REF_Country!$A$1:$D$11,3,FALSE)</f>
        <v>KR</v>
      </c>
      <c r="P534">
        <f>VLOOKUP(Table1[[#This Row],[Country]],REF_Country!$A$1:$D$11,4,FALSE)</f>
        <v>0.1</v>
      </c>
      <c r="Q534">
        <f>VLOOKUP(Table1[[#This Row],[Category]],REF_Target!$A$1:$E$6,2,FALSE)</f>
        <v>50000</v>
      </c>
      <c r="R534">
        <f>Table1[[#This Row],[Quantity]]*Table1[[#This Row],[Unit_Price]]</f>
        <v>4859.58</v>
      </c>
      <c r="S534">
        <f>Table1[[#This Row],[Gross_Sales]]*Table1[[#This Row],[Discount_Rate]]</f>
        <v>242.97900000000001</v>
      </c>
      <c r="T534">
        <f>Table1[[#This Row],[Gross_Sales]]-Table1[[#This Row],[Discount_Amount]]</f>
        <v>4616.6009999999997</v>
      </c>
      <c r="U534">
        <f>VLOOKUP(Table1[[#This Row],[Category]],REF_Cost!$A$1:$B$6,2,FALSE)*Table1[[#This Row],[Quantity]]</f>
        <v>2700</v>
      </c>
      <c r="V534">
        <f>Table1[[#This Row],[Net_Sales]]-Table1[[#This Row],[Total_Cost]]</f>
        <v>1916.6009999999997</v>
      </c>
      <c r="W534" t="str">
        <f>TEXT(Table1[[#This Row],[Order_Date]],"mmm")</f>
        <v>Apr</v>
      </c>
      <c r="X534">
        <f>ROUNDUP(MONTH(Table1[[#This Row],[Order_Date]])/3,0)</f>
        <v>2</v>
      </c>
      <c r="Y534">
        <f>YEAR(Table1[[#This Row],[Order_Date]])</f>
        <v>2024</v>
      </c>
    </row>
    <row r="535" spans="1:25" x14ac:dyDescent="0.25">
      <c r="A535" t="s">
        <v>2210</v>
      </c>
      <c r="B535" t="s">
        <v>2211</v>
      </c>
      <c r="C535" t="s">
        <v>2212</v>
      </c>
      <c r="D535" t="s">
        <v>2213</v>
      </c>
      <c r="E535" t="s">
        <v>78</v>
      </c>
      <c r="F535" t="s">
        <v>84</v>
      </c>
      <c r="G535" t="s">
        <v>205</v>
      </c>
      <c r="H535" t="s">
        <v>72</v>
      </c>
      <c r="I535" t="s">
        <v>43</v>
      </c>
      <c r="J535" t="s">
        <v>126</v>
      </c>
      <c r="K535">
        <v>5</v>
      </c>
      <c r="L535">
        <v>1264.1500000000001</v>
      </c>
      <c r="M535" s="3">
        <v>0.2</v>
      </c>
      <c r="N535" t="str">
        <f>VLOOKUP(Table1[[#This Row],[Country]],REF_Country!$A$1:$D$11,2,FALSE)</f>
        <v>Oceania</v>
      </c>
      <c r="O535" t="str">
        <f>VLOOKUP(Table1[[#This Row],[Country]],REF_Country!$A$1:$D$11,3,FALSE)</f>
        <v>AU</v>
      </c>
      <c r="P535">
        <f>VLOOKUP(Table1[[#This Row],[Country]],REF_Country!$A$1:$D$11,4,FALSE)</f>
        <v>0.1</v>
      </c>
      <c r="Q535">
        <f>VLOOKUP(Table1[[#This Row],[Category]],REF_Target!$A$1:$E$6,2,FALSE)</f>
        <v>30000</v>
      </c>
      <c r="R535">
        <f>Table1[[#This Row],[Quantity]]*Table1[[#This Row],[Unit_Price]]</f>
        <v>6320.75</v>
      </c>
      <c r="S535">
        <f>Table1[[#This Row],[Gross_Sales]]*Table1[[#This Row],[Discount_Rate]]</f>
        <v>1264.1500000000001</v>
      </c>
      <c r="T535">
        <f>Table1[[#This Row],[Gross_Sales]]-Table1[[#This Row],[Discount_Amount]]</f>
        <v>5056.6000000000004</v>
      </c>
      <c r="U535">
        <f>VLOOKUP(Table1[[#This Row],[Category]],REF_Cost!$A$1:$B$6,2,FALSE)*Table1[[#This Row],[Quantity]]</f>
        <v>1000</v>
      </c>
      <c r="V535">
        <f>Table1[[#This Row],[Net_Sales]]-Table1[[#This Row],[Total_Cost]]</f>
        <v>4056.6000000000004</v>
      </c>
      <c r="W535" t="str">
        <f>TEXT(Table1[[#This Row],[Order_Date]],"mmm")</f>
        <v>Nov</v>
      </c>
      <c r="X535">
        <f>ROUNDUP(MONTH(Table1[[#This Row],[Order_Date]])/3,0)</f>
        <v>4</v>
      </c>
      <c r="Y535">
        <f>YEAR(Table1[[#This Row],[Order_Date]])</f>
        <v>2024</v>
      </c>
    </row>
    <row r="536" spans="1:25" x14ac:dyDescent="0.25">
      <c r="A536" t="s">
        <v>2214</v>
      </c>
      <c r="B536" t="s">
        <v>2215</v>
      </c>
      <c r="C536" t="s">
        <v>2216</v>
      </c>
      <c r="D536" t="s">
        <v>2217</v>
      </c>
      <c r="E536" t="s">
        <v>149</v>
      </c>
      <c r="F536" t="s">
        <v>56</v>
      </c>
      <c r="G536" t="s">
        <v>190</v>
      </c>
      <c r="H536" t="s">
        <v>72</v>
      </c>
      <c r="I536" t="s">
        <v>43</v>
      </c>
      <c r="J536" t="s">
        <v>126</v>
      </c>
      <c r="K536">
        <v>8</v>
      </c>
      <c r="L536">
        <v>737.46</v>
      </c>
      <c r="M536" s="3">
        <v>0.2</v>
      </c>
      <c r="N536" t="str">
        <f>VLOOKUP(Table1[[#This Row],[Country]],REF_Country!$A$1:$D$11,2,FALSE)</f>
        <v>East Asia</v>
      </c>
      <c r="O536" t="str">
        <f>VLOOKUP(Table1[[#This Row],[Country]],REF_Country!$A$1:$D$11,3,FALSE)</f>
        <v>JP</v>
      </c>
      <c r="P536">
        <f>VLOOKUP(Table1[[#This Row],[Country]],REF_Country!$A$1:$D$11,4,FALSE)</f>
        <v>0.1</v>
      </c>
      <c r="Q536">
        <f>VLOOKUP(Table1[[#This Row],[Category]],REF_Target!$A$1:$E$6,2,FALSE)</f>
        <v>50000</v>
      </c>
      <c r="R536">
        <f>Table1[[#This Row],[Quantity]]*Table1[[#This Row],[Unit_Price]]</f>
        <v>5899.68</v>
      </c>
      <c r="S536">
        <f>Table1[[#This Row],[Gross_Sales]]*Table1[[#This Row],[Discount_Rate]]</f>
        <v>1179.9360000000001</v>
      </c>
      <c r="T536">
        <f>Table1[[#This Row],[Gross_Sales]]-Table1[[#This Row],[Discount_Amount]]</f>
        <v>4719.7440000000006</v>
      </c>
      <c r="U536">
        <f>VLOOKUP(Table1[[#This Row],[Category]],REF_Cost!$A$1:$B$6,2,FALSE)*Table1[[#This Row],[Quantity]]</f>
        <v>3600</v>
      </c>
      <c r="V536">
        <f>Table1[[#This Row],[Net_Sales]]-Table1[[#This Row],[Total_Cost]]</f>
        <v>1119.7440000000006</v>
      </c>
      <c r="W536" t="str">
        <f>TEXT(Table1[[#This Row],[Order_Date]],"mmm")</f>
        <v>Dec</v>
      </c>
      <c r="X536">
        <f>ROUNDUP(MONTH(Table1[[#This Row],[Order_Date]])/3,0)</f>
        <v>4</v>
      </c>
      <c r="Y536">
        <f>YEAR(Table1[[#This Row],[Order_Date]])</f>
        <v>2024</v>
      </c>
    </row>
    <row r="537" spans="1:25" x14ac:dyDescent="0.25">
      <c r="A537" t="s">
        <v>2218</v>
      </c>
      <c r="B537" t="s">
        <v>2219</v>
      </c>
      <c r="C537" t="s">
        <v>2220</v>
      </c>
      <c r="D537" t="s">
        <v>2221</v>
      </c>
      <c r="E537" t="s">
        <v>39</v>
      </c>
      <c r="F537" t="s">
        <v>49</v>
      </c>
      <c r="G537" t="s">
        <v>226</v>
      </c>
      <c r="H537" t="s">
        <v>58</v>
      </c>
      <c r="I537" t="s">
        <v>96</v>
      </c>
      <c r="J537" t="s">
        <v>34</v>
      </c>
      <c r="K537">
        <v>9</v>
      </c>
      <c r="L537">
        <v>108.54</v>
      </c>
      <c r="M537" s="3">
        <v>0.2</v>
      </c>
      <c r="N537" t="str">
        <f>VLOOKUP(Table1[[#This Row],[Country]],REF_Country!$A$1:$D$11,2,FALSE)</f>
        <v>Southeast Asia</v>
      </c>
      <c r="O537" t="str">
        <f>VLOOKUP(Table1[[#This Row],[Country]],REF_Country!$A$1:$D$11,3,FALSE)</f>
        <v>TH</v>
      </c>
      <c r="P537">
        <f>VLOOKUP(Table1[[#This Row],[Country]],REF_Country!$A$1:$D$11,4,FALSE)</f>
        <v>7.0000000000000007E-2</v>
      </c>
      <c r="Q537">
        <f>VLOOKUP(Table1[[#This Row],[Category]],REF_Target!$A$1:$E$6,2,FALSE)</f>
        <v>35000</v>
      </c>
      <c r="R537">
        <f>Table1[[#This Row],[Quantity]]*Table1[[#This Row],[Unit_Price]]</f>
        <v>976.86</v>
      </c>
      <c r="S537">
        <f>Table1[[#This Row],[Gross_Sales]]*Table1[[#This Row],[Discount_Rate]]</f>
        <v>195.37200000000001</v>
      </c>
      <c r="T537">
        <f>Table1[[#This Row],[Gross_Sales]]-Table1[[#This Row],[Discount_Amount]]</f>
        <v>781.48800000000006</v>
      </c>
      <c r="U537">
        <f>VLOOKUP(Table1[[#This Row],[Category]],REF_Cost!$A$1:$B$6,2,FALSE)*Table1[[#This Row],[Quantity]]</f>
        <v>1350</v>
      </c>
      <c r="V537">
        <f>Table1[[#This Row],[Net_Sales]]-Table1[[#This Row],[Total_Cost]]</f>
        <v>-568.51199999999994</v>
      </c>
      <c r="W537" t="str">
        <f>TEXT(Table1[[#This Row],[Order_Date]],"mmm")</f>
        <v>Jan</v>
      </c>
      <c r="X537">
        <f>ROUNDUP(MONTH(Table1[[#This Row],[Order_Date]])/3,0)</f>
        <v>1</v>
      </c>
      <c r="Y537">
        <f>YEAR(Table1[[#This Row],[Order_Date]])</f>
        <v>2024</v>
      </c>
    </row>
    <row r="538" spans="1:25" x14ac:dyDescent="0.25">
      <c r="A538" t="s">
        <v>2222</v>
      </c>
      <c r="B538" t="s">
        <v>2223</v>
      </c>
      <c r="C538" t="s">
        <v>2224</v>
      </c>
      <c r="D538" t="s">
        <v>2225</v>
      </c>
      <c r="E538" t="s">
        <v>71</v>
      </c>
      <c r="F538" t="s">
        <v>56</v>
      </c>
      <c r="G538" t="s">
        <v>57</v>
      </c>
      <c r="H538" t="s">
        <v>72</v>
      </c>
      <c r="I538" t="s">
        <v>33</v>
      </c>
      <c r="J538" t="s">
        <v>73</v>
      </c>
      <c r="K538">
        <v>9</v>
      </c>
      <c r="L538">
        <v>190.51</v>
      </c>
      <c r="M538" s="3">
        <v>0.1</v>
      </c>
      <c r="N538" t="str">
        <f>VLOOKUP(Table1[[#This Row],[Country]],REF_Country!$A$1:$D$11,2,FALSE)</f>
        <v>Southeast Asia</v>
      </c>
      <c r="O538" t="str">
        <f>VLOOKUP(Table1[[#This Row],[Country]],REF_Country!$A$1:$D$11,3,FALSE)</f>
        <v>PH</v>
      </c>
      <c r="P538">
        <f>VLOOKUP(Table1[[#This Row],[Country]],REF_Country!$A$1:$D$11,4,FALSE)</f>
        <v>0.12</v>
      </c>
      <c r="Q538">
        <f>VLOOKUP(Table1[[#This Row],[Category]],REF_Target!$A$1:$E$6,2,FALSE)</f>
        <v>50000</v>
      </c>
      <c r="R538">
        <f>Table1[[#This Row],[Quantity]]*Table1[[#This Row],[Unit_Price]]</f>
        <v>1714.59</v>
      </c>
      <c r="S538">
        <f>Table1[[#This Row],[Gross_Sales]]*Table1[[#This Row],[Discount_Rate]]</f>
        <v>171.459</v>
      </c>
      <c r="T538">
        <f>Table1[[#This Row],[Gross_Sales]]-Table1[[#This Row],[Discount_Amount]]</f>
        <v>1543.1309999999999</v>
      </c>
      <c r="U538">
        <f>VLOOKUP(Table1[[#This Row],[Category]],REF_Cost!$A$1:$B$6,2,FALSE)*Table1[[#This Row],[Quantity]]</f>
        <v>4050</v>
      </c>
      <c r="V538">
        <f>Table1[[#This Row],[Net_Sales]]-Table1[[#This Row],[Total_Cost]]</f>
        <v>-2506.8690000000001</v>
      </c>
      <c r="W538" t="str">
        <f>TEXT(Table1[[#This Row],[Order_Date]],"mmm")</f>
        <v>Jan</v>
      </c>
      <c r="X538">
        <f>ROUNDUP(MONTH(Table1[[#This Row],[Order_Date]])/3,0)</f>
        <v>1</v>
      </c>
      <c r="Y538">
        <f>YEAR(Table1[[#This Row],[Order_Date]])</f>
        <v>2024</v>
      </c>
    </row>
    <row r="539" spans="1:25" x14ac:dyDescent="0.25">
      <c r="A539" t="s">
        <v>2226</v>
      </c>
      <c r="B539" t="s">
        <v>2227</v>
      </c>
      <c r="C539" t="s">
        <v>2228</v>
      </c>
      <c r="D539" t="s">
        <v>2229</v>
      </c>
      <c r="E539" t="s">
        <v>200</v>
      </c>
      <c r="F539" t="s">
        <v>56</v>
      </c>
      <c r="G539" t="s">
        <v>57</v>
      </c>
      <c r="H539" t="s">
        <v>72</v>
      </c>
      <c r="I539" t="s">
        <v>43</v>
      </c>
      <c r="J539" t="s">
        <v>126</v>
      </c>
      <c r="K539">
        <v>10</v>
      </c>
      <c r="L539">
        <v>1362.16</v>
      </c>
      <c r="M539" s="3">
        <v>0</v>
      </c>
      <c r="N539" t="str">
        <f>VLOOKUP(Table1[[#This Row],[Country]],REF_Country!$A$1:$D$11,2,FALSE)</f>
        <v>East Asia</v>
      </c>
      <c r="O539" t="str">
        <f>VLOOKUP(Table1[[#This Row],[Country]],REF_Country!$A$1:$D$11,3,FALSE)</f>
        <v>KR</v>
      </c>
      <c r="P539">
        <f>VLOOKUP(Table1[[#This Row],[Country]],REF_Country!$A$1:$D$11,4,FALSE)</f>
        <v>0.1</v>
      </c>
      <c r="Q539">
        <f>VLOOKUP(Table1[[#This Row],[Category]],REF_Target!$A$1:$E$6,2,FALSE)</f>
        <v>50000</v>
      </c>
      <c r="R539">
        <f>Table1[[#This Row],[Quantity]]*Table1[[#This Row],[Unit_Price]]</f>
        <v>13621.6</v>
      </c>
      <c r="S539">
        <f>Table1[[#This Row],[Gross_Sales]]*Table1[[#This Row],[Discount_Rate]]</f>
        <v>0</v>
      </c>
      <c r="T539">
        <f>Table1[[#This Row],[Gross_Sales]]-Table1[[#This Row],[Discount_Amount]]</f>
        <v>13621.6</v>
      </c>
      <c r="U539">
        <f>VLOOKUP(Table1[[#This Row],[Category]],REF_Cost!$A$1:$B$6,2,FALSE)*Table1[[#This Row],[Quantity]]</f>
        <v>4500</v>
      </c>
      <c r="V539">
        <f>Table1[[#This Row],[Net_Sales]]-Table1[[#This Row],[Total_Cost]]</f>
        <v>9121.6</v>
      </c>
      <c r="W539" t="str">
        <f>TEXT(Table1[[#This Row],[Order_Date]],"mmm")</f>
        <v>Jan</v>
      </c>
      <c r="X539">
        <f>ROUNDUP(MONTH(Table1[[#This Row],[Order_Date]])/3,0)</f>
        <v>1</v>
      </c>
      <c r="Y539">
        <f>YEAR(Table1[[#This Row],[Order_Date]])</f>
        <v>2024</v>
      </c>
    </row>
    <row r="540" spans="1:25" x14ac:dyDescent="0.25">
      <c r="A540" t="s">
        <v>2230</v>
      </c>
      <c r="B540" t="s">
        <v>2231</v>
      </c>
      <c r="C540" t="s">
        <v>2232</v>
      </c>
      <c r="D540" t="s">
        <v>2233</v>
      </c>
      <c r="E540" t="s">
        <v>29</v>
      </c>
      <c r="F540" t="s">
        <v>56</v>
      </c>
      <c r="G540" t="s">
        <v>57</v>
      </c>
      <c r="H540" t="s">
        <v>32</v>
      </c>
      <c r="I540" t="s">
        <v>51</v>
      </c>
      <c r="J540" t="s">
        <v>34</v>
      </c>
      <c r="K540">
        <v>10</v>
      </c>
      <c r="L540">
        <v>922.67</v>
      </c>
      <c r="M540" s="3">
        <v>0</v>
      </c>
      <c r="N540" t="str">
        <f>VLOOKUP(Table1[[#This Row],[Country]],REF_Country!$A$1:$D$11,2,FALSE)</f>
        <v>Southeast Asia</v>
      </c>
      <c r="O540" t="str">
        <f>VLOOKUP(Table1[[#This Row],[Country]],REF_Country!$A$1:$D$11,3,FALSE)</f>
        <v>VN</v>
      </c>
      <c r="P540">
        <f>VLOOKUP(Table1[[#This Row],[Country]],REF_Country!$A$1:$D$11,4,FALSE)</f>
        <v>0.1</v>
      </c>
      <c r="Q540">
        <f>VLOOKUP(Table1[[#This Row],[Category]],REF_Target!$A$1:$E$6,2,FALSE)</f>
        <v>50000</v>
      </c>
      <c r="R540">
        <f>Table1[[#This Row],[Quantity]]*Table1[[#This Row],[Unit_Price]]</f>
        <v>9226.6999999999989</v>
      </c>
      <c r="S540">
        <f>Table1[[#This Row],[Gross_Sales]]*Table1[[#This Row],[Discount_Rate]]</f>
        <v>0</v>
      </c>
      <c r="T540">
        <f>Table1[[#This Row],[Gross_Sales]]-Table1[[#This Row],[Discount_Amount]]</f>
        <v>9226.6999999999989</v>
      </c>
      <c r="U540">
        <f>VLOOKUP(Table1[[#This Row],[Category]],REF_Cost!$A$1:$B$6,2,FALSE)*Table1[[#This Row],[Quantity]]</f>
        <v>4500</v>
      </c>
      <c r="V540">
        <f>Table1[[#This Row],[Net_Sales]]-Table1[[#This Row],[Total_Cost]]</f>
        <v>4726.6999999999989</v>
      </c>
      <c r="W540" t="str">
        <f>TEXT(Table1[[#This Row],[Order_Date]],"mmm")</f>
        <v>Nov</v>
      </c>
      <c r="X540">
        <f>ROUNDUP(MONTH(Table1[[#This Row],[Order_Date]])/3,0)</f>
        <v>4</v>
      </c>
      <c r="Y540">
        <f>YEAR(Table1[[#This Row],[Order_Date]])</f>
        <v>2024</v>
      </c>
    </row>
    <row r="541" spans="1:25" x14ac:dyDescent="0.25">
      <c r="A541" t="s">
        <v>2234</v>
      </c>
      <c r="B541" t="s">
        <v>2235</v>
      </c>
      <c r="C541" t="s">
        <v>2236</v>
      </c>
      <c r="D541" t="s">
        <v>2237</v>
      </c>
      <c r="E541" t="s">
        <v>39</v>
      </c>
      <c r="F541" t="s">
        <v>49</v>
      </c>
      <c r="G541" t="s">
        <v>50</v>
      </c>
      <c r="H541" t="s">
        <v>32</v>
      </c>
      <c r="I541" t="s">
        <v>33</v>
      </c>
      <c r="J541" t="s">
        <v>73</v>
      </c>
      <c r="K541">
        <v>7</v>
      </c>
      <c r="L541">
        <v>1220.1099999999999</v>
      </c>
      <c r="M541" s="3">
        <v>0.05</v>
      </c>
      <c r="N541" t="str">
        <f>VLOOKUP(Table1[[#This Row],[Country]],REF_Country!$A$1:$D$11,2,FALSE)</f>
        <v>Southeast Asia</v>
      </c>
      <c r="O541" t="str">
        <f>VLOOKUP(Table1[[#This Row],[Country]],REF_Country!$A$1:$D$11,3,FALSE)</f>
        <v>TH</v>
      </c>
      <c r="P541">
        <f>VLOOKUP(Table1[[#This Row],[Country]],REF_Country!$A$1:$D$11,4,FALSE)</f>
        <v>7.0000000000000007E-2</v>
      </c>
      <c r="Q541">
        <f>VLOOKUP(Table1[[#This Row],[Category]],REF_Target!$A$1:$E$6,2,FALSE)</f>
        <v>35000</v>
      </c>
      <c r="R541">
        <f>Table1[[#This Row],[Quantity]]*Table1[[#This Row],[Unit_Price]]</f>
        <v>8540.7699999999986</v>
      </c>
      <c r="S541">
        <f>Table1[[#This Row],[Gross_Sales]]*Table1[[#This Row],[Discount_Rate]]</f>
        <v>427.03849999999994</v>
      </c>
      <c r="T541">
        <f>Table1[[#This Row],[Gross_Sales]]-Table1[[#This Row],[Discount_Amount]]</f>
        <v>8113.731499999999</v>
      </c>
      <c r="U541">
        <f>VLOOKUP(Table1[[#This Row],[Category]],REF_Cost!$A$1:$B$6,2,FALSE)*Table1[[#This Row],[Quantity]]</f>
        <v>1050</v>
      </c>
      <c r="V541">
        <f>Table1[[#This Row],[Net_Sales]]-Table1[[#This Row],[Total_Cost]]</f>
        <v>7063.731499999999</v>
      </c>
      <c r="W541" t="str">
        <f>TEXT(Table1[[#This Row],[Order_Date]],"mmm")</f>
        <v>Nov</v>
      </c>
      <c r="X541">
        <f>ROUNDUP(MONTH(Table1[[#This Row],[Order_Date]])/3,0)</f>
        <v>4</v>
      </c>
      <c r="Y541">
        <f>YEAR(Table1[[#This Row],[Order_Date]])</f>
        <v>2024</v>
      </c>
    </row>
    <row r="542" spans="1:25" x14ac:dyDescent="0.25">
      <c r="A542" t="s">
        <v>2238</v>
      </c>
      <c r="B542" t="s">
        <v>2239</v>
      </c>
      <c r="C542" t="s">
        <v>2240</v>
      </c>
      <c r="D542" t="s">
        <v>2241</v>
      </c>
      <c r="E542" t="s">
        <v>48</v>
      </c>
      <c r="F542" t="s">
        <v>84</v>
      </c>
      <c r="G542" t="s">
        <v>205</v>
      </c>
      <c r="H542" t="s">
        <v>72</v>
      </c>
      <c r="I542" t="s">
        <v>66</v>
      </c>
      <c r="J542" t="s">
        <v>73</v>
      </c>
      <c r="K542">
        <v>3</v>
      </c>
      <c r="L542">
        <v>194.31</v>
      </c>
      <c r="M542" s="3">
        <v>0.1</v>
      </c>
      <c r="N542" t="str">
        <f>VLOOKUP(Table1[[#This Row],[Country]],REF_Country!$A$1:$D$11,2,FALSE)</f>
        <v>Southeast Asia</v>
      </c>
      <c r="O542" t="str">
        <f>VLOOKUP(Table1[[#This Row],[Country]],REF_Country!$A$1:$D$11,3,FALSE)</f>
        <v>SG</v>
      </c>
      <c r="P542">
        <f>VLOOKUP(Table1[[#This Row],[Country]],REF_Country!$A$1:$D$11,4,FALSE)</f>
        <v>7.0000000000000007E-2</v>
      </c>
      <c r="Q542">
        <f>VLOOKUP(Table1[[#This Row],[Category]],REF_Target!$A$1:$E$6,2,FALSE)</f>
        <v>30000</v>
      </c>
      <c r="R542">
        <f>Table1[[#This Row],[Quantity]]*Table1[[#This Row],[Unit_Price]]</f>
        <v>582.93000000000006</v>
      </c>
      <c r="S542">
        <f>Table1[[#This Row],[Gross_Sales]]*Table1[[#This Row],[Discount_Rate]]</f>
        <v>58.293000000000006</v>
      </c>
      <c r="T542">
        <f>Table1[[#This Row],[Gross_Sales]]-Table1[[#This Row],[Discount_Amount]]</f>
        <v>524.63700000000006</v>
      </c>
      <c r="U542">
        <f>VLOOKUP(Table1[[#This Row],[Category]],REF_Cost!$A$1:$B$6,2,FALSE)*Table1[[#This Row],[Quantity]]</f>
        <v>600</v>
      </c>
      <c r="V542">
        <f>Table1[[#This Row],[Net_Sales]]-Table1[[#This Row],[Total_Cost]]</f>
        <v>-75.362999999999943</v>
      </c>
      <c r="W542" t="str">
        <f>TEXT(Table1[[#This Row],[Order_Date]],"mmm")</f>
        <v>Apr</v>
      </c>
      <c r="X542">
        <f>ROUNDUP(MONTH(Table1[[#This Row],[Order_Date]])/3,0)</f>
        <v>2</v>
      </c>
      <c r="Y542">
        <f>YEAR(Table1[[#This Row],[Order_Date]])</f>
        <v>2024</v>
      </c>
    </row>
    <row r="543" spans="1:25" x14ac:dyDescent="0.25">
      <c r="A543" t="s">
        <v>2242</v>
      </c>
      <c r="B543" t="s">
        <v>2243</v>
      </c>
      <c r="C543" t="s">
        <v>2244</v>
      </c>
      <c r="D543" t="s">
        <v>2245</v>
      </c>
      <c r="E543" t="s">
        <v>48</v>
      </c>
      <c r="F543" t="s">
        <v>56</v>
      </c>
      <c r="G543" t="s">
        <v>111</v>
      </c>
      <c r="H543" t="s">
        <v>42</v>
      </c>
      <c r="I543" t="s">
        <v>51</v>
      </c>
      <c r="J543" t="s">
        <v>126</v>
      </c>
      <c r="K543">
        <v>3</v>
      </c>
      <c r="L543">
        <v>573.54999999999995</v>
      </c>
      <c r="M543" s="3">
        <v>0</v>
      </c>
      <c r="N543" t="str">
        <f>VLOOKUP(Table1[[#This Row],[Country]],REF_Country!$A$1:$D$11,2,FALSE)</f>
        <v>Southeast Asia</v>
      </c>
      <c r="O543" t="str">
        <f>VLOOKUP(Table1[[#This Row],[Country]],REF_Country!$A$1:$D$11,3,FALSE)</f>
        <v>SG</v>
      </c>
      <c r="P543">
        <f>VLOOKUP(Table1[[#This Row],[Country]],REF_Country!$A$1:$D$11,4,FALSE)</f>
        <v>7.0000000000000007E-2</v>
      </c>
      <c r="Q543">
        <f>VLOOKUP(Table1[[#This Row],[Category]],REF_Target!$A$1:$E$6,2,FALSE)</f>
        <v>50000</v>
      </c>
      <c r="R543">
        <f>Table1[[#This Row],[Quantity]]*Table1[[#This Row],[Unit_Price]]</f>
        <v>1720.6499999999999</v>
      </c>
      <c r="S543">
        <f>Table1[[#This Row],[Gross_Sales]]*Table1[[#This Row],[Discount_Rate]]</f>
        <v>0</v>
      </c>
      <c r="T543">
        <f>Table1[[#This Row],[Gross_Sales]]-Table1[[#This Row],[Discount_Amount]]</f>
        <v>1720.6499999999999</v>
      </c>
      <c r="U543">
        <f>VLOOKUP(Table1[[#This Row],[Category]],REF_Cost!$A$1:$B$6,2,FALSE)*Table1[[#This Row],[Quantity]]</f>
        <v>1350</v>
      </c>
      <c r="V543">
        <f>Table1[[#This Row],[Net_Sales]]-Table1[[#This Row],[Total_Cost]]</f>
        <v>370.64999999999986</v>
      </c>
      <c r="W543" t="str">
        <f>TEXT(Table1[[#This Row],[Order_Date]],"mmm")</f>
        <v>May</v>
      </c>
      <c r="X543">
        <f>ROUNDUP(MONTH(Table1[[#This Row],[Order_Date]])/3,0)</f>
        <v>2</v>
      </c>
      <c r="Y543">
        <f>YEAR(Table1[[#This Row],[Order_Date]])</f>
        <v>2024</v>
      </c>
    </row>
    <row r="544" spans="1:25" x14ac:dyDescent="0.25">
      <c r="A544" t="s">
        <v>2246</v>
      </c>
      <c r="B544" t="s">
        <v>2247</v>
      </c>
      <c r="C544" t="s">
        <v>2248</v>
      </c>
      <c r="D544" t="s">
        <v>2249</v>
      </c>
      <c r="E544" t="s">
        <v>83</v>
      </c>
      <c r="F544" t="s">
        <v>84</v>
      </c>
      <c r="G544" t="s">
        <v>264</v>
      </c>
      <c r="H544" t="s">
        <v>72</v>
      </c>
      <c r="I544" t="s">
        <v>43</v>
      </c>
      <c r="J544" t="s">
        <v>73</v>
      </c>
      <c r="K544">
        <v>8</v>
      </c>
      <c r="L544">
        <v>1044.8499999999999</v>
      </c>
      <c r="M544" s="3">
        <v>0.2</v>
      </c>
      <c r="N544" t="str">
        <f>VLOOKUP(Table1[[#This Row],[Country]],REF_Country!$A$1:$D$11,2,FALSE)</f>
        <v>South Asia</v>
      </c>
      <c r="O544" t="str">
        <f>VLOOKUP(Table1[[#This Row],[Country]],REF_Country!$A$1:$D$11,3,FALSE)</f>
        <v>IN</v>
      </c>
      <c r="P544">
        <f>VLOOKUP(Table1[[#This Row],[Country]],REF_Country!$A$1:$D$11,4,FALSE)</f>
        <v>0.18</v>
      </c>
      <c r="Q544">
        <f>VLOOKUP(Table1[[#This Row],[Category]],REF_Target!$A$1:$E$6,2,FALSE)</f>
        <v>30000</v>
      </c>
      <c r="R544">
        <f>Table1[[#This Row],[Quantity]]*Table1[[#This Row],[Unit_Price]]</f>
        <v>8358.7999999999993</v>
      </c>
      <c r="S544">
        <f>Table1[[#This Row],[Gross_Sales]]*Table1[[#This Row],[Discount_Rate]]</f>
        <v>1671.76</v>
      </c>
      <c r="T544">
        <f>Table1[[#This Row],[Gross_Sales]]-Table1[[#This Row],[Discount_Amount]]</f>
        <v>6687.0399999999991</v>
      </c>
      <c r="U544">
        <f>VLOOKUP(Table1[[#This Row],[Category]],REF_Cost!$A$1:$B$6,2,FALSE)*Table1[[#This Row],[Quantity]]</f>
        <v>1600</v>
      </c>
      <c r="V544">
        <f>Table1[[#This Row],[Net_Sales]]-Table1[[#This Row],[Total_Cost]]</f>
        <v>5087.0399999999991</v>
      </c>
      <c r="W544" t="str">
        <f>TEXT(Table1[[#This Row],[Order_Date]],"mmm")</f>
        <v>Apr</v>
      </c>
      <c r="X544">
        <f>ROUNDUP(MONTH(Table1[[#This Row],[Order_Date]])/3,0)</f>
        <v>2</v>
      </c>
      <c r="Y544">
        <f>YEAR(Table1[[#This Row],[Order_Date]])</f>
        <v>2024</v>
      </c>
    </row>
    <row r="545" spans="1:25" x14ac:dyDescent="0.25">
      <c r="A545" t="s">
        <v>2250</v>
      </c>
      <c r="B545" t="s">
        <v>2251</v>
      </c>
      <c r="C545" t="s">
        <v>2252</v>
      </c>
      <c r="D545" t="s">
        <v>2253</v>
      </c>
      <c r="E545" t="s">
        <v>149</v>
      </c>
      <c r="F545" t="s">
        <v>30</v>
      </c>
      <c r="G545" t="s">
        <v>31</v>
      </c>
      <c r="H545" t="s">
        <v>72</v>
      </c>
      <c r="I545" t="s">
        <v>96</v>
      </c>
      <c r="J545" t="s">
        <v>126</v>
      </c>
      <c r="K545">
        <v>1</v>
      </c>
      <c r="L545">
        <v>921.65</v>
      </c>
      <c r="M545" s="3">
        <v>0.15</v>
      </c>
      <c r="N545" t="str">
        <f>VLOOKUP(Table1[[#This Row],[Country]],REF_Country!$A$1:$D$11,2,FALSE)</f>
        <v>East Asia</v>
      </c>
      <c r="O545" t="str">
        <f>VLOOKUP(Table1[[#This Row],[Country]],REF_Country!$A$1:$D$11,3,FALSE)</f>
        <v>JP</v>
      </c>
      <c r="P545">
        <f>VLOOKUP(Table1[[#This Row],[Country]],REF_Country!$A$1:$D$11,4,FALSE)</f>
        <v>0.1</v>
      </c>
      <c r="Q545">
        <f>VLOOKUP(Table1[[#This Row],[Category]],REF_Target!$A$1:$E$6,2,FALSE)</f>
        <v>40000</v>
      </c>
      <c r="R545">
        <f>Table1[[#This Row],[Quantity]]*Table1[[#This Row],[Unit_Price]]</f>
        <v>921.65</v>
      </c>
      <c r="S545">
        <f>Table1[[#This Row],[Gross_Sales]]*Table1[[#This Row],[Discount_Rate]]</f>
        <v>138.2475</v>
      </c>
      <c r="T545">
        <f>Table1[[#This Row],[Gross_Sales]]-Table1[[#This Row],[Discount_Amount]]</f>
        <v>783.40249999999992</v>
      </c>
      <c r="U545">
        <f>VLOOKUP(Table1[[#This Row],[Category]],REF_Cost!$A$1:$B$6,2,FALSE)*Table1[[#This Row],[Quantity]]</f>
        <v>120</v>
      </c>
      <c r="V545">
        <f>Table1[[#This Row],[Net_Sales]]-Table1[[#This Row],[Total_Cost]]</f>
        <v>663.40249999999992</v>
      </c>
      <c r="W545" t="str">
        <f>TEXT(Table1[[#This Row],[Order_Date]],"mmm")</f>
        <v>May</v>
      </c>
      <c r="X545">
        <f>ROUNDUP(MONTH(Table1[[#This Row],[Order_Date]])/3,0)</f>
        <v>2</v>
      </c>
      <c r="Y545">
        <f>YEAR(Table1[[#This Row],[Order_Date]])</f>
        <v>2024</v>
      </c>
    </row>
    <row r="546" spans="1:25" x14ac:dyDescent="0.25">
      <c r="A546" t="s">
        <v>2254</v>
      </c>
      <c r="B546" t="s">
        <v>2255</v>
      </c>
      <c r="C546" t="s">
        <v>2256</v>
      </c>
      <c r="D546" t="s">
        <v>2257</v>
      </c>
      <c r="E546" t="s">
        <v>64</v>
      </c>
      <c r="F546" t="s">
        <v>40</v>
      </c>
      <c r="G546" t="s">
        <v>106</v>
      </c>
      <c r="H546" t="s">
        <v>58</v>
      </c>
      <c r="I546" t="s">
        <v>33</v>
      </c>
      <c r="J546" t="s">
        <v>73</v>
      </c>
      <c r="K546">
        <v>9</v>
      </c>
      <c r="L546">
        <v>299.98</v>
      </c>
      <c r="M546" s="3">
        <v>0</v>
      </c>
      <c r="N546" t="str">
        <f>VLOOKUP(Table1[[#This Row],[Country]],REF_Country!$A$1:$D$11,2,FALSE)</f>
        <v>Southeast Asia</v>
      </c>
      <c r="O546" t="str">
        <f>VLOOKUP(Table1[[#This Row],[Country]],REF_Country!$A$1:$D$11,3,FALSE)</f>
        <v>ID</v>
      </c>
      <c r="P546">
        <f>VLOOKUP(Table1[[#This Row],[Country]],REF_Country!$A$1:$D$11,4,FALSE)</f>
        <v>0.11</v>
      </c>
      <c r="Q546">
        <f>VLOOKUP(Table1[[#This Row],[Category]],REF_Target!$A$1:$E$6,2,FALSE)</f>
        <v>45000</v>
      </c>
      <c r="R546">
        <f>Table1[[#This Row],[Quantity]]*Table1[[#This Row],[Unit_Price]]</f>
        <v>2699.82</v>
      </c>
      <c r="S546">
        <f>Table1[[#This Row],[Gross_Sales]]*Table1[[#This Row],[Discount_Rate]]</f>
        <v>0</v>
      </c>
      <c r="T546">
        <f>Table1[[#This Row],[Gross_Sales]]-Table1[[#This Row],[Discount_Amount]]</f>
        <v>2699.82</v>
      </c>
      <c r="U546">
        <f>VLOOKUP(Table1[[#This Row],[Category]],REF_Cost!$A$1:$B$6,2,FALSE)*Table1[[#This Row],[Quantity]]</f>
        <v>720</v>
      </c>
      <c r="V546">
        <f>Table1[[#This Row],[Net_Sales]]-Table1[[#This Row],[Total_Cost]]</f>
        <v>1979.8200000000002</v>
      </c>
      <c r="W546" t="str">
        <f>TEXT(Table1[[#This Row],[Order_Date]],"mmm")</f>
        <v>Jun</v>
      </c>
      <c r="X546">
        <f>ROUNDUP(MONTH(Table1[[#This Row],[Order_Date]])/3,0)</f>
        <v>2</v>
      </c>
      <c r="Y546">
        <f>YEAR(Table1[[#This Row],[Order_Date]])</f>
        <v>2024</v>
      </c>
    </row>
    <row r="547" spans="1:25" x14ac:dyDescent="0.25">
      <c r="A547" t="s">
        <v>2258</v>
      </c>
      <c r="B547" t="s">
        <v>2259</v>
      </c>
      <c r="C547" t="s">
        <v>2260</v>
      </c>
      <c r="D547" t="s">
        <v>2261</v>
      </c>
      <c r="E547" t="s">
        <v>29</v>
      </c>
      <c r="F547" t="s">
        <v>56</v>
      </c>
      <c r="G547" t="s">
        <v>95</v>
      </c>
      <c r="H547" t="s">
        <v>42</v>
      </c>
      <c r="I547" t="s">
        <v>96</v>
      </c>
      <c r="J547" t="s">
        <v>73</v>
      </c>
      <c r="K547">
        <v>3</v>
      </c>
      <c r="L547">
        <v>182.33</v>
      </c>
      <c r="M547" s="3">
        <v>0.2</v>
      </c>
      <c r="N547" t="str">
        <f>VLOOKUP(Table1[[#This Row],[Country]],REF_Country!$A$1:$D$11,2,FALSE)</f>
        <v>Southeast Asia</v>
      </c>
      <c r="O547" t="str">
        <f>VLOOKUP(Table1[[#This Row],[Country]],REF_Country!$A$1:$D$11,3,FALSE)</f>
        <v>VN</v>
      </c>
      <c r="P547">
        <f>VLOOKUP(Table1[[#This Row],[Country]],REF_Country!$A$1:$D$11,4,FALSE)</f>
        <v>0.1</v>
      </c>
      <c r="Q547">
        <f>VLOOKUP(Table1[[#This Row],[Category]],REF_Target!$A$1:$E$6,2,FALSE)</f>
        <v>50000</v>
      </c>
      <c r="R547">
        <f>Table1[[#This Row],[Quantity]]*Table1[[#This Row],[Unit_Price]]</f>
        <v>546.99</v>
      </c>
      <c r="S547">
        <f>Table1[[#This Row],[Gross_Sales]]*Table1[[#This Row],[Discount_Rate]]</f>
        <v>109.39800000000001</v>
      </c>
      <c r="T547">
        <f>Table1[[#This Row],[Gross_Sales]]-Table1[[#This Row],[Discount_Amount]]</f>
        <v>437.59199999999998</v>
      </c>
      <c r="U547">
        <f>VLOOKUP(Table1[[#This Row],[Category]],REF_Cost!$A$1:$B$6,2,FALSE)*Table1[[#This Row],[Quantity]]</f>
        <v>1350</v>
      </c>
      <c r="V547">
        <f>Table1[[#This Row],[Net_Sales]]-Table1[[#This Row],[Total_Cost]]</f>
        <v>-912.40800000000002</v>
      </c>
      <c r="W547" t="str">
        <f>TEXT(Table1[[#This Row],[Order_Date]],"mmm")</f>
        <v>Nov</v>
      </c>
      <c r="X547">
        <f>ROUNDUP(MONTH(Table1[[#This Row],[Order_Date]])/3,0)</f>
        <v>4</v>
      </c>
      <c r="Y547">
        <f>YEAR(Table1[[#This Row],[Order_Date]])</f>
        <v>2024</v>
      </c>
    </row>
    <row r="548" spans="1:25" x14ac:dyDescent="0.25">
      <c r="A548" t="s">
        <v>2262</v>
      </c>
      <c r="B548" t="s">
        <v>2263</v>
      </c>
      <c r="C548" t="s">
        <v>2264</v>
      </c>
      <c r="D548" t="s">
        <v>2265</v>
      </c>
      <c r="E548" t="s">
        <v>71</v>
      </c>
      <c r="F548" t="s">
        <v>84</v>
      </c>
      <c r="G548" t="s">
        <v>85</v>
      </c>
      <c r="H548" t="s">
        <v>42</v>
      </c>
      <c r="I548" t="s">
        <v>51</v>
      </c>
      <c r="J548" t="s">
        <v>126</v>
      </c>
      <c r="K548">
        <v>6</v>
      </c>
      <c r="L548">
        <v>660.49</v>
      </c>
      <c r="M548" s="3">
        <v>0.15</v>
      </c>
      <c r="N548" t="str">
        <f>VLOOKUP(Table1[[#This Row],[Country]],REF_Country!$A$1:$D$11,2,FALSE)</f>
        <v>Southeast Asia</v>
      </c>
      <c r="O548" t="str">
        <f>VLOOKUP(Table1[[#This Row],[Country]],REF_Country!$A$1:$D$11,3,FALSE)</f>
        <v>PH</v>
      </c>
      <c r="P548">
        <f>VLOOKUP(Table1[[#This Row],[Country]],REF_Country!$A$1:$D$11,4,FALSE)</f>
        <v>0.12</v>
      </c>
      <c r="Q548">
        <f>VLOOKUP(Table1[[#This Row],[Category]],REF_Target!$A$1:$E$6,2,FALSE)</f>
        <v>30000</v>
      </c>
      <c r="R548">
        <f>Table1[[#This Row],[Quantity]]*Table1[[#This Row],[Unit_Price]]</f>
        <v>3962.94</v>
      </c>
      <c r="S548">
        <f>Table1[[#This Row],[Gross_Sales]]*Table1[[#This Row],[Discount_Rate]]</f>
        <v>594.44100000000003</v>
      </c>
      <c r="T548">
        <f>Table1[[#This Row],[Gross_Sales]]-Table1[[#This Row],[Discount_Amount]]</f>
        <v>3368.4989999999998</v>
      </c>
      <c r="U548">
        <f>VLOOKUP(Table1[[#This Row],[Category]],REF_Cost!$A$1:$B$6,2,FALSE)*Table1[[#This Row],[Quantity]]</f>
        <v>1200</v>
      </c>
      <c r="V548">
        <f>Table1[[#This Row],[Net_Sales]]-Table1[[#This Row],[Total_Cost]]</f>
        <v>2168.4989999999998</v>
      </c>
      <c r="W548" t="str">
        <f>TEXT(Table1[[#This Row],[Order_Date]],"mmm")</f>
        <v>Dec</v>
      </c>
      <c r="X548">
        <f>ROUNDUP(MONTH(Table1[[#This Row],[Order_Date]])/3,0)</f>
        <v>4</v>
      </c>
      <c r="Y548">
        <f>YEAR(Table1[[#This Row],[Order_Date]])</f>
        <v>2024</v>
      </c>
    </row>
    <row r="549" spans="1:25" x14ac:dyDescent="0.25">
      <c r="A549" t="s">
        <v>2266</v>
      </c>
      <c r="B549" t="s">
        <v>2267</v>
      </c>
      <c r="C549" t="s">
        <v>2268</v>
      </c>
      <c r="D549" t="s">
        <v>2269</v>
      </c>
      <c r="E549" t="s">
        <v>64</v>
      </c>
      <c r="F549" t="s">
        <v>49</v>
      </c>
      <c r="G549" t="s">
        <v>259</v>
      </c>
      <c r="H549" t="s">
        <v>42</v>
      </c>
      <c r="I549" t="s">
        <v>33</v>
      </c>
      <c r="J549" t="s">
        <v>59</v>
      </c>
      <c r="K549">
        <v>4</v>
      </c>
      <c r="L549">
        <v>187.36</v>
      </c>
      <c r="M549" s="3">
        <v>0.2</v>
      </c>
      <c r="N549" t="str">
        <f>VLOOKUP(Table1[[#This Row],[Country]],REF_Country!$A$1:$D$11,2,FALSE)</f>
        <v>Southeast Asia</v>
      </c>
      <c r="O549" t="str">
        <f>VLOOKUP(Table1[[#This Row],[Country]],REF_Country!$A$1:$D$11,3,FALSE)</f>
        <v>ID</v>
      </c>
      <c r="P549">
        <f>VLOOKUP(Table1[[#This Row],[Country]],REF_Country!$A$1:$D$11,4,FALSE)</f>
        <v>0.11</v>
      </c>
      <c r="Q549">
        <f>VLOOKUP(Table1[[#This Row],[Category]],REF_Target!$A$1:$E$6,2,FALSE)</f>
        <v>35000</v>
      </c>
      <c r="R549">
        <f>Table1[[#This Row],[Quantity]]*Table1[[#This Row],[Unit_Price]]</f>
        <v>749.44</v>
      </c>
      <c r="S549">
        <f>Table1[[#This Row],[Gross_Sales]]*Table1[[#This Row],[Discount_Rate]]</f>
        <v>149.88800000000001</v>
      </c>
      <c r="T549">
        <f>Table1[[#This Row],[Gross_Sales]]-Table1[[#This Row],[Discount_Amount]]</f>
        <v>599.55200000000002</v>
      </c>
      <c r="U549">
        <f>VLOOKUP(Table1[[#This Row],[Category]],REF_Cost!$A$1:$B$6,2,FALSE)*Table1[[#This Row],[Quantity]]</f>
        <v>600</v>
      </c>
      <c r="V549">
        <f>Table1[[#This Row],[Net_Sales]]-Table1[[#This Row],[Total_Cost]]</f>
        <v>-0.44799999999997908</v>
      </c>
      <c r="W549" t="str">
        <f>TEXT(Table1[[#This Row],[Order_Date]],"mmm")</f>
        <v>Oct</v>
      </c>
      <c r="X549">
        <f>ROUNDUP(MONTH(Table1[[#This Row],[Order_Date]])/3,0)</f>
        <v>4</v>
      </c>
      <c r="Y549">
        <f>YEAR(Table1[[#This Row],[Order_Date]])</f>
        <v>2024</v>
      </c>
    </row>
    <row r="550" spans="1:25" x14ac:dyDescent="0.25">
      <c r="A550" t="s">
        <v>2270</v>
      </c>
      <c r="B550" t="s">
        <v>2271</v>
      </c>
      <c r="C550" t="s">
        <v>2272</v>
      </c>
      <c r="D550" t="s">
        <v>2273</v>
      </c>
      <c r="E550" t="s">
        <v>71</v>
      </c>
      <c r="F550" t="s">
        <v>30</v>
      </c>
      <c r="G550" t="s">
        <v>269</v>
      </c>
      <c r="H550" t="s">
        <v>42</v>
      </c>
      <c r="I550" t="s">
        <v>43</v>
      </c>
      <c r="J550" t="s">
        <v>34</v>
      </c>
      <c r="K550">
        <v>2</v>
      </c>
      <c r="L550">
        <v>499.31</v>
      </c>
      <c r="M550" s="3">
        <v>0</v>
      </c>
      <c r="N550" t="str">
        <f>VLOOKUP(Table1[[#This Row],[Country]],REF_Country!$A$1:$D$11,2,FALSE)</f>
        <v>Southeast Asia</v>
      </c>
      <c r="O550" t="str">
        <f>VLOOKUP(Table1[[#This Row],[Country]],REF_Country!$A$1:$D$11,3,FALSE)</f>
        <v>PH</v>
      </c>
      <c r="P550">
        <f>VLOOKUP(Table1[[#This Row],[Country]],REF_Country!$A$1:$D$11,4,FALSE)</f>
        <v>0.12</v>
      </c>
      <c r="Q550">
        <f>VLOOKUP(Table1[[#This Row],[Category]],REF_Target!$A$1:$E$6,2,FALSE)</f>
        <v>40000</v>
      </c>
      <c r="R550">
        <f>Table1[[#This Row],[Quantity]]*Table1[[#This Row],[Unit_Price]]</f>
        <v>998.62</v>
      </c>
      <c r="S550">
        <f>Table1[[#This Row],[Gross_Sales]]*Table1[[#This Row],[Discount_Rate]]</f>
        <v>0</v>
      </c>
      <c r="T550">
        <f>Table1[[#This Row],[Gross_Sales]]-Table1[[#This Row],[Discount_Amount]]</f>
        <v>998.62</v>
      </c>
      <c r="U550">
        <f>VLOOKUP(Table1[[#This Row],[Category]],REF_Cost!$A$1:$B$6,2,FALSE)*Table1[[#This Row],[Quantity]]</f>
        <v>240</v>
      </c>
      <c r="V550">
        <f>Table1[[#This Row],[Net_Sales]]-Table1[[#This Row],[Total_Cost]]</f>
        <v>758.62</v>
      </c>
      <c r="W550" t="str">
        <f>TEXT(Table1[[#This Row],[Order_Date]],"mmm")</f>
        <v>Apr</v>
      </c>
      <c r="X550">
        <f>ROUNDUP(MONTH(Table1[[#This Row],[Order_Date]])/3,0)</f>
        <v>2</v>
      </c>
      <c r="Y550">
        <f>YEAR(Table1[[#This Row],[Order_Date]])</f>
        <v>2024</v>
      </c>
    </row>
    <row r="551" spans="1:25" x14ac:dyDescent="0.25">
      <c r="A551" t="s">
        <v>2274</v>
      </c>
      <c r="B551" t="s">
        <v>2275</v>
      </c>
      <c r="C551" t="s">
        <v>2276</v>
      </c>
      <c r="D551" t="s">
        <v>2277</v>
      </c>
      <c r="E551" t="s">
        <v>200</v>
      </c>
      <c r="F551" t="s">
        <v>56</v>
      </c>
      <c r="G551" t="s">
        <v>57</v>
      </c>
      <c r="H551" t="s">
        <v>72</v>
      </c>
      <c r="I551" t="s">
        <v>96</v>
      </c>
      <c r="J551" t="s">
        <v>59</v>
      </c>
      <c r="K551">
        <v>10</v>
      </c>
      <c r="L551">
        <v>230.24</v>
      </c>
      <c r="M551" s="3">
        <v>0.1</v>
      </c>
      <c r="N551" t="str">
        <f>VLOOKUP(Table1[[#This Row],[Country]],REF_Country!$A$1:$D$11,2,FALSE)</f>
        <v>East Asia</v>
      </c>
      <c r="O551" t="str">
        <f>VLOOKUP(Table1[[#This Row],[Country]],REF_Country!$A$1:$D$11,3,FALSE)</f>
        <v>KR</v>
      </c>
      <c r="P551">
        <f>VLOOKUP(Table1[[#This Row],[Country]],REF_Country!$A$1:$D$11,4,FALSE)</f>
        <v>0.1</v>
      </c>
      <c r="Q551">
        <f>VLOOKUP(Table1[[#This Row],[Category]],REF_Target!$A$1:$E$6,2,FALSE)</f>
        <v>50000</v>
      </c>
      <c r="R551">
        <f>Table1[[#This Row],[Quantity]]*Table1[[#This Row],[Unit_Price]]</f>
        <v>2302.4</v>
      </c>
      <c r="S551">
        <f>Table1[[#This Row],[Gross_Sales]]*Table1[[#This Row],[Discount_Rate]]</f>
        <v>230.24</v>
      </c>
      <c r="T551">
        <f>Table1[[#This Row],[Gross_Sales]]-Table1[[#This Row],[Discount_Amount]]</f>
        <v>2072.16</v>
      </c>
      <c r="U551">
        <f>VLOOKUP(Table1[[#This Row],[Category]],REF_Cost!$A$1:$B$6,2,FALSE)*Table1[[#This Row],[Quantity]]</f>
        <v>4500</v>
      </c>
      <c r="V551">
        <f>Table1[[#This Row],[Net_Sales]]-Table1[[#This Row],[Total_Cost]]</f>
        <v>-2427.84</v>
      </c>
      <c r="W551" t="str">
        <f>TEXT(Table1[[#This Row],[Order_Date]],"mmm")</f>
        <v>Feb</v>
      </c>
      <c r="X551">
        <f>ROUNDUP(MONTH(Table1[[#This Row],[Order_Date]])/3,0)</f>
        <v>1</v>
      </c>
      <c r="Y551">
        <f>YEAR(Table1[[#This Row],[Order_Date]])</f>
        <v>2024</v>
      </c>
    </row>
    <row r="552" spans="1:25" x14ac:dyDescent="0.25">
      <c r="A552" t="s">
        <v>2278</v>
      </c>
      <c r="B552" t="s">
        <v>2279</v>
      </c>
      <c r="C552" t="s">
        <v>2280</v>
      </c>
      <c r="D552" t="s">
        <v>2281</v>
      </c>
      <c r="E552" t="s">
        <v>71</v>
      </c>
      <c r="F552" t="s">
        <v>84</v>
      </c>
      <c r="G552" t="s">
        <v>85</v>
      </c>
      <c r="H552" t="s">
        <v>32</v>
      </c>
      <c r="I552" t="s">
        <v>66</v>
      </c>
      <c r="J552" t="s">
        <v>73</v>
      </c>
      <c r="K552">
        <v>1</v>
      </c>
      <c r="L552">
        <v>513.79999999999995</v>
      </c>
      <c r="M552" s="3">
        <v>0.2</v>
      </c>
      <c r="N552" t="str">
        <f>VLOOKUP(Table1[[#This Row],[Country]],REF_Country!$A$1:$D$11,2,FALSE)</f>
        <v>Southeast Asia</v>
      </c>
      <c r="O552" t="str">
        <f>VLOOKUP(Table1[[#This Row],[Country]],REF_Country!$A$1:$D$11,3,FALSE)</f>
        <v>PH</v>
      </c>
      <c r="P552">
        <f>VLOOKUP(Table1[[#This Row],[Country]],REF_Country!$A$1:$D$11,4,FALSE)</f>
        <v>0.12</v>
      </c>
      <c r="Q552">
        <f>VLOOKUP(Table1[[#This Row],[Category]],REF_Target!$A$1:$E$6,2,FALSE)</f>
        <v>30000</v>
      </c>
      <c r="R552">
        <f>Table1[[#This Row],[Quantity]]*Table1[[#This Row],[Unit_Price]]</f>
        <v>513.79999999999995</v>
      </c>
      <c r="S552">
        <f>Table1[[#This Row],[Gross_Sales]]*Table1[[#This Row],[Discount_Rate]]</f>
        <v>102.75999999999999</v>
      </c>
      <c r="T552">
        <f>Table1[[#This Row],[Gross_Sales]]-Table1[[#This Row],[Discount_Amount]]</f>
        <v>411.03999999999996</v>
      </c>
      <c r="U552">
        <f>VLOOKUP(Table1[[#This Row],[Category]],REF_Cost!$A$1:$B$6,2,FALSE)*Table1[[#This Row],[Quantity]]</f>
        <v>200</v>
      </c>
      <c r="V552">
        <f>Table1[[#This Row],[Net_Sales]]-Table1[[#This Row],[Total_Cost]]</f>
        <v>211.03999999999996</v>
      </c>
      <c r="W552" t="str">
        <f>TEXT(Table1[[#This Row],[Order_Date]],"mmm")</f>
        <v>Aug</v>
      </c>
      <c r="X552">
        <f>ROUNDUP(MONTH(Table1[[#This Row],[Order_Date]])/3,0)</f>
        <v>3</v>
      </c>
      <c r="Y552">
        <f>YEAR(Table1[[#This Row],[Order_Date]])</f>
        <v>2024</v>
      </c>
    </row>
    <row r="553" spans="1:25" x14ac:dyDescent="0.25">
      <c r="A553" t="s">
        <v>2282</v>
      </c>
      <c r="B553" t="s">
        <v>2283</v>
      </c>
      <c r="C553" t="s">
        <v>2284</v>
      </c>
      <c r="D553" t="s">
        <v>2285</v>
      </c>
      <c r="E553" t="s">
        <v>48</v>
      </c>
      <c r="F553" t="s">
        <v>84</v>
      </c>
      <c r="G553" t="s">
        <v>85</v>
      </c>
      <c r="H553" t="s">
        <v>72</v>
      </c>
      <c r="I553" t="s">
        <v>33</v>
      </c>
      <c r="J553" t="s">
        <v>73</v>
      </c>
      <c r="K553">
        <v>10</v>
      </c>
      <c r="L553">
        <v>1331.32</v>
      </c>
      <c r="M553" s="3">
        <v>0</v>
      </c>
      <c r="N553" t="str">
        <f>VLOOKUP(Table1[[#This Row],[Country]],REF_Country!$A$1:$D$11,2,FALSE)</f>
        <v>Southeast Asia</v>
      </c>
      <c r="O553" t="str">
        <f>VLOOKUP(Table1[[#This Row],[Country]],REF_Country!$A$1:$D$11,3,FALSE)</f>
        <v>SG</v>
      </c>
      <c r="P553">
        <f>VLOOKUP(Table1[[#This Row],[Country]],REF_Country!$A$1:$D$11,4,FALSE)</f>
        <v>7.0000000000000007E-2</v>
      </c>
      <c r="Q553">
        <f>VLOOKUP(Table1[[#This Row],[Category]],REF_Target!$A$1:$E$6,2,FALSE)</f>
        <v>30000</v>
      </c>
      <c r="R553">
        <f>Table1[[#This Row],[Quantity]]*Table1[[#This Row],[Unit_Price]]</f>
        <v>13313.199999999999</v>
      </c>
      <c r="S553">
        <f>Table1[[#This Row],[Gross_Sales]]*Table1[[#This Row],[Discount_Rate]]</f>
        <v>0</v>
      </c>
      <c r="T553">
        <f>Table1[[#This Row],[Gross_Sales]]-Table1[[#This Row],[Discount_Amount]]</f>
        <v>13313.199999999999</v>
      </c>
      <c r="U553">
        <f>VLOOKUP(Table1[[#This Row],[Category]],REF_Cost!$A$1:$B$6,2,FALSE)*Table1[[#This Row],[Quantity]]</f>
        <v>2000</v>
      </c>
      <c r="V553">
        <f>Table1[[#This Row],[Net_Sales]]-Table1[[#This Row],[Total_Cost]]</f>
        <v>11313.199999999999</v>
      </c>
      <c r="W553" t="str">
        <f>TEXT(Table1[[#This Row],[Order_Date]],"mmm")</f>
        <v>Aug</v>
      </c>
      <c r="X553">
        <f>ROUNDUP(MONTH(Table1[[#This Row],[Order_Date]])/3,0)</f>
        <v>3</v>
      </c>
      <c r="Y553">
        <f>YEAR(Table1[[#This Row],[Order_Date]])</f>
        <v>2024</v>
      </c>
    </row>
    <row r="554" spans="1:25" x14ac:dyDescent="0.25">
      <c r="A554" t="s">
        <v>2286</v>
      </c>
      <c r="B554" t="s">
        <v>2287</v>
      </c>
      <c r="C554" t="s">
        <v>2288</v>
      </c>
      <c r="D554" t="s">
        <v>2289</v>
      </c>
      <c r="E554" t="s">
        <v>39</v>
      </c>
      <c r="F554" t="s">
        <v>40</v>
      </c>
      <c r="G554" t="s">
        <v>565</v>
      </c>
      <c r="H554" t="s">
        <v>42</v>
      </c>
      <c r="I554" t="s">
        <v>43</v>
      </c>
      <c r="J554" t="s">
        <v>73</v>
      </c>
      <c r="K554">
        <v>5</v>
      </c>
      <c r="L554">
        <v>1257.93</v>
      </c>
      <c r="M554" s="3">
        <v>0</v>
      </c>
      <c r="N554" t="str">
        <f>VLOOKUP(Table1[[#This Row],[Country]],REF_Country!$A$1:$D$11,2,FALSE)</f>
        <v>Southeast Asia</v>
      </c>
      <c r="O554" t="str">
        <f>VLOOKUP(Table1[[#This Row],[Country]],REF_Country!$A$1:$D$11,3,FALSE)</f>
        <v>TH</v>
      </c>
      <c r="P554">
        <f>VLOOKUP(Table1[[#This Row],[Country]],REF_Country!$A$1:$D$11,4,FALSE)</f>
        <v>7.0000000000000007E-2</v>
      </c>
      <c r="Q554">
        <f>VLOOKUP(Table1[[#This Row],[Category]],REF_Target!$A$1:$E$6,2,FALSE)</f>
        <v>45000</v>
      </c>
      <c r="R554">
        <f>Table1[[#This Row],[Quantity]]*Table1[[#This Row],[Unit_Price]]</f>
        <v>6289.6500000000005</v>
      </c>
      <c r="S554">
        <f>Table1[[#This Row],[Gross_Sales]]*Table1[[#This Row],[Discount_Rate]]</f>
        <v>0</v>
      </c>
      <c r="T554">
        <f>Table1[[#This Row],[Gross_Sales]]-Table1[[#This Row],[Discount_Amount]]</f>
        <v>6289.6500000000005</v>
      </c>
      <c r="U554">
        <f>VLOOKUP(Table1[[#This Row],[Category]],REF_Cost!$A$1:$B$6,2,FALSE)*Table1[[#This Row],[Quantity]]</f>
        <v>400</v>
      </c>
      <c r="V554">
        <f>Table1[[#This Row],[Net_Sales]]-Table1[[#This Row],[Total_Cost]]</f>
        <v>5889.6500000000005</v>
      </c>
      <c r="W554" t="str">
        <f>TEXT(Table1[[#This Row],[Order_Date]],"mmm")</f>
        <v>Jul</v>
      </c>
      <c r="X554">
        <f>ROUNDUP(MONTH(Table1[[#This Row],[Order_Date]])/3,0)</f>
        <v>3</v>
      </c>
      <c r="Y554">
        <f>YEAR(Table1[[#This Row],[Order_Date]])</f>
        <v>2024</v>
      </c>
    </row>
    <row r="555" spans="1:25" x14ac:dyDescent="0.25">
      <c r="A555" t="s">
        <v>2290</v>
      </c>
      <c r="B555" t="s">
        <v>2291</v>
      </c>
      <c r="C555" t="s">
        <v>2292</v>
      </c>
      <c r="D555" t="s">
        <v>2293</v>
      </c>
      <c r="E555" t="s">
        <v>83</v>
      </c>
      <c r="F555" t="s">
        <v>30</v>
      </c>
      <c r="G555" t="s">
        <v>139</v>
      </c>
      <c r="H555" t="s">
        <v>32</v>
      </c>
      <c r="I555" t="s">
        <v>96</v>
      </c>
      <c r="J555" t="s">
        <v>126</v>
      </c>
      <c r="K555">
        <v>7</v>
      </c>
      <c r="L555">
        <v>1348.9</v>
      </c>
      <c r="M555" s="3">
        <v>0</v>
      </c>
      <c r="N555" t="str">
        <f>VLOOKUP(Table1[[#This Row],[Country]],REF_Country!$A$1:$D$11,2,FALSE)</f>
        <v>South Asia</v>
      </c>
      <c r="O555" t="str">
        <f>VLOOKUP(Table1[[#This Row],[Country]],REF_Country!$A$1:$D$11,3,FALSE)</f>
        <v>IN</v>
      </c>
      <c r="P555">
        <f>VLOOKUP(Table1[[#This Row],[Country]],REF_Country!$A$1:$D$11,4,FALSE)</f>
        <v>0.18</v>
      </c>
      <c r="Q555">
        <f>VLOOKUP(Table1[[#This Row],[Category]],REF_Target!$A$1:$E$6,2,FALSE)</f>
        <v>40000</v>
      </c>
      <c r="R555">
        <f>Table1[[#This Row],[Quantity]]*Table1[[#This Row],[Unit_Price]]</f>
        <v>9442.3000000000011</v>
      </c>
      <c r="S555">
        <f>Table1[[#This Row],[Gross_Sales]]*Table1[[#This Row],[Discount_Rate]]</f>
        <v>0</v>
      </c>
      <c r="T555">
        <f>Table1[[#This Row],[Gross_Sales]]-Table1[[#This Row],[Discount_Amount]]</f>
        <v>9442.3000000000011</v>
      </c>
      <c r="U555">
        <f>VLOOKUP(Table1[[#This Row],[Category]],REF_Cost!$A$1:$B$6,2,FALSE)*Table1[[#This Row],[Quantity]]</f>
        <v>840</v>
      </c>
      <c r="V555">
        <f>Table1[[#This Row],[Net_Sales]]-Table1[[#This Row],[Total_Cost]]</f>
        <v>8602.3000000000011</v>
      </c>
      <c r="W555" t="str">
        <f>TEXT(Table1[[#This Row],[Order_Date]],"mmm")</f>
        <v>Aug</v>
      </c>
      <c r="X555">
        <f>ROUNDUP(MONTH(Table1[[#This Row],[Order_Date]])/3,0)</f>
        <v>3</v>
      </c>
      <c r="Y555">
        <f>YEAR(Table1[[#This Row],[Order_Date]])</f>
        <v>2024</v>
      </c>
    </row>
    <row r="556" spans="1:25" x14ac:dyDescent="0.25">
      <c r="A556" t="s">
        <v>2294</v>
      </c>
      <c r="B556" t="s">
        <v>2295</v>
      </c>
      <c r="C556" t="s">
        <v>2296</v>
      </c>
      <c r="D556" t="s">
        <v>2297</v>
      </c>
      <c r="E556" t="s">
        <v>116</v>
      </c>
      <c r="F556" t="s">
        <v>49</v>
      </c>
      <c r="G556" t="s">
        <v>226</v>
      </c>
      <c r="H556" t="s">
        <v>42</v>
      </c>
      <c r="I556" t="s">
        <v>43</v>
      </c>
      <c r="J556" t="s">
        <v>73</v>
      </c>
      <c r="K556">
        <v>9</v>
      </c>
      <c r="L556">
        <v>372.16</v>
      </c>
      <c r="M556" s="3">
        <v>0</v>
      </c>
      <c r="N556" t="str">
        <f>VLOOKUP(Table1[[#This Row],[Country]],REF_Country!$A$1:$D$11,2,FALSE)</f>
        <v>Southeast Asia</v>
      </c>
      <c r="O556" t="str">
        <f>VLOOKUP(Table1[[#This Row],[Country]],REF_Country!$A$1:$D$11,3,FALSE)</f>
        <v>MY</v>
      </c>
      <c r="P556">
        <f>VLOOKUP(Table1[[#This Row],[Country]],REF_Country!$A$1:$D$11,4,FALSE)</f>
        <v>0.06</v>
      </c>
      <c r="Q556">
        <f>VLOOKUP(Table1[[#This Row],[Category]],REF_Target!$A$1:$E$6,2,FALSE)</f>
        <v>35000</v>
      </c>
      <c r="R556">
        <f>Table1[[#This Row],[Quantity]]*Table1[[#This Row],[Unit_Price]]</f>
        <v>3349.44</v>
      </c>
      <c r="S556">
        <f>Table1[[#This Row],[Gross_Sales]]*Table1[[#This Row],[Discount_Rate]]</f>
        <v>0</v>
      </c>
      <c r="T556">
        <f>Table1[[#This Row],[Gross_Sales]]-Table1[[#This Row],[Discount_Amount]]</f>
        <v>3349.44</v>
      </c>
      <c r="U556">
        <f>VLOOKUP(Table1[[#This Row],[Category]],REF_Cost!$A$1:$B$6,2,FALSE)*Table1[[#This Row],[Quantity]]</f>
        <v>1350</v>
      </c>
      <c r="V556">
        <f>Table1[[#This Row],[Net_Sales]]-Table1[[#This Row],[Total_Cost]]</f>
        <v>1999.44</v>
      </c>
      <c r="W556" t="str">
        <f>TEXT(Table1[[#This Row],[Order_Date]],"mmm")</f>
        <v>Sep</v>
      </c>
      <c r="X556">
        <f>ROUNDUP(MONTH(Table1[[#This Row],[Order_Date]])/3,0)</f>
        <v>3</v>
      </c>
      <c r="Y556">
        <f>YEAR(Table1[[#This Row],[Order_Date]])</f>
        <v>2024</v>
      </c>
    </row>
    <row r="557" spans="1:25" x14ac:dyDescent="0.25">
      <c r="A557" t="s">
        <v>2298</v>
      </c>
      <c r="B557" t="s">
        <v>2299</v>
      </c>
      <c r="C557" t="s">
        <v>2300</v>
      </c>
      <c r="D557" t="s">
        <v>2301</v>
      </c>
      <c r="E557" t="s">
        <v>116</v>
      </c>
      <c r="F557" t="s">
        <v>56</v>
      </c>
      <c r="G557" t="s">
        <v>57</v>
      </c>
      <c r="H557" t="s">
        <v>42</v>
      </c>
      <c r="I557" t="s">
        <v>33</v>
      </c>
      <c r="J557" t="s">
        <v>126</v>
      </c>
      <c r="K557">
        <v>3</v>
      </c>
      <c r="L557">
        <v>1008.52</v>
      </c>
      <c r="M557" s="3">
        <v>0.2</v>
      </c>
      <c r="N557" t="str">
        <f>VLOOKUP(Table1[[#This Row],[Country]],REF_Country!$A$1:$D$11,2,FALSE)</f>
        <v>Southeast Asia</v>
      </c>
      <c r="O557" t="str">
        <f>VLOOKUP(Table1[[#This Row],[Country]],REF_Country!$A$1:$D$11,3,FALSE)</f>
        <v>MY</v>
      </c>
      <c r="P557">
        <f>VLOOKUP(Table1[[#This Row],[Country]],REF_Country!$A$1:$D$11,4,FALSE)</f>
        <v>0.06</v>
      </c>
      <c r="Q557">
        <f>VLOOKUP(Table1[[#This Row],[Category]],REF_Target!$A$1:$E$6,2,FALSE)</f>
        <v>50000</v>
      </c>
      <c r="R557">
        <f>Table1[[#This Row],[Quantity]]*Table1[[#This Row],[Unit_Price]]</f>
        <v>3025.56</v>
      </c>
      <c r="S557">
        <f>Table1[[#This Row],[Gross_Sales]]*Table1[[#This Row],[Discount_Rate]]</f>
        <v>605.11199999999997</v>
      </c>
      <c r="T557">
        <f>Table1[[#This Row],[Gross_Sales]]-Table1[[#This Row],[Discount_Amount]]</f>
        <v>2420.4479999999999</v>
      </c>
      <c r="U557">
        <f>VLOOKUP(Table1[[#This Row],[Category]],REF_Cost!$A$1:$B$6,2,FALSE)*Table1[[#This Row],[Quantity]]</f>
        <v>1350</v>
      </c>
      <c r="V557">
        <f>Table1[[#This Row],[Net_Sales]]-Table1[[#This Row],[Total_Cost]]</f>
        <v>1070.4479999999999</v>
      </c>
      <c r="W557" t="str">
        <f>TEXT(Table1[[#This Row],[Order_Date]],"mmm")</f>
        <v>May</v>
      </c>
      <c r="X557">
        <f>ROUNDUP(MONTH(Table1[[#This Row],[Order_Date]])/3,0)</f>
        <v>2</v>
      </c>
      <c r="Y557">
        <f>YEAR(Table1[[#This Row],[Order_Date]])</f>
        <v>2024</v>
      </c>
    </row>
    <row r="558" spans="1:25" x14ac:dyDescent="0.25">
      <c r="A558" t="s">
        <v>2302</v>
      </c>
      <c r="B558" t="s">
        <v>2303</v>
      </c>
      <c r="C558" t="s">
        <v>2304</v>
      </c>
      <c r="D558" t="s">
        <v>2305</v>
      </c>
      <c r="E558" t="s">
        <v>149</v>
      </c>
      <c r="F558" t="s">
        <v>30</v>
      </c>
      <c r="G558" t="s">
        <v>65</v>
      </c>
      <c r="H558" t="s">
        <v>32</v>
      </c>
      <c r="I558" t="s">
        <v>96</v>
      </c>
      <c r="J558" t="s">
        <v>59</v>
      </c>
      <c r="K558">
        <v>1</v>
      </c>
      <c r="L558">
        <v>945.81</v>
      </c>
      <c r="M558" s="3">
        <v>0.2</v>
      </c>
      <c r="N558" t="str">
        <f>VLOOKUP(Table1[[#This Row],[Country]],REF_Country!$A$1:$D$11,2,FALSE)</f>
        <v>East Asia</v>
      </c>
      <c r="O558" t="str">
        <f>VLOOKUP(Table1[[#This Row],[Country]],REF_Country!$A$1:$D$11,3,FALSE)</f>
        <v>JP</v>
      </c>
      <c r="P558">
        <f>VLOOKUP(Table1[[#This Row],[Country]],REF_Country!$A$1:$D$11,4,FALSE)</f>
        <v>0.1</v>
      </c>
      <c r="Q558">
        <f>VLOOKUP(Table1[[#This Row],[Category]],REF_Target!$A$1:$E$6,2,FALSE)</f>
        <v>40000</v>
      </c>
      <c r="R558">
        <f>Table1[[#This Row],[Quantity]]*Table1[[#This Row],[Unit_Price]]</f>
        <v>945.81</v>
      </c>
      <c r="S558">
        <f>Table1[[#This Row],[Gross_Sales]]*Table1[[#This Row],[Discount_Rate]]</f>
        <v>189.16200000000001</v>
      </c>
      <c r="T558">
        <f>Table1[[#This Row],[Gross_Sales]]-Table1[[#This Row],[Discount_Amount]]</f>
        <v>756.64799999999991</v>
      </c>
      <c r="U558">
        <f>VLOOKUP(Table1[[#This Row],[Category]],REF_Cost!$A$1:$B$6,2,FALSE)*Table1[[#This Row],[Quantity]]</f>
        <v>120</v>
      </c>
      <c r="V558">
        <f>Table1[[#This Row],[Net_Sales]]-Table1[[#This Row],[Total_Cost]]</f>
        <v>636.64799999999991</v>
      </c>
      <c r="W558" t="str">
        <f>TEXT(Table1[[#This Row],[Order_Date]],"mmm")</f>
        <v>Aug</v>
      </c>
      <c r="X558">
        <f>ROUNDUP(MONTH(Table1[[#This Row],[Order_Date]])/3,0)</f>
        <v>3</v>
      </c>
      <c r="Y558">
        <f>YEAR(Table1[[#This Row],[Order_Date]])</f>
        <v>2024</v>
      </c>
    </row>
    <row r="559" spans="1:25" x14ac:dyDescent="0.25">
      <c r="A559" t="s">
        <v>2306</v>
      </c>
      <c r="B559" t="s">
        <v>2307</v>
      </c>
      <c r="C559" t="s">
        <v>2308</v>
      </c>
      <c r="D559" t="s">
        <v>2309</v>
      </c>
      <c r="E559" t="s">
        <v>29</v>
      </c>
      <c r="F559" t="s">
        <v>40</v>
      </c>
      <c r="G559" t="s">
        <v>41</v>
      </c>
      <c r="H559" t="s">
        <v>32</v>
      </c>
      <c r="I559" t="s">
        <v>33</v>
      </c>
      <c r="J559" t="s">
        <v>59</v>
      </c>
      <c r="K559">
        <v>4</v>
      </c>
      <c r="L559">
        <v>869.22</v>
      </c>
      <c r="M559" s="3">
        <v>0.2</v>
      </c>
      <c r="N559" t="str">
        <f>VLOOKUP(Table1[[#This Row],[Country]],REF_Country!$A$1:$D$11,2,FALSE)</f>
        <v>Southeast Asia</v>
      </c>
      <c r="O559" t="str">
        <f>VLOOKUP(Table1[[#This Row],[Country]],REF_Country!$A$1:$D$11,3,FALSE)</f>
        <v>VN</v>
      </c>
      <c r="P559">
        <f>VLOOKUP(Table1[[#This Row],[Country]],REF_Country!$A$1:$D$11,4,FALSE)</f>
        <v>0.1</v>
      </c>
      <c r="Q559">
        <f>VLOOKUP(Table1[[#This Row],[Category]],REF_Target!$A$1:$E$6,2,FALSE)</f>
        <v>45000</v>
      </c>
      <c r="R559">
        <f>Table1[[#This Row],[Quantity]]*Table1[[#This Row],[Unit_Price]]</f>
        <v>3476.88</v>
      </c>
      <c r="S559">
        <f>Table1[[#This Row],[Gross_Sales]]*Table1[[#This Row],[Discount_Rate]]</f>
        <v>695.37600000000009</v>
      </c>
      <c r="T559">
        <f>Table1[[#This Row],[Gross_Sales]]-Table1[[#This Row],[Discount_Amount]]</f>
        <v>2781.5039999999999</v>
      </c>
      <c r="U559">
        <f>VLOOKUP(Table1[[#This Row],[Category]],REF_Cost!$A$1:$B$6,2,FALSE)*Table1[[#This Row],[Quantity]]</f>
        <v>320</v>
      </c>
      <c r="V559">
        <f>Table1[[#This Row],[Net_Sales]]-Table1[[#This Row],[Total_Cost]]</f>
        <v>2461.5039999999999</v>
      </c>
      <c r="W559" t="str">
        <f>TEXT(Table1[[#This Row],[Order_Date]],"mmm")</f>
        <v>Jan</v>
      </c>
      <c r="X559">
        <f>ROUNDUP(MONTH(Table1[[#This Row],[Order_Date]])/3,0)</f>
        <v>1</v>
      </c>
      <c r="Y559">
        <f>YEAR(Table1[[#This Row],[Order_Date]])</f>
        <v>2024</v>
      </c>
    </row>
    <row r="560" spans="1:25" x14ac:dyDescent="0.25">
      <c r="A560" t="s">
        <v>2310</v>
      </c>
      <c r="B560" t="s">
        <v>2311</v>
      </c>
      <c r="C560" t="s">
        <v>2312</v>
      </c>
      <c r="D560" t="s">
        <v>2313</v>
      </c>
      <c r="E560" t="s">
        <v>64</v>
      </c>
      <c r="F560" t="s">
        <v>56</v>
      </c>
      <c r="G560" t="s">
        <v>57</v>
      </c>
      <c r="H560" t="s">
        <v>58</v>
      </c>
      <c r="I560" t="s">
        <v>66</v>
      </c>
      <c r="J560" t="s">
        <v>73</v>
      </c>
      <c r="K560">
        <v>10</v>
      </c>
      <c r="L560">
        <v>557.9</v>
      </c>
      <c r="M560" s="3">
        <v>0</v>
      </c>
      <c r="N560" t="str">
        <f>VLOOKUP(Table1[[#This Row],[Country]],REF_Country!$A$1:$D$11,2,FALSE)</f>
        <v>Southeast Asia</v>
      </c>
      <c r="O560" t="str">
        <f>VLOOKUP(Table1[[#This Row],[Country]],REF_Country!$A$1:$D$11,3,FALSE)</f>
        <v>ID</v>
      </c>
      <c r="P560">
        <f>VLOOKUP(Table1[[#This Row],[Country]],REF_Country!$A$1:$D$11,4,FALSE)</f>
        <v>0.11</v>
      </c>
      <c r="Q560">
        <f>VLOOKUP(Table1[[#This Row],[Category]],REF_Target!$A$1:$E$6,2,FALSE)</f>
        <v>50000</v>
      </c>
      <c r="R560">
        <f>Table1[[#This Row],[Quantity]]*Table1[[#This Row],[Unit_Price]]</f>
        <v>5579</v>
      </c>
      <c r="S560">
        <f>Table1[[#This Row],[Gross_Sales]]*Table1[[#This Row],[Discount_Rate]]</f>
        <v>0</v>
      </c>
      <c r="T560">
        <f>Table1[[#This Row],[Gross_Sales]]-Table1[[#This Row],[Discount_Amount]]</f>
        <v>5579</v>
      </c>
      <c r="U560">
        <f>VLOOKUP(Table1[[#This Row],[Category]],REF_Cost!$A$1:$B$6,2,FALSE)*Table1[[#This Row],[Quantity]]</f>
        <v>4500</v>
      </c>
      <c r="V560">
        <f>Table1[[#This Row],[Net_Sales]]-Table1[[#This Row],[Total_Cost]]</f>
        <v>1079</v>
      </c>
      <c r="W560" t="str">
        <f>TEXT(Table1[[#This Row],[Order_Date]],"mmm")</f>
        <v>Sep</v>
      </c>
      <c r="X560">
        <f>ROUNDUP(MONTH(Table1[[#This Row],[Order_Date]])/3,0)</f>
        <v>3</v>
      </c>
      <c r="Y560">
        <f>YEAR(Table1[[#This Row],[Order_Date]])</f>
        <v>2024</v>
      </c>
    </row>
    <row r="561" spans="1:25" x14ac:dyDescent="0.25">
      <c r="A561" t="s">
        <v>2314</v>
      </c>
      <c r="B561" t="s">
        <v>2315</v>
      </c>
      <c r="C561" t="s">
        <v>2316</v>
      </c>
      <c r="D561" t="s">
        <v>2317</v>
      </c>
      <c r="E561" t="s">
        <v>78</v>
      </c>
      <c r="F561" t="s">
        <v>30</v>
      </c>
      <c r="G561" t="s">
        <v>31</v>
      </c>
      <c r="H561" t="s">
        <v>32</v>
      </c>
      <c r="I561" t="s">
        <v>96</v>
      </c>
      <c r="J561" t="s">
        <v>73</v>
      </c>
      <c r="K561">
        <v>4</v>
      </c>
      <c r="L561">
        <v>1472.16</v>
      </c>
      <c r="M561" s="3">
        <v>0.15</v>
      </c>
      <c r="N561" t="str">
        <f>VLOOKUP(Table1[[#This Row],[Country]],REF_Country!$A$1:$D$11,2,FALSE)</f>
        <v>Oceania</v>
      </c>
      <c r="O561" t="str">
        <f>VLOOKUP(Table1[[#This Row],[Country]],REF_Country!$A$1:$D$11,3,FALSE)</f>
        <v>AU</v>
      </c>
      <c r="P561">
        <f>VLOOKUP(Table1[[#This Row],[Country]],REF_Country!$A$1:$D$11,4,FALSE)</f>
        <v>0.1</v>
      </c>
      <c r="Q561">
        <f>VLOOKUP(Table1[[#This Row],[Category]],REF_Target!$A$1:$E$6,2,FALSE)</f>
        <v>40000</v>
      </c>
      <c r="R561">
        <f>Table1[[#This Row],[Quantity]]*Table1[[#This Row],[Unit_Price]]</f>
        <v>5888.64</v>
      </c>
      <c r="S561">
        <f>Table1[[#This Row],[Gross_Sales]]*Table1[[#This Row],[Discount_Rate]]</f>
        <v>883.29600000000005</v>
      </c>
      <c r="T561">
        <f>Table1[[#This Row],[Gross_Sales]]-Table1[[#This Row],[Discount_Amount]]</f>
        <v>5005.3440000000001</v>
      </c>
      <c r="U561">
        <f>VLOOKUP(Table1[[#This Row],[Category]],REF_Cost!$A$1:$B$6,2,FALSE)*Table1[[#This Row],[Quantity]]</f>
        <v>480</v>
      </c>
      <c r="V561">
        <f>Table1[[#This Row],[Net_Sales]]-Table1[[#This Row],[Total_Cost]]</f>
        <v>4525.3440000000001</v>
      </c>
      <c r="W561" t="str">
        <f>TEXT(Table1[[#This Row],[Order_Date]],"mmm")</f>
        <v>Oct</v>
      </c>
      <c r="X561">
        <f>ROUNDUP(MONTH(Table1[[#This Row],[Order_Date]])/3,0)</f>
        <v>4</v>
      </c>
      <c r="Y561">
        <f>YEAR(Table1[[#This Row],[Order_Date]])</f>
        <v>2024</v>
      </c>
    </row>
    <row r="562" spans="1:25" x14ac:dyDescent="0.25">
      <c r="A562" t="s">
        <v>2318</v>
      </c>
      <c r="B562" t="s">
        <v>2319</v>
      </c>
      <c r="C562" t="s">
        <v>2320</v>
      </c>
      <c r="D562" t="s">
        <v>2321</v>
      </c>
      <c r="E562" t="s">
        <v>29</v>
      </c>
      <c r="F562" t="s">
        <v>40</v>
      </c>
      <c r="G562" t="s">
        <v>565</v>
      </c>
      <c r="H562" t="s">
        <v>58</v>
      </c>
      <c r="I562" t="s">
        <v>96</v>
      </c>
      <c r="J562" t="s">
        <v>34</v>
      </c>
      <c r="K562">
        <v>2</v>
      </c>
      <c r="L562">
        <v>426.56</v>
      </c>
      <c r="M562" s="3">
        <v>0.05</v>
      </c>
      <c r="N562" t="str">
        <f>VLOOKUP(Table1[[#This Row],[Country]],REF_Country!$A$1:$D$11,2,FALSE)</f>
        <v>Southeast Asia</v>
      </c>
      <c r="O562" t="str">
        <f>VLOOKUP(Table1[[#This Row],[Country]],REF_Country!$A$1:$D$11,3,FALSE)</f>
        <v>VN</v>
      </c>
      <c r="P562">
        <f>VLOOKUP(Table1[[#This Row],[Country]],REF_Country!$A$1:$D$11,4,FALSE)</f>
        <v>0.1</v>
      </c>
      <c r="Q562">
        <f>VLOOKUP(Table1[[#This Row],[Category]],REF_Target!$A$1:$E$6,2,FALSE)</f>
        <v>45000</v>
      </c>
      <c r="R562">
        <f>Table1[[#This Row],[Quantity]]*Table1[[#This Row],[Unit_Price]]</f>
        <v>853.12</v>
      </c>
      <c r="S562">
        <f>Table1[[#This Row],[Gross_Sales]]*Table1[[#This Row],[Discount_Rate]]</f>
        <v>42.656000000000006</v>
      </c>
      <c r="T562">
        <f>Table1[[#This Row],[Gross_Sales]]-Table1[[#This Row],[Discount_Amount]]</f>
        <v>810.46399999999994</v>
      </c>
      <c r="U562">
        <f>VLOOKUP(Table1[[#This Row],[Category]],REF_Cost!$A$1:$B$6,2,FALSE)*Table1[[#This Row],[Quantity]]</f>
        <v>160</v>
      </c>
      <c r="V562">
        <f>Table1[[#This Row],[Net_Sales]]-Table1[[#This Row],[Total_Cost]]</f>
        <v>650.46399999999994</v>
      </c>
      <c r="W562" t="str">
        <f>TEXT(Table1[[#This Row],[Order_Date]],"mmm")</f>
        <v>Jun</v>
      </c>
      <c r="X562">
        <f>ROUNDUP(MONTH(Table1[[#This Row],[Order_Date]])/3,0)</f>
        <v>2</v>
      </c>
      <c r="Y562">
        <f>YEAR(Table1[[#This Row],[Order_Date]])</f>
        <v>2024</v>
      </c>
    </row>
    <row r="563" spans="1:25" x14ac:dyDescent="0.25">
      <c r="A563" t="s">
        <v>2322</v>
      </c>
      <c r="B563" t="s">
        <v>2323</v>
      </c>
      <c r="C563" t="s">
        <v>2324</v>
      </c>
      <c r="D563" t="s">
        <v>2325</v>
      </c>
      <c r="E563" t="s">
        <v>78</v>
      </c>
      <c r="F563" t="s">
        <v>40</v>
      </c>
      <c r="G563" t="s">
        <v>315</v>
      </c>
      <c r="H563" t="s">
        <v>32</v>
      </c>
      <c r="I563" t="s">
        <v>43</v>
      </c>
      <c r="J563" t="s">
        <v>34</v>
      </c>
      <c r="K563">
        <v>6</v>
      </c>
      <c r="L563">
        <v>686.19</v>
      </c>
      <c r="M563" s="3">
        <v>0.2</v>
      </c>
      <c r="N563" t="str">
        <f>VLOOKUP(Table1[[#This Row],[Country]],REF_Country!$A$1:$D$11,2,FALSE)</f>
        <v>Oceania</v>
      </c>
      <c r="O563" t="str">
        <f>VLOOKUP(Table1[[#This Row],[Country]],REF_Country!$A$1:$D$11,3,FALSE)</f>
        <v>AU</v>
      </c>
      <c r="P563">
        <f>VLOOKUP(Table1[[#This Row],[Country]],REF_Country!$A$1:$D$11,4,FALSE)</f>
        <v>0.1</v>
      </c>
      <c r="Q563">
        <f>VLOOKUP(Table1[[#This Row],[Category]],REF_Target!$A$1:$E$6,2,FALSE)</f>
        <v>45000</v>
      </c>
      <c r="R563">
        <f>Table1[[#This Row],[Quantity]]*Table1[[#This Row],[Unit_Price]]</f>
        <v>4117.1400000000003</v>
      </c>
      <c r="S563">
        <f>Table1[[#This Row],[Gross_Sales]]*Table1[[#This Row],[Discount_Rate]]</f>
        <v>823.42800000000011</v>
      </c>
      <c r="T563">
        <f>Table1[[#This Row],[Gross_Sales]]-Table1[[#This Row],[Discount_Amount]]</f>
        <v>3293.7120000000004</v>
      </c>
      <c r="U563">
        <f>VLOOKUP(Table1[[#This Row],[Category]],REF_Cost!$A$1:$B$6,2,FALSE)*Table1[[#This Row],[Quantity]]</f>
        <v>480</v>
      </c>
      <c r="V563">
        <f>Table1[[#This Row],[Net_Sales]]-Table1[[#This Row],[Total_Cost]]</f>
        <v>2813.7120000000004</v>
      </c>
      <c r="W563" t="str">
        <f>TEXT(Table1[[#This Row],[Order_Date]],"mmm")</f>
        <v>Sep</v>
      </c>
      <c r="X563">
        <f>ROUNDUP(MONTH(Table1[[#This Row],[Order_Date]])/3,0)</f>
        <v>3</v>
      </c>
      <c r="Y563">
        <f>YEAR(Table1[[#This Row],[Order_Date]])</f>
        <v>2024</v>
      </c>
    </row>
    <row r="564" spans="1:25" x14ac:dyDescent="0.25">
      <c r="A564" t="s">
        <v>2326</v>
      </c>
      <c r="B564" t="s">
        <v>2327</v>
      </c>
      <c r="C564" t="s">
        <v>2328</v>
      </c>
      <c r="D564" t="s">
        <v>2329</v>
      </c>
      <c r="E564" t="s">
        <v>48</v>
      </c>
      <c r="F564" t="s">
        <v>84</v>
      </c>
      <c r="G564" t="s">
        <v>205</v>
      </c>
      <c r="H564" t="s">
        <v>72</v>
      </c>
      <c r="I564" t="s">
        <v>96</v>
      </c>
      <c r="J564" t="s">
        <v>73</v>
      </c>
      <c r="K564">
        <v>5</v>
      </c>
      <c r="L564">
        <v>177.41</v>
      </c>
      <c r="M564" s="3">
        <v>0</v>
      </c>
      <c r="N564" t="str">
        <f>VLOOKUP(Table1[[#This Row],[Country]],REF_Country!$A$1:$D$11,2,FALSE)</f>
        <v>Southeast Asia</v>
      </c>
      <c r="O564" t="str">
        <f>VLOOKUP(Table1[[#This Row],[Country]],REF_Country!$A$1:$D$11,3,FALSE)</f>
        <v>SG</v>
      </c>
      <c r="P564">
        <f>VLOOKUP(Table1[[#This Row],[Country]],REF_Country!$A$1:$D$11,4,FALSE)</f>
        <v>7.0000000000000007E-2</v>
      </c>
      <c r="Q564">
        <f>VLOOKUP(Table1[[#This Row],[Category]],REF_Target!$A$1:$E$6,2,FALSE)</f>
        <v>30000</v>
      </c>
      <c r="R564">
        <f>Table1[[#This Row],[Quantity]]*Table1[[#This Row],[Unit_Price]]</f>
        <v>887.05</v>
      </c>
      <c r="S564">
        <f>Table1[[#This Row],[Gross_Sales]]*Table1[[#This Row],[Discount_Rate]]</f>
        <v>0</v>
      </c>
      <c r="T564">
        <f>Table1[[#This Row],[Gross_Sales]]-Table1[[#This Row],[Discount_Amount]]</f>
        <v>887.05</v>
      </c>
      <c r="U564">
        <f>VLOOKUP(Table1[[#This Row],[Category]],REF_Cost!$A$1:$B$6,2,FALSE)*Table1[[#This Row],[Quantity]]</f>
        <v>1000</v>
      </c>
      <c r="V564">
        <f>Table1[[#This Row],[Net_Sales]]-Table1[[#This Row],[Total_Cost]]</f>
        <v>-112.95000000000005</v>
      </c>
      <c r="W564" t="str">
        <f>TEXT(Table1[[#This Row],[Order_Date]],"mmm")</f>
        <v>Feb</v>
      </c>
      <c r="X564">
        <f>ROUNDUP(MONTH(Table1[[#This Row],[Order_Date]])/3,0)</f>
        <v>1</v>
      </c>
      <c r="Y564">
        <f>YEAR(Table1[[#This Row],[Order_Date]])</f>
        <v>2024</v>
      </c>
    </row>
    <row r="565" spans="1:25" x14ac:dyDescent="0.25">
      <c r="A565" t="s">
        <v>2330</v>
      </c>
      <c r="B565" t="s">
        <v>2331</v>
      </c>
      <c r="C565" t="s">
        <v>2332</v>
      </c>
      <c r="D565" t="s">
        <v>2333</v>
      </c>
      <c r="E565" t="s">
        <v>29</v>
      </c>
      <c r="F565" t="s">
        <v>49</v>
      </c>
      <c r="G565" t="s">
        <v>259</v>
      </c>
      <c r="H565" t="s">
        <v>42</v>
      </c>
      <c r="I565" t="s">
        <v>96</v>
      </c>
      <c r="J565" t="s">
        <v>126</v>
      </c>
      <c r="K565">
        <v>8</v>
      </c>
      <c r="L565">
        <v>1398.61</v>
      </c>
      <c r="M565" s="3">
        <v>0.05</v>
      </c>
      <c r="N565" t="str">
        <f>VLOOKUP(Table1[[#This Row],[Country]],REF_Country!$A$1:$D$11,2,FALSE)</f>
        <v>Southeast Asia</v>
      </c>
      <c r="O565" t="str">
        <f>VLOOKUP(Table1[[#This Row],[Country]],REF_Country!$A$1:$D$11,3,FALSE)</f>
        <v>VN</v>
      </c>
      <c r="P565">
        <f>VLOOKUP(Table1[[#This Row],[Country]],REF_Country!$A$1:$D$11,4,FALSE)</f>
        <v>0.1</v>
      </c>
      <c r="Q565">
        <f>VLOOKUP(Table1[[#This Row],[Category]],REF_Target!$A$1:$E$6,2,FALSE)</f>
        <v>35000</v>
      </c>
      <c r="R565">
        <f>Table1[[#This Row],[Quantity]]*Table1[[#This Row],[Unit_Price]]</f>
        <v>11188.88</v>
      </c>
      <c r="S565">
        <f>Table1[[#This Row],[Gross_Sales]]*Table1[[#This Row],[Discount_Rate]]</f>
        <v>559.44399999999996</v>
      </c>
      <c r="T565">
        <f>Table1[[#This Row],[Gross_Sales]]-Table1[[#This Row],[Discount_Amount]]</f>
        <v>10629.436</v>
      </c>
      <c r="U565">
        <f>VLOOKUP(Table1[[#This Row],[Category]],REF_Cost!$A$1:$B$6,2,FALSE)*Table1[[#This Row],[Quantity]]</f>
        <v>1200</v>
      </c>
      <c r="V565">
        <f>Table1[[#This Row],[Net_Sales]]-Table1[[#This Row],[Total_Cost]]</f>
        <v>9429.4359999999997</v>
      </c>
      <c r="W565" t="str">
        <f>TEXT(Table1[[#This Row],[Order_Date]],"mmm")</f>
        <v>Sep</v>
      </c>
      <c r="X565">
        <f>ROUNDUP(MONTH(Table1[[#This Row],[Order_Date]])/3,0)</f>
        <v>3</v>
      </c>
      <c r="Y565">
        <f>YEAR(Table1[[#This Row],[Order_Date]])</f>
        <v>2024</v>
      </c>
    </row>
    <row r="566" spans="1:25" x14ac:dyDescent="0.25">
      <c r="A566" t="s">
        <v>2334</v>
      </c>
      <c r="B566" t="s">
        <v>2335</v>
      </c>
      <c r="C566" t="s">
        <v>2336</v>
      </c>
      <c r="D566" t="s">
        <v>2337</v>
      </c>
      <c r="E566" t="s">
        <v>39</v>
      </c>
      <c r="F566" t="s">
        <v>40</v>
      </c>
      <c r="G566" t="s">
        <v>315</v>
      </c>
      <c r="H566" t="s">
        <v>58</v>
      </c>
      <c r="I566" t="s">
        <v>96</v>
      </c>
      <c r="J566" t="s">
        <v>34</v>
      </c>
      <c r="K566">
        <v>6</v>
      </c>
      <c r="L566">
        <v>626.36</v>
      </c>
      <c r="M566" s="3">
        <v>0.2</v>
      </c>
      <c r="N566" t="str">
        <f>VLOOKUP(Table1[[#This Row],[Country]],REF_Country!$A$1:$D$11,2,FALSE)</f>
        <v>Southeast Asia</v>
      </c>
      <c r="O566" t="str">
        <f>VLOOKUP(Table1[[#This Row],[Country]],REF_Country!$A$1:$D$11,3,FALSE)</f>
        <v>TH</v>
      </c>
      <c r="P566">
        <f>VLOOKUP(Table1[[#This Row],[Country]],REF_Country!$A$1:$D$11,4,FALSE)</f>
        <v>7.0000000000000007E-2</v>
      </c>
      <c r="Q566">
        <f>VLOOKUP(Table1[[#This Row],[Category]],REF_Target!$A$1:$E$6,2,FALSE)</f>
        <v>45000</v>
      </c>
      <c r="R566">
        <f>Table1[[#This Row],[Quantity]]*Table1[[#This Row],[Unit_Price]]</f>
        <v>3758.16</v>
      </c>
      <c r="S566">
        <f>Table1[[#This Row],[Gross_Sales]]*Table1[[#This Row],[Discount_Rate]]</f>
        <v>751.63200000000006</v>
      </c>
      <c r="T566">
        <f>Table1[[#This Row],[Gross_Sales]]-Table1[[#This Row],[Discount_Amount]]</f>
        <v>3006.5279999999998</v>
      </c>
      <c r="U566">
        <f>VLOOKUP(Table1[[#This Row],[Category]],REF_Cost!$A$1:$B$6,2,FALSE)*Table1[[#This Row],[Quantity]]</f>
        <v>480</v>
      </c>
      <c r="V566">
        <f>Table1[[#This Row],[Net_Sales]]-Table1[[#This Row],[Total_Cost]]</f>
        <v>2526.5279999999998</v>
      </c>
      <c r="W566" t="str">
        <f>TEXT(Table1[[#This Row],[Order_Date]],"mmm")</f>
        <v>Apr</v>
      </c>
      <c r="X566">
        <f>ROUNDUP(MONTH(Table1[[#This Row],[Order_Date]])/3,0)</f>
        <v>2</v>
      </c>
      <c r="Y566">
        <f>YEAR(Table1[[#This Row],[Order_Date]])</f>
        <v>2024</v>
      </c>
    </row>
    <row r="567" spans="1:25" x14ac:dyDescent="0.25">
      <c r="A567" t="s">
        <v>2338</v>
      </c>
      <c r="B567" t="s">
        <v>2339</v>
      </c>
      <c r="C567" t="s">
        <v>2340</v>
      </c>
      <c r="D567" t="s">
        <v>2341</v>
      </c>
      <c r="E567" t="s">
        <v>29</v>
      </c>
      <c r="F567" t="s">
        <v>30</v>
      </c>
      <c r="G567" t="s">
        <v>65</v>
      </c>
      <c r="H567" t="s">
        <v>32</v>
      </c>
      <c r="I567" t="s">
        <v>43</v>
      </c>
      <c r="J567" t="s">
        <v>59</v>
      </c>
      <c r="K567">
        <v>6</v>
      </c>
      <c r="L567">
        <v>351.77</v>
      </c>
      <c r="M567" s="3">
        <v>0.05</v>
      </c>
      <c r="N567" t="str">
        <f>VLOOKUP(Table1[[#This Row],[Country]],REF_Country!$A$1:$D$11,2,FALSE)</f>
        <v>Southeast Asia</v>
      </c>
      <c r="O567" t="str">
        <f>VLOOKUP(Table1[[#This Row],[Country]],REF_Country!$A$1:$D$11,3,FALSE)</f>
        <v>VN</v>
      </c>
      <c r="P567">
        <f>VLOOKUP(Table1[[#This Row],[Country]],REF_Country!$A$1:$D$11,4,FALSE)</f>
        <v>0.1</v>
      </c>
      <c r="Q567">
        <f>VLOOKUP(Table1[[#This Row],[Category]],REF_Target!$A$1:$E$6,2,FALSE)</f>
        <v>40000</v>
      </c>
      <c r="R567">
        <f>Table1[[#This Row],[Quantity]]*Table1[[#This Row],[Unit_Price]]</f>
        <v>2110.62</v>
      </c>
      <c r="S567">
        <f>Table1[[#This Row],[Gross_Sales]]*Table1[[#This Row],[Discount_Rate]]</f>
        <v>105.53100000000001</v>
      </c>
      <c r="T567">
        <f>Table1[[#This Row],[Gross_Sales]]-Table1[[#This Row],[Discount_Amount]]</f>
        <v>2005.0889999999999</v>
      </c>
      <c r="U567">
        <f>VLOOKUP(Table1[[#This Row],[Category]],REF_Cost!$A$1:$B$6,2,FALSE)*Table1[[#This Row],[Quantity]]</f>
        <v>720</v>
      </c>
      <c r="V567">
        <f>Table1[[#This Row],[Net_Sales]]-Table1[[#This Row],[Total_Cost]]</f>
        <v>1285.0889999999999</v>
      </c>
      <c r="W567" t="str">
        <f>TEXT(Table1[[#This Row],[Order_Date]],"mmm")</f>
        <v>Jun</v>
      </c>
      <c r="X567">
        <f>ROUNDUP(MONTH(Table1[[#This Row],[Order_Date]])/3,0)</f>
        <v>2</v>
      </c>
      <c r="Y567">
        <f>YEAR(Table1[[#This Row],[Order_Date]])</f>
        <v>2024</v>
      </c>
    </row>
    <row r="568" spans="1:25" x14ac:dyDescent="0.25">
      <c r="A568" t="s">
        <v>2342</v>
      </c>
      <c r="B568" t="s">
        <v>2343</v>
      </c>
      <c r="C568" t="s">
        <v>2344</v>
      </c>
      <c r="D568" t="s">
        <v>2345</v>
      </c>
      <c r="E568" t="s">
        <v>48</v>
      </c>
      <c r="F568" t="s">
        <v>40</v>
      </c>
      <c r="G568" t="s">
        <v>315</v>
      </c>
      <c r="H568" t="s">
        <v>72</v>
      </c>
      <c r="I568" t="s">
        <v>43</v>
      </c>
      <c r="J568" t="s">
        <v>73</v>
      </c>
      <c r="K568">
        <v>3</v>
      </c>
      <c r="L568">
        <v>285.69</v>
      </c>
      <c r="M568" s="3">
        <v>0.2</v>
      </c>
      <c r="N568" t="str">
        <f>VLOOKUP(Table1[[#This Row],[Country]],REF_Country!$A$1:$D$11,2,FALSE)</f>
        <v>Southeast Asia</v>
      </c>
      <c r="O568" t="str">
        <f>VLOOKUP(Table1[[#This Row],[Country]],REF_Country!$A$1:$D$11,3,FALSE)</f>
        <v>SG</v>
      </c>
      <c r="P568">
        <f>VLOOKUP(Table1[[#This Row],[Country]],REF_Country!$A$1:$D$11,4,FALSE)</f>
        <v>7.0000000000000007E-2</v>
      </c>
      <c r="Q568">
        <f>VLOOKUP(Table1[[#This Row],[Category]],REF_Target!$A$1:$E$6,2,FALSE)</f>
        <v>45000</v>
      </c>
      <c r="R568">
        <f>Table1[[#This Row],[Quantity]]*Table1[[#This Row],[Unit_Price]]</f>
        <v>857.06999999999994</v>
      </c>
      <c r="S568">
        <f>Table1[[#This Row],[Gross_Sales]]*Table1[[#This Row],[Discount_Rate]]</f>
        <v>171.41399999999999</v>
      </c>
      <c r="T568">
        <f>Table1[[#This Row],[Gross_Sales]]-Table1[[#This Row],[Discount_Amount]]</f>
        <v>685.65599999999995</v>
      </c>
      <c r="U568">
        <f>VLOOKUP(Table1[[#This Row],[Category]],REF_Cost!$A$1:$B$6,2,FALSE)*Table1[[#This Row],[Quantity]]</f>
        <v>240</v>
      </c>
      <c r="V568">
        <f>Table1[[#This Row],[Net_Sales]]-Table1[[#This Row],[Total_Cost]]</f>
        <v>445.65599999999995</v>
      </c>
      <c r="W568" t="str">
        <f>TEXT(Table1[[#This Row],[Order_Date]],"mmm")</f>
        <v>Aug</v>
      </c>
      <c r="X568">
        <f>ROUNDUP(MONTH(Table1[[#This Row],[Order_Date]])/3,0)</f>
        <v>3</v>
      </c>
      <c r="Y568">
        <f>YEAR(Table1[[#This Row],[Order_Date]])</f>
        <v>2024</v>
      </c>
    </row>
    <row r="569" spans="1:25" x14ac:dyDescent="0.25">
      <c r="A569" t="s">
        <v>2346</v>
      </c>
      <c r="B569" t="s">
        <v>2347</v>
      </c>
      <c r="C569" t="s">
        <v>2348</v>
      </c>
      <c r="D569" t="s">
        <v>2349</v>
      </c>
      <c r="E569" t="s">
        <v>48</v>
      </c>
      <c r="F569" t="s">
        <v>49</v>
      </c>
      <c r="G569" t="s">
        <v>50</v>
      </c>
      <c r="H569" t="s">
        <v>32</v>
      </c>
      <c r="I569" t="s">
        <v>66</v>
      </c>
      <c r="J569" t="s">
        <v>59</v>
      </c>
      <c r="K569">
        <v>4</v>
      </c>
      <c r="L569">
        <v>563.96</v>
      </c>
      <c r="M569" s="3">
        <v>0.15</v>
      </c>
      <c r="N569" t="str">
        <f>VLOOKUP(Table1[[#This Row],[Country]],REF_Country!$A$1:$D$11,2,FALSE)</f>
        <v>Southeast Asia</v>
      </c>
      <c r="O569" t="str">
        <f>VLOOKUP(Table1[[#This Row],[Country]],REF_Country!$A$1:$D$11,3,FALSE)</f>
        <v>SG</v>
      </c>
      <c r="P569">
        <f>VLOOKUP(Table1[[#This Row],[Country]],REF_Country!$A$1:$D$11,4,FALSE)</f>
        <v>7.0000000000000007E-2</v>
      </c>
      <c r="Q569">
        <f>VLOOKUP(Table1[[#This Row],[Category]],REF_Target!$A$1:$E$6,2,FALSE)</f>
        <v>35000</v>
      </c>
      <c r="R569">
        <f>Table1[[#This Row],[Quantity]]*Table1[[#This Row],[Unit_Price]]</f>
        <v>2255.84</v>
      </c>
      <c r="S569">
        <f>Table1[[#This Row],[Gross_Sales]]*Table1[[#This Row],[Discount_Rate]]</f>
        <v>338.37600000000003</v>
      </c>
      <c r="T569">
        <f>Table1[[#This Row],[Gross_Sales]]-Table1[[#This Row],[Discount_Amount]]</f>
        <v>1917.4640000000002</v>
      </c>
      <c r="U569">
        <f>VLOOKUP(Table1[[#This Row],[Category]],REF_Cost!$A$1:$B$6,2,FALSE)*Table1[[#This Row],[Quantity]]</f>
        <v>600</v>
      </c>
      <c r="V569">
        <f>Table1[[#This Row],[Net_Sales]]-Table1[[#This Row],[Total_Cost]]</f>
        <v>1317.4640000000002</v>
      </c>
      <c r="W569" t="str">
        <f>TEXT(Table1[[#This Row],[Order_Date]],"mmm")</f>
        <v>Jan</v>
      </c>
      <c r="X569">
        <f>ROUNDUP(MONTH(Table1[[#This Row],[Order_Date]])/3,0)</f>
        <v>1</v>
      </c>
      <c r="Y569">
        <f>YEAR(Table1[[#This Row],[Order_Date]])</f>
        <v>2024</v>
      </c>
    </row>
    <row r="570" spans="1:25" x14ac:dyDescent="0.25">
      <c r="A570" t="s">
        <v>2350</v>
      </c>
      <c r="B570" t="s">
        <v>2351</v>
      </c>
      <c r="C570" t="s">
        <v>2352</v>
      </c>
      <c r="D570" t="s">
        <v>2353</v>
      </c>
      <c r="E570" t="s">
        <v>48</v>
      </c>
      <c r="F570" t="s">
        <v>40</v>
      </c>
      <c r="G570" t="s">
        <v>315</v>
      </c>
      <c r="H570" t="s">
        <v>42</v>
      </c>
      <c r="I570" t="s">
        <v>43</v>
      </c>
      <c r="J570" t="s">
        <v>34</v>
      </c>
      <c r="K570">
        <v>1</v>
      </c>
      <c r="L570">
        <v>195.41</v>
      </c>
      <c r="M570" s="3">
        <v>0.1</v>
      </c>
      <c r="N570" t="str">
        <f>VLOOKUP(Table1[[#This Row],[Country]],REF_Country!$A$1:$D$11,2,FALSE)</f>
        <v>Southeast Asia</v>
      </c>
      <c r="O570" t="str">
        <f>VLOOKUP(Table1[[#This Row],[Country]],REF_Country!$A$1:$D$11,3,FALSE)</f>
        <v>SG</v>
      </c>
      <c r="P570">
        <f>VLOOKUP(Table1[[#This Row],[Country]],REF_Country!$A$1:$D$11,4,FALSE)</f>
        <v>7.0000000000000007E-2</v>
      </c>
      <c r="Q570">
        <f>VLOOKUP(Table1[[#This Row],[Category]],REF_Target!$A$1:$E$6,2,FALSE)</f>
        <v>45000</v>
      </c>
      <c r="R570">
        <f>Table1[[#This Row],[Quantity]]*Table1[[#This Row],[Unit_Price]]</f>
        <v>195.41</v>
      </c>
      <c r="S570">
        <f>Table1[[#This Row],[Gross_Sales]]*Table1[[#This Row],[Discount_Rate]]</f>
        <v>19.541</v>
      </c>
      <c r="T570">
        <f>Table1[[#This Row],[Gross_Sales]]-Table1[[#This Row],[Discount_Amount]]</f>
        <v>175.869</v>
      </c>
      <c r="U570">
        <f>VLOOKUP(Table1[[#This Row],[Category]],REF_Cost!$A$1:$B$6,2,FALSE)*Table1[[#This Row],[Quantity]]</f>
        <v>80</v>
      </c>
      <c r="V570">
        <f>Table1[[#This Row],[Net_Sales]]-Table1[[#This Row],[Total_Cost]]</f>
        <v>95.869</v>
      </c>
      <c r="W570" t="str">
        <f>TEXT(Table1[[#This Row],[Order_Date]],"mmm")</f>
        <v>Jul</v>
      </c>
      <c r="X570">
        <f>ROUNDUP(MONTH(Table1[[#This Row],[Order_Date]])/3,0)</f>
        <v>3</v>
      </c>
      <c r="Y570">
        <f>YEAR(Table1[[#This Row],[Order_Date]])</f>
        <v>2024</v>
      </c>
    </row>
    <row r="571" spans="1:25" x14ac:dyDescent="0.25">
      <c r="A571" t="s">
        <v>2354</v>
      </c>
      <c r="B571" t="s">
        <v>2355</v>
      </c>
      <c r="C571" t="s">
        <v>2356</v>
      </c>
      <c r="D571" t="s">
        <v>2357</v>
      </c>
      <c r="E571" t="s">
        <v>78</v>
      </c>
      <c r="F571" t="s">
        <v>40</v>
      </c>
      <c r="G571" t="s">
        <v>315</v>
      </c>
      <c r="H571" t="s">
        <v>58</v>
      </c>
      <c r="I571" t="s">
        <v>33</v>
      </c>
      <c r="J571" t="s">
        <v>73</v>
      </c>
      <c r="K571">
        <v>5</v>
      </c>
      <c r="L571">
        <v>976.16</v>
      </c>
      <c r="M571" s="3">
        <v>0.1</v>
      </c>
      <c r="N571" t="str">
        <f>VLOOKUP(Table1[[#This Row],[Country]],REF_Country!$A$1:$D$11,2,FALSE)</f>
        <v>Oceania</v>
      </c>
      <c r="O571" t="str">
        <f>VLOOKUP(Table1[[#This Row],[Country]],REF_Country!$A$1:$D$11,3,FALSE)</f>
        <v>AU</v>
      </c>
      <c r="P571">
        <f>VLOOKUP(Table1[[#This Row],[Country]],REF_Country!$A$1:$D$11,4,FALSE)</f>
        <v>0.1</v>
      </c>
      <c r="Q571">
        <f>VLOOKUP(Table1[[#This Row],[Category]],REF_Target!$A$1:$E$6,2,FALSE)</f>
        <v>45000</v>
      </c>
      <c r="R571">
        <f>Table1[[#This Row],[Quantity]]*Table1[[#This Row],[Unit_Price]]</f>
        <v>4880.8</v>
      </c>
      <c r="S571">
        <f>Table1[[#This Row],[Gross_Sales]]*Table1[[#This Row],[Discount_Rate]]</f>
        <v>488.08000000000004</v>
      </c>
      <c r="T571">
        <f>Table1[[#This Row],[Gross_Sales]]-Table1[[#This Row],[Discount_Amount]]</f>
        <v>4392.72</v>
      </c>
      <c r="U571">
        <f>VLOOKUP(Table1[[#This Row],[Category]],REF_Cost!$A$1:$B$6,2,FALSE)*Table1[[#This Row],[Quantity]]</f>
        <v>400</v>
      </c>
      <c r="V571">
        <f>Table1[[#This Row],[Net_Sales]]-Table1[[#This Row],[Total_Cost]]</f>
        <v>3992.7200000000003</v>
      </c>
      <c r="W571" t="str">
        <f>TEXT(Table1[[#This Row],[Order_Date]],"mmm")</f>
        <v>Mar</v>
      </c>
      <c r="X571">
        <f>ROUNDUP(MONTH(Table1[[#This Row],[Order_Date]])/3,0)</f>
        <v>1</v>
      </c>
      <c r="Y571">
        <f>YEAR(Table1[[#This Row],[Order_Date]])</f>
        <v>2024</v>
      </c>
    </row>
    <row r="572" spans="1:25" x14ac:dyDescent="0.25">
      <c r="A572" t="s">
        <v>2358</v>
      </c>
      <c r="B572" t="s">
        <v>2359</v>
      </c>
      <c r="C572" t="s">
        <v>2360</v>
      </c>
      <c r="D572" t="s">
        <v>2361</v>
      </c>
      <c r="E572" t="s">
        <v>116</v>
      </c>
      <c r="F572" t="s">
        <v>49</v>
      </c>
      <c r="G572" t="s">
        <v>117</v>
      </c>
      <c r="H572" t="s">
        <v>58</v>
      </c>
      <c r="I572" t="s">
        <v>51</v>
      </c>
      <c r="J572" t="s">
        <v>34</v>
      </c>
      <c r="K572">
        <v>9</v>
      </c>
      <c r="L572">
        <v>222.04</v>
      </c>
      <c r="M572" s="3">
        <v>0</v>
      </c>
      <c r="N572" t="str">
        <f>VLOOKUP(Table1[[#This Row],[Country]],REF_Country!$A$1:$D$11,2,FALSE)</f>
        <v>Southeast Asia</v>
      </c>
      <c r="O572" t="str">
        <f>VLOOKUP(Table1[[#This Row],[Country]],REF_Country!$A$1:$D$11,3,FALSE)</f>
        <v>MY</v>
      </c>
      <c r="P572">
        <f>VLOOKUP(Table1[[#This Row],[Country]],REF_Country!$A$1:$D$11,4,FALSE)</f>
        <v>0.06</v>
      </c>
      <c r="Q572">
        <f>VLOOKUP(Table1[[#This Row],[Category]],REF_Target!$A$1:$E$6,2,FALSE)</f>
        <v>35000</v>
      </c>
      <c r="R572">
        <f>Table1[[#This Row],[Quantity]]*Table1[[#This Row],[Unit_Price]]</f>
        <v>1998.36</v>
      </c>
      <c r="S572">
        <f>Table1[[#This Row],[Gross_Sales]]*Table1[[#This Row],[Discount_Rate]]</f>
        <v>0</v>
      </c>
      <c r="T572">
        <f>Table1[[#This Row],[Gross_Sales]]-Table1[[#This Row],[Discount_Amount]]</f>
        <v>1998.36</v>
      </c>
      <c r="U572">
        <f>VLOOKUP(Table1[[#This Row],[Category]],REF_Cost!$A$1:$B$6,2,FALSE)*Table1[[#This Row],[Quantity]]</f>
        <v>1350</v>
      </c>
      <c r="V572">
        <f>Table1[[#This Row],[Net_Sales]]-Table1[[#This Row],[Total_Cost]]</f>
        <v>648.3599999999999</v>
      </c>
      <c r="W572" t="str">
        <f>TEXT(Table1[[#This Row],[Order_Date]],"mmm")</f>
        <v>Aug</v>
      </c>
      <c r="X572">
        <f>ROUNDUP(MONTH(Table1[[#This Row],[Order_Date]])/3,0)</f>
        <v>3</v>
      </c>
      <c r="Y572">
        <f>YEAR(Table1[[#This Row],[Order_Date]])</f>
        <v>2024</v>
      </c>
    </row>
    <row r="573" spans="1:25" x14ac:dyDescent="0.25">
      <c r="A573" t="s">
        <v>2362</v>
      </c>
      <c r="B573" t="s">
        <v>2363</v>
      </c>
      <c r="C573" t="s">
        <v>2364</v>
      </c>
      <c r="D573" t="s">
        <v>2365</v>
      </c>
      <c r="E573" t="s">
        <v>116</v>
      </c>
      <c r="F573" t="s">
        <v>84</v>
      </c>
      <c r="G573" t="s">
        <v>205</v>
      </c>
      <c r="H573" t="s">
        <v>72</v>
      </c>
      <c r="I573" t="s">
        <v>66</v>
      </c>
      <c r="J573" t="s">
        <v>73</v>
      </c>
      <c r="K573">
        <v>4</v>
      </c>
      <c r="L573">
        <v>918.1</v>
      </c>
      <c r="M573" s="3">
        <v>0.15</v>
      </c>
      <c r="N573" t="str">
        <f>VLOOKUP(Table1[[#This Row],[Country]],REF_Country!$A$1:$D$11,2,FALSE)</f>
        <v>Southeast Asia</v>
      </c>
      <c r="O573" t="str">
        <f>VLOOKUP(Table1[[#This Row],[Country]],REF_Country!$A$1:$D$11,3,FALSE)</f>
        <v>MY</v>
      </c>
      <c r="P573">
        <f>VLOOKUP(Table1[[#This Row],[Country]],REF_Country!$A$1:$D$11,4,FALSE)</f>
        <v>0.06</v>
      </c>
      <c r="Q573">
        <f>VLOOKUP(Table1[[#This Row],[Category]],REF_Target!$A$1:$E$6,2,FALSE)</f>
        <v>30000</v>
      </c>
      <c r="R573">
        <f>Table1[[#This Row],[Quantity]]*Table1[[#This Row],[Unit_Price]]</f>
        <v>3672.4</v>
      </c>
      <c r="S573">
        <f>Table1[[#This Row],[Gross_Sales]]*Table1[[#This Row],[Discount_Rate]]</f>
        <v>550.86</v>
      </c>
      <c r="T573">
        <f>Table1[[#This Row],[Gross_Sales]]-Table1[[#This Row],[Discount_Amount]]</f>
        <v>3121.54</v>
      </c>
      <c r="U573">
        <f>VLOOKUP(Table1[[#This Row],[Category]],REF_Cost!$A$1:$B$6,2,FALSE)*Table1[[#This Row],[Quantity]]</f>
        <v>800</v>
      </c>
      <c r="V573">
        <f>Table1[[#This Row],[Net_Sales]]-Table1[[#This Row],[Total_Cost]]</f>
        <v>2321.54</v>
      </c>
      <c r="W573" t="str">
        <f>TEXT(Table1[[#This Row],[Order_Date]],"mmm")</f>
        <v>Apr</v>
      </c>
      <c r="X573">
        <f>ROUNDUP(MONTH(Table1[[#This Row],[Order_Date]])/3,0)</f>
        <v>2</v>
      </c>
      <c r="Y573">
        <f>YEAR(Table1[[#This Row],[Order_Date]])</f>
        <v>2024</v>
      </c>
    </row>
    <row r="574" spans="1:25" x14ac:dyDescent="0.25">
      <c r="A574" t="s">
        <v>2366</v>
      </c>
      <c r="B574" t="s">
        <v>2367</v>
      </c>
      <c r="C574" t="s">
        <v>2368</v>
      </c>
      <c r="D574" t="s">
        <v>2369</v>
      </c>
      <c r="E574" t="s">
        <v>200</v>
      </c>
      <c r="F574" t="s">
        <v>56</v>
      </c>
      <c r="G574" t="s">
        <v>111</v>
      </c>
      <c r="H574" t="s">
        <v>32</v>
      </c>
      <c r="I574" t="s">
        <v>66</v>
      </c>
      <c r="J574" t="s">
        <v>34</v>
      </c>
      <c r="K574">
        <v>8</v>
      </c>
      <c r="L574">
        <v>600.72</v>
      </c>
      <c r="M574" s="3">
        <v>0.05</v>
      </c>
      <c r="N574" t="str">
        <f>VLOOKUP(Table1[[#This Row],[Country]],REF_Country!$A$1:$D$11,2,FALSE)</f>
        <v>East Asia</v>
      </c>
      <c r="O574" t="str">
        <f>VLOOKUP(Table1[[#This Row],[Country]],REF_Country!$A$1:$D$11,3,FALSE)</f>
        <v>KR</v>
      </c>
      <c r="P574">
        <f>VLOOKUP(Table1[[#This Row],[Country]],REF_Country!$A$1:$D$11,4,FALSE)</f>
        <v>0.1</v>
      </c>
      <c r="Q574">
        <f>VLOOKUP(Table1[[#This Row],[Category]],REF_Target!$A$1:$E$6,2,FALSE)</f>
        <v>50000</v>
      </c>
      <c r="R574">
        <f>Table1[[#This Row],[Quantity]]*Table1[[#This Row],[Unit_Price]]</f>
        <v>4805.76</v>
      </c>
      <c r="S574">
        <f>Table1[[#This Row],[Gross_Sales]]*Table1[[#This Row],[Discount_Rate]]</f>
        <v>240.28800000000001</v>
      </c>
      <c r="T574">
        <f>Table1[[#This Row],[Gross_Sales]]-Table1[[#This Row],[Discount_Amount]]</f>
        <v>4565.4719999999998</v>
      </c>
      <c r="U574">
        <f>VLOOKUP(Table1[[#This Row],[Category]],REF_Cost!$A$1:$B$6,2,FALSE)*Table1[[#This Row],[Quantity]]</f>
        <v>3600</v>
      </c>
      <c r="V574">
        <f>Table1[[#This Row],[Net_Sales]]-Table1[[#This Row],[Total_Cost]]</f>
        <v>965.47199999999975</v>
      </c>
      <c r="W574" t="str">
        <f>TEXT(Table1[[#This Row],[Order_Date]],"mmm")</f>
        <v>Feb</v>
      </c>
      <c r="X574">
        <f>ROUNDUP(MONTH(Table1[[#This Row],[Order_Date]])/3,0)</f>
        <v>1</v>
      </c>
      <c r="Y574">
        <f>YEAR(Table1[[#This Row],[Order_Date]])</f>
        <v>2024</v>
      </c>
    </row>
    <row r="575" spans="1:25" x14ac:dyDescent="0.25">
      <c r="A575" t="s">
        <v>2370</v>
      </c>
      <c r="B575" t="s">
        <v>2371</v>
      </c>
      <c r="C575" t="s">
        <v>2372</v>
      </c>
      <c r="D575" t="s">
        <v>2373</v>
      </c>
      <c r="E575" t="s">
        <v>64</v>
      </c>
      <c r="F575" t="s">
        <v>84</v>
      </c>
      <c r="G575" t="s">
        <v>412</v>
      </c>
      <c r="H575" t="s">
        <v>32</v>
      </c>
      <c r="I575" t="s">
        <v>43</v>
      </c>
      <c r="J575" t="s">
        <v>34</v>
      </c>
      <c r="K575">
        <v>8</v>
      </c>
      <c r="L575">
        <v>536.76</v>
      </c>
      <c r="M575" s="3">
        <v>0.15</v>
      </c>
      <c r="N575" t="str">
        <f>VLOOKUP(Table1[[#This Row],[Country]],REF_Country!$A$1:$D$11,2,FALSE)</f>
        <v>Southeast Asia</v>
      </c>
      <c r="O575" t="str">
        <f>VLOOKUP(Table1[[#This Row],[Country]],REF_Country!$A$1:$D$11,3,FALSE)</f>
        <v>ID</v>
      </c>
      <c r="P575">
        <f>VLOOKUP(Table1[[#This Row],[Country]],REF_Country!$A$1:$D$11,4,FALSE)</f>
        <v>0.11</v>
      </c>
      <c r="Q575">
        <f>VLOOKUP(Table1[[#This Row],[Category]],REF_Target!$A$1:$E$6,2,FALSE)</f>
        <v>30000</v>
      </c>
      <c r="R575">
        <f>Table1[[#This Row],[Quantity]]*Table1[[#This Row],[Unit_Price]]</f>
        <v>4294.08</v>
      </c>
      <c r="S575">
        <f>Table1[[#This Row],[Gross_Sales]]*Table1[[#This Row],[Discount_Rate]]</f>
        <v>644.11199999999997</v>
      </c>
      <c r="T575">
        <f>Table1[[#This Row],[Gross_Sales]]-Table1[[#This Row],[Discount_Amount]]</f>
        <v>3649.9679999999998</v>
      </c>
      <c r="U575">
        <f>VLOOKUP(Table1[[#This Row],[Category]],REF_Cost!$A$1:$B$6,2,FALSE)*Table1[[#This Row],[Quantity]]</f>
        <v>1600</v>
      </c>
      <c r="V575">
        <f>Table1[[#This Row],[Net_Sales]]-Table1[[#This Row],[Total_Cost]]</f>
        <v>2049.9679999999998</v>
      </c>
      <c r="W575" t="str">
        <f>TEXT(Table1[[#This Row],[Order_Date]],"mmm")</f>
        <v>Jul</v>
      </c>
      <c r="X575">
        <f>ROUNDUP(MONTH(Table1[[#This Row],[Order_Date]])/3,0)</f>
        <v>3</v>
      </c>
      <c r="Y575">
        <f>YEAR(Table1[[#This Row],[Order_Date]])</f>
        <v>2024</v>
      </c>
    </row>
    <row r="576" spans="1:25" x14ac:dyDescent="0.25">
      <c r="A576" t="s">
        <v>2374</v>
      </c>
      <c r="B576" t="s">
        <v>2375</v>
      </c>
      <c r="C576" t="s">
        <v>2376</v>
      </c>
      <c r="D576" t="s">
        <v>2377</v>
      </c>
      <c r="E576" t="s">
        <v>149</v>
      </c>
      <c r="F576" t="s">
        <v>49</v>
      </c>
      <c r="G576" t="s">
        <v>286</v>
      </c>
      <c r="H576" t="s">
        <v>72</v>
      </c>
      <c r="I576" t="s">
        <v>43</v>
      </c>
      <c r="J576" t="s">
        <v>59</v>
      </c>
      <c r="K576">
        <v>10</v>
      </c>
      <c r="L576">
        <v>1255.73</v>
      </c>
      <c r="M576" s="3">
        <v>0</v>
      </c>
      <c r="N576" t="str">
        <f>VLOOKUP(Table1[[#This Row],[Country]],REF_Country!$A$1:$D$11,2,FALSE)</f>
        <v>East Asia</v>
      </c>
      <c r="O576" t="str">
        <f>VLOOKUP(Table1[[#This Row],[Country]],REF_Country!$A$1:$D$11,3,FALSE)</f>
        <v>JP</v>
      </c>
      <c r="P576">
        <f>VLOOKUP(Table1[[#This Row],[Country]],REF_Country!$A$1:$D$11,4,FALSE)</f>
        <v>0.1</v>
      </c>
      <c r="Q576">
        <f>VLOOKUP(Table1[[#This Row],[Category]],REF_Target!$A$1:$E$6,2,FALSE)</f>
        <v>35000</v>
      </c>
      <c r="R576">
        <f>Table1[[#This Row],[Quantity]]*Table1[[#This Row],[Unit_Price]]</f>
        <v>12557.3</v>
      </c>
      <c r="S576">
        <f>Table1[[#This Row],[Gross_Sales]]*Table1[[#This Row],[Discount_Rate]]</f>
        <v>0</v>
      </c>
      <c r="T576">
        <f>Table1[[#This Row],[Gross_Sales]]-Table1[[#This Row],[Discount_Amount]]</f>
        <v>12557.3</v>
      </c>
      <c r="U576">
        <f>VLOOKUP(Table1[[#This Row],[Category]],REF_Cost!$A$1:$B$6,2,FALSE)*Table1[[#This Row],[Quantity]]</f>
        <v>1500</v>
      </c>
      <c r="V576">
        <f>Table1[[#This Row],[Net_Sales]]-Table1[[#This Row],[Total_Cost]]</f>
        <v>11057.3</v>
      </c>
      <c r="W576" t="str">
        <f>TEXT(Table1[[#This Row],[Order_Date]],"mmm")</f>
        <v>Aug</v>
      </c>
      <c r="X576">
        <f>ROUNDUP(MONTH(Table1[[#This Row],[Order_Date]])/3,0)</f>
        <v>3</v>
      </c>
      <c r="Y576">
        <f>YEAR(Table1[[#This Row],[Order_Date]])</f>
        <v>2024</v>
      </c>
    </row>
    <row r="577" spans="1:25" x14ac:dyDescent="0.25">
      <c r="A577" t="s">
        <v>2378</v>
      </c>
      <c r="B577" t="s">
        <v>2379</v>
      </c>
      <c r="C577" t="s">
        <v>1024</v>
      </c>
      <c r="D577" t="s">
        <v>2380</v>
      </c>
      <c r="E577" t="s">
        <v>83</v>
      </c>
      <c r="F577" t="s">
        <v>49</v>
      </c>
      <c r="G577" t="s">
        <v>117</v>
      </c>
      <c r="H577" t="s">
        <v>72</v>
      </c>
      <c r="I577" t="s">
        <v>33</v>
      </c>
      <c r="J577" t="s">
        <v>34</v>
      </c>
      <c r="K577">
        <v>5</v>
      </c>
      <c r="L577">
        <v>24.83</v>
      </c>
      <c r="M577" s="3">
        <v>0.1</v>
      </c>
      <c r="N577" t="str">
        <f>VLOOKUP(Table1[[#This Row],[Country]],REF_Country!$A$1:$D$11,2,FALSE)</f>
        <v>South Asia</v>
      </c>
      <c r="O577" t="str">
        <f>VLOOKUP(Table1[[#This Row],[Country]],REF_Country!$A$1:$D$11,3,FALSE)</f>
        <v>IN</v>
      </c>
      <c r="P577">
        <f>VLOOKUP(Table1[[#This Row],[Country]],REF_Country!$A$1:$D$11,4,FALSE)</f>
        <v>0.18</v>
      </c>
      <c r="Q577">
        <f>VLOOKUP(Table1[[#This Row],[Category]],REF_Target!$A$1:$E$6,2,FALSE)</f>
        <v>35000</v>
      </c>
      <c r="R577">
        <f>Table1[[#This Row],[Quantity]]*Table1[[#This Row],[Unit_Price]]</f>
        <v>124.14999999999999</v>
      </c>
      <c r="S577">
        <f>Table1[[#This Row],[Gross_Sales]]*Table1[[#This Row],[Discount_Rate]]</f>
        <v>12.414999999999999</v>
      </c>
      <c r="T577">
        <f>Table1[[#This Row],[Gross_Sales]]-Table1[[#This Row],[Discount_Amount]]</f>
        <v>111.73499999999999</v>
      </c>
      <c r="U577">
        <f>VLOOKUP(Table1[[#This Row],[Category]],REF_Cost!$A$1:$B$6,2,FALSE)*Table1[[#This Row],[Quantity]]</f>
        <v>750</v>
      </c>
      <c r="V577">
        <f>Table1[[#This Row],[Net_Sales]]-Table1[[#This Row],[Total_Cost]]</f>
        <v>-638.26499999999999</v>
      </c>
      <c r="W577" t="str">
        <f>TEXT(Table1[[#This Row],[Order_Date]],"mmm")</f>
        <v>Sep</v>
      </c>
      <c r="X577">
        <f>ROUNDUP(MONTH(Table1[[#This Row],[Order_Date]])/3,0)</f>
        <v>3</v>
      </c>
      <c r="Y577">
        <f>YEAR(Table1[[#This Row],[Order_Date]])</f>
        <v>2024</v>
      </c>
    </row>
    <row r="578" spans="1:25" x14ac:dyDescent="0.25">
      <c r="A578" t="s">
        <v>2381</v>
      </c>
      <c r="B578" t="s">
        <v>2382</v>
      </c>
      <c r="C578" t="s">
        <v>2383</v>
      </c>
      <c r="D578" t="s">
        <v>2384</v>
      </c>
      <c r="E578" t="s">
        <v>149</v>
      </c>
      <c r="F578" t="s">
        <v>84</v>
      </c>
      <c r="G578" t="s">
        <v>90</v>
      </c>
      <c r="H578" t="s">
        <v>58</v>
      </c>
      <c r="I578" t="s">
        <v>96</v>
      </c>
      <c r="J578" t="s">
        <v>34</v>
      </c>
      <c r="K578">
        <v>5</v>
      </c>
      <c r="L578">
        <v>743.52</v>
      </c>
      <c r="M578" s="3">
        <v>0.15</v>
      </c>
      <c r="N578" t="str">
        <f>VLOOKUP(Table1[[#This Row],[Country]],REF_Country!$A$1:$D$11,2,FALSE)</f>
        <v>East Asia</v>
      </c>
      <c r="O578" t="str">
        <f>VLOOKUP(Table1[[#This Row],[Country]],REF_Country!$A$1:$D$11,3,FALSE)</f>
        <v>JP</v>
      </c>
      <c r="P578">
        <f>VLOOKUP(Table1[[#This Row],[Country]],REF_Country!$A$1:$D$11,4,FALSE)</f>
        <v>0.1</v>
      </c>
      <c r="Q578">
        <f>VLOOKUP(Table1[[#This Row],[Category]],REF_Target!$A$1:$E$6,2,FALSE)</f>
        <v>30000</v>
      </c>
      <c r="R578">
        <f>Table1[[#This Row],[Quantity]]*Table1[[#This Row],[Unit_Price]]</f>
        <v>3717.6</v>
      </c>
      <c r="S578">
        <f>Table1[[#This Row],[Gross_Sales]]*Table1[[#This Row],[Discount_Rate]]</f>
        <v>557.64</v>
      </c>
      <c r="T578">
        <f>Table1[[#This Row],[Gross_Sales]]-Table1[[#This Row],[Discount_Amount]]</f>
        <v>3159.96</v>
      </c>
      <c r="U578">
        <f>VLOOKUP(Table1[[#This Row],[Category]],REF_Cost!$A$1:$B$6,2,FALSE)*Table1[[#This Row],[Quantity]]</f>
        <v>1000</v>
      </c>
      <c r="V578">
        <f>Table1[[#This Row],[Net_Sales]]-Table1[[#This Row],[Total_Cost]]</f>
        <v>2159.96</v>
      </c>
      <c r="W578" t="str">
        <f>TEXT(Table1[[#This Row],[Order_Date]],"mmm")</f>
        <v>Mar</v>
      </c>
      <c r="X578">
        <f>ROUNDUP(MONTH(Table1[[#This Row],[Order_Date]])/3,0)</f>
        <v>1</v>
      </c>
      <c r="Y578">
        <f>YEAR(Table1[[#This Row],[Order_Date]])</f>
        <v>2024</v>
      </c>
    </row>
    <row r="579" spans="1:25" x14ac:dyDescent="0.25">
      <c r="A579" t="s">
        <v>2385</v>
      </c>
      <c r="B579" t="s">
        <v>2386</v>
      </c>
      <c r="C579" t="s">
        <v>2387</v>
      </c>
      <c r="D579" t="s">
        <v>2388</v>
      </c>
      <c r="E579" t="s">
        <v>29</v>
      </c>
      <c r="F579" t="s">
        <v>84</v>
      </c>
      <c r="G579" t="s">
        <v>264</v>
      </c>
      <c r="H579" t="s">
        <v>72</v>
      </c>
      <c r="I579" t="s">
        <v>96</v>
      </c>
      <c r="J579" t="s">
        <v>73</v>
      </c>
      <c r="K579">
        <v>5</v>
      </c>
      <c r="L579">
        <v>199.4</v>
      </c>
      <c r="M579" s="3">
        <v>0.1</v>
      </c>
      <c r="N579" t="str">
        <f>VLOOKUP(Table1[[#This Row],[Country]],REF_Country!$A$1:$D$11,2,FALSE)</f>
        <v>Southeast Asia</v>
      </c>
      <c r="O579" t="str">
        <f>VLOOKUP(Table1[[#This Row],[Country]],REF_Country!$A$1:$D$11,3,FALSE)</f>
        <v>VN</v>
      </c>
      <c r="P579">
        <f>VLOOKUP(Table1[[#This Row],[Country]],REF_Country!$A$1:$D$11,4,FALSE)</f>
        <v>0.1</v>
      </c>
      <c r="Q579">
        <f>VLOOKUP(Table1[[#This Row],[Category]],REF_Target!$A$1:$E$6,2,FALSE)</f>
        <v>30000</v>
      </c>
      <c r="R579">
        <f>Table1[[#This Row],[Quantity]]*Table1[[#This Row],[Unit_Price]]</f>
        <v>997</v>
      </c>
      <c r="S579">
        <f>Table1[[#This Row],[Gross_Sales]]*Table1[[#This Row],[Discount_Rate]]</f>
        <v>99.7</v>
      </c>
      <c r="T579">
        <f>Table1[[#This Row],[Gross_Sales]]-Table1[[#This Row],[Discount_Amount]]</f>
        <v>897.3</v>
      </c>
      <c r="U579">
        <f>VLOOKUP(Table1[[#This Row],[Category]],REF_Cost!$A$1:$B$6,2,FALSE)*Table1[[#This Row],[Quantity]]</f>
        <v>1000</v>
      </c>
      <c r="V579">
        <f>Table1[[#This Row],[Net_Sales]]-Table1[[#This Row],[Total_Cost]]</f>
        <v>-102.70000000000005</v>
      </c>
      <c r="W579" t="str">
        <f>TEXT(Table1[[#This Row],[Order_Date]],"mmm")</f>
        <v>Jan</v>
      </c>
      <c r="X579">
        <f>ROUNDUP(MONTH(Table1[[#This Row],[Order_Date]])/3,0)</f>
        <v>1</v>
      </c>
      <c r="Y579">
        <f>YEAR(Table1[[#This Row],[Order_Date]])</f>
        <v>2024</v>
      </c>
    </row>
    <row r="580" spans="1:25" x14ac:dyDescent="0.25">
      <c r="A580" t="s">
        <v>2389</v>
      </c>
      <c r="B580" t="s">
        <v>2390</v>
      </c>
      <c r="C580" t="s">
        <v>2391</v>
      </c>
      <c r="D580" t="s">
        <v>2392</v>
      </c>
      <c r="E580" t="s">
        <v>116</v>
      </c>
      <c r="F580" t="s">
        <v>40</v>
      </c>
      <c r="G580" t="s">
        <v>315</v>
      </c>
      <c r="H580" t="s">
        <v>58</v>
      </c>
      <c r="I580" t="s">
        <v>96</v>
      </c>
      <c r="J580" t="s">
        <v>126</v>
      </c>
      <c r="K580">
        <v>10</v>
      </c>
      <c r="L580">
        <v>877.88</v>
      </c>
      <c r="M580" s="3">
        <v>0.1</v>
      </c>
      <c r="N580" t="str">
        <f>VLOOKUP(Table1[[#This Row],[Country]],REF_Country!$A$1:$D$11,2,FALSE)</f>
        <v>Southeast Asia</v>
      </c>
      <c r="O580" t="str">
        <f>VLOOKUP(Table1[[#This Row],[Country]],REF_Country!$A$1:$D$11,3,FALSE)</f>
        <v>MY</v>
      </c>
      <c r="P580">
        <f>VLOOKUP(Table1[[#This Row],[Country]],REF_Country!$A$1:$D$11,4,FALSE)</f>
        <v>0.06</v>
      </c>
      <c r="Q580">
        <f>VLOOKUP(Table1[[#This Row],[Category]],REF_Target!$A$1:$E$6,2,FALSE)</f>
        <v>45000</v>
      </c>
      <c r="R580">
        <f>Table1[[#This Row],[Quantity]]*Table1[[#This Row],[Unit_Price]]</f>
        <v>8778.7999999999993</v>
      </c>
      <c r="S580">
        <f>Table1[[#This Row],[Gross_Sales]]*Table1[[#This Row],[Discount_Rate]]</f>
        <v>877.88</v>
      </c>
      <c r="T580">
        <f>Table1[[#This Row],[Gross_Sales]]-Table1[[#This Row],[Discount_Amount]]</f>
        <v>7900.9199999999992</v>
      </c>
      <c r="U580">
        <f>VLOOKUP(Table1[[#This Row],[Category]],REF_Cost!$A$1:$B$6,2,FALSE)*Table1[[#This Row],[Quantity]]</f>
        <v>800</v>
      </c>
      <c r="V580">
        <f>Table1[[#This Row],[Net_Sales]]-Table1[[#This Row],[Total_Cost]]</f>
        <v>7100.9199999999992</v>
      </c>
      <c r="W580" t="str">
        <f>TEXT(Table1[[#This Row],[Order_Date]],"mmm")</f>
        <v>Mar</v>
      </c>
      <c r="X580">
        <f>ROUNDUP(MONTH(Table1[[#This Row],[Order_Date]])/3,0)</f>
        <v>1</v>
      </c>
      <c r="Y580">
        <f>YEAR(Table1[[#This Row],[Order_Date]])</f>
        <v>2024</v>
      </c>
    </row>
    <row r="581" spans="1:25" x14ac:dyDescent="0.25">
      <c r="A581" t="s">
        <v>2393</v>
      </c>
      <c r="B581" t="s">
        <v>2394</v>
      </c>
      <c r="C581" t="s">
        <v>2395</v>
      </c>
      <c r="D581" t="s">
        <v>2396</v>
      </c>
      <c r="E581" t="s">
        <v>64</v>
      </c>
      <c r="F581" t="s">
        <v>84</v>
      </c>
      <c r="G581" t="s">
        <v>85</v>
      </c>
      <c r="H581" t="s">
        <v>42</v>
      </c>
      <c r="I581" t="s">
        <v>43</v>
      </c>
      <c r="J581" t="s">
        <v>59</v>
      </c>
      <c r="K581">
        <v>3</v>
      </c>
      <c r="L581">
        <v>878.76</v>
      </c>
      <c r="M581" s="3">
        <v>0.05</v>
      </c>
      <c r="N581" t="str">
        <f>VLOOKUP(Table1[[#This Row],[Country]],REF_Country!$A$1:$D$11,2,FALSE)</f>
        <v>Southeast Asia</v>
      </c>
      <c r="O581" t="str">
        <f>VLOOKUP(Table1[[#This Row],[Country]],REF_Country!$A$1:$D$11,3,FALSE)</f>
        <v>ID</v>
      </c>
      <c r="P581">
        <f>VLOOKUP(Table1[[#This Row],[Country]],REF_Country!$A$1:$D$11,4,FALSE)</f>
        <v>0.11</v>
      </c>
      <c r="Q581">
        <f>VLOOKUP(Table1[[#This Row],[Category]],REF_Target!$A$1:$E$6,2,FALSE)</f>
        <v>30000</v>
      </c>
      <c r="R581">
        <f>Table1[[#This Row],[Quantity]]*Table1[[#This Row],[Unit_Price]]</f>
        <v>2636.2799999999997</v>
      </c>
      <c r="S581">
        <f>Table1[[#This Row],[Gross_Sales]]*Table1[[#This Row],[Discount_Rate]]</f>
        <v>131.81399999999999</v>
      </c>
      <c r="T581">
        <f>Table1[[#This Row],[Gross_Sales]]-Table1[[#This Row],[Discount_Amount]]</f>
        <v>2504.4659999999999</v>
      </c>
      <c r="U581">
        <f>VLOOKUP(Table1[[#This Row],[Category]],REF_Cost!$A$1:$B$6,2,FALSE)*Table1[[#This Row],[Quantity]]</f>
        <v>600</v>
      </c>
      <c r="V581">
        <f>Table1[[#This Row],[Net_Sales]]-Table1[[#This Row],[Total_Cost]]</f>
        <v>1904.4659999999999</v>
      </c>
      <c r="W581" t="str">
        <f>TEXT(Table1[[#This Row],[Order_Date]],"mmm")</f>
        <v>Sep</v>
      </c>
      <c r="X581">
        <f>ROUNDUP(MONTH(Table1[[#This Row],[Order_Date]])/3,0)</f>
        <v>3</v>
      </c>
      <c r="Y581">
        <f>YEAR(Table1[[#This Row],[Order_Date]])</f>
        <v>2024</v>
      </c>
    </row>
    <row r="582" spans="1:25" x14ac:dyDescent="0.25">
      <c r="A582" t="s">
        <v>2397</v>
      </c>
      <c r="B582" t="s">
        <v>2398</v>
      </c>
      <c r="C582" t="s">
        <v>2399</v>
      </c>
      <c r="D582" t="s">
        <v>2400</v>
      </c>
      <c r="E582" t="s">
        <v>149</v>
      </c>
      <c r="F582" t="s">
        <v>84</v>
      </c>
      <c r="G582" t="s">
        <v>205</v>
      </c>
      <c r="H582" t="s">
        <v>32</v>
      </c>
      <c r="I582" t="s">
        <v>33</v>
      </c>
      <c r="J582" t="s">
        <v>73</v>
      </c>
      <c r="K582">
        <v>9</v>
      </c>
      <c r="L582">
        <v>445.44</v>
      </c>
      <c r="M582" s="3">
        <v>0.2</v>
      </c>
      <c r="N582" t="str">
        <f>VLOOKUP(Table1[[#This Row],[Country]],REF_Country!$A$1:$D$11,2,FALSE)</f>
        <v>East Asia</v>
      </c>
      <c r="O582" t="str">
        <f>VLOOKUP(Table1[[#This Row],[Country]],REF_Country!$A$1:$D$11,3,FALSE)</f>
        <v>JP</v>
      </c>
      <c r="P582">
        <f>VLOOKUP(Table1[[#This Row],[Country]],REF_Country!$A$1:$D$11,4,FALSE)</f>
        <v>0.1</v>
      </c>
      <c r="Q582">
        <f>VLOOKUP(Table1[[#This Row],[Category]],REF_Target!$A$1:$E$6,2,FALSE)</f>
        <v>30000</v>
      </c>
      <c r="R582">
        <f>Table1[[#This Row],[Quantity]]*Table1[[#This Row],[Unit_Price]]</f>
        <v>4008.96</v>
      </c>
      <c r="S582">
        <f>Table1[[#This Row],[Gross_Sales]]*Table1[[#This Row],[Discount_Rate]]</f>
        <v>801.79200000000003</v>
      </c>
      <c r="T582">
        <f>Table1[[#This Row],[Gross_Sales]]-Table1[[#This Row],[Discount_Amount]]</f>
        <v>3207.1680000000001</v>
      </c>
      <c r="U582">
        <f>VLOOKUP(Table1[[#This Row],[Category]],REF_Cost!$A$1:$B$6,2,FALSE)*Table1[[#This Row],[Quantity]]</f>
        <v>1800</v>
      </c>
      <c r="V582">
        <f>Table1[[#This Row],[Net_Sales]]-Table1[[#This Row],[Total_Cost]]</f>
        <v>1407.1680000000001</v>
      </c>
      <c r="W582" t="str">
        <f>TEXT(Table1[[#This Row],[Order_Date]],"mmm")</f>
        <v>Jan</v>
      </c>
      <c r="X582">
        <f>ROUNDUP(MONTH(Table1[[#This Row],[Order_Date]])/3,0)</f>
        <v>1</v>
      </c>
      <c r="Y582">
        <f>YEAR(Table1[[#This Row],[Order_Date]])</f>
        <v>2024</v>
      </c>
    </row>
    <row r="583" spans="1:25" x14ac:dyDescent="0.25">
      <c r="A583" t="s">
        <v>2401</v>
      </c>
      <c r="B583" t="s">
        <v>2402</v>
      </c>
      <c r="C583" t="s">
        <v>2403</v>
      </c>
      <c r="D583" t="s">
        <v>2404</v>
      </c>
      <c r="E583" t="s">
        <v>48</v>
      </c>
      <c r="F583" t="s">
        <v>40</v>
      </c>
      <c r="G583" t="s">
        <v>315</v>
      </c>
      <c r="H583" t="s">
        <v>58</v>
      </c>
      <c r="I583" t="s">
        <v>51</v>
      </c>
      <c r="J583" t="s">
        <v>59</v>
      </c>
      <c r="K583">
        <v>5</v>
      </c>
      <c r="L583">
        <v>1310.58</v>
      </c>
      <c r="M583" s="3">
        <v>0.05</v>
      </c>
      <c r="N583" t="str">
        <f>VLOOKUP(Table1[[#This Row],[Country]],REF_Country!$A$1:$D$11,2,FALSE)</f>
        <v>Southeast Asia</v>
      </c>
      <c r="O583" t="str">
        <f>VLOOKUP(Table1[[#This Row],[Country]],REF_Country!$A$1:$D$11,3,FALSE)</f>
        <v>SG</v>
      </c>
      <c r="P583">
        <f>VLOOKUP(Table1[[#This Row],[Country]],REF_Country!$A$1:$D$11,4,FALSE)</f>
        <v>7.0000000000000007E-2</v>
      </c>
      <c r="Q583">
        <f>VLOOKUP(Table1[[#This Row],[Category]],REF_Target!$A$1:$E$6,2,FALSE)</f>
        <v>45000</v>
      </c>
      <c r="R583">
        <f>Table1[[#This Row],[Quantity]]*Table1[[#This Row],[Unit_Price]]</f>
        <v>6552.9</v>
      </c>
      <c r="S583">
        <f>Table1[[#This Row],[Gross_Sales]]*Table1[[#This Row],[Discount_Rate]]</f>
        <v>327.64499999999998</v>
      </c>
      <c r="T583">
        <f>Table1[[#This Row],[Gross_Sales]]-Table1[[#This Row],[Discount_Amount]]</f>
        <v>6225.2549999999992</v>
      </c>
      <c r="U583">
        <f>VLOOKUP(Table1[[#This Row],[Category]],REF_Cost!$A$1:$B$6,2,FALSE)*Table1[[#This Row],[Quantity]]</f>
        <v>400</v>
      </c>
      <c r="V583">
        <f>Table1[[#This Row],[Net_Sales]]-Table1[[#This Row],[Total_Cost]]</f>
        <v>5825.2549999999992</v>
      </c>
      <c r="W583" t="str">
        <f>TEXT(Table1[[#This Row],[Order_Date]],"mmm")</f>
        <v>Apr</v>
      </c>
      <c r="X583">
        <f>ROUNDUP(MONTH(Table1[[#This Row],[Order_Date]])/3,0)</f>
        <v>2</v>
      </c>
      <c r="Y583">
        <f>YEAR(Table1[[#This Row],[Order_Date]])</f>
        <v>2024</v>
      </c>
    </row>
    <row r="584" spans="1:25" x14ac:dyDescent="0.25">
      <c r="A584" t="s">
        <v>2405</v>
      </c>
      <c r="B584" t="s">
        <v>2406</v>
      </c>
      <c r="C584" t="s">
        <v>2407</v>
      </c>
      <c r="D584" t="s">
        <v>2408</v>
      </c>
      <c r="E584" t="s">
        <v>29</v>
      </c>
      <c r="F584" t="s">
        <v>84</v>
      </c>
      <c r="G584" t="s">
        <v>264</v>
      </c>
      <c r="H584" t="s">
        <v>72</v>
      </c>
      <c r="I584" t="s">
        <v>43</v>
      </c>
      <c r="J584" t="s">
        <v>73</v>
      </c>
      <c r="K584">
        <v>3</v>
      </c>
      <c r="L584">
        <v>626.80999999999995</v>
      </c>
      <c r="M584" s="3">
        <v>0</v>
      </c>
      <c r="N584" t="str">
        <f>VLOOKUP(Table1[[#This Row],[Country]],REF_Country!$A$1:$D$11,2,FALSE)</f>
        <v>Southeast Asia</v>
      </c>
      <c r="O584" t="str">
        <f>VLOOKUP(Table1[[#This Row],[Country]],REF_Country!$A$1:$D$11,3,FALSE)</f>
        <v>VN</v>
      </c>
      <c r="P584">
        <f>VLOOKUP(Table1[[#This Row],[Country]],REF_Country!$A$1:$D$11,4,FALSE)</f>
        <v>0.1</v>
      </c>
      <c r="Q584">
        <f>VLOOKUP(Table1[[#This Row],[Category]],REF_Target!$A$1:$E$6,2,FALSE)</f>
        <v>30000</v>
      </c>
      <c r="R584">
        <f>Table1[[#This Row],[Quantity]]*Table1[[#This Row],[Unit_Price]]</f>
        <v>1880.4299999999998</v>
      </c>
      <c r="S584">
        <f>Table1[[#This Row],[Gross_Sales]]*Table1[[#This Row],[Discount_Rate]]</f>
        <v>0</v>
      </c>
      <c r="T584">
        <f>Table1[[#This Row],[Gross_Sales]]-Table1[[#This Row],[Discount_Amount]]</f>
        <v>1880.4299999999998</v>
      </c>
      <c r="U584">
        <f>VLOOKUP(Table1[[#This Row],[Category]],REF_Cost!$A$1:$B$6,2,FALSE)*Table1[[#This Row],[Quantity]]</f>
        <v>600</v>
      </c>
      <c r="V584">
        <f>Table1[[#This Row],[Net_Sales]]-Table1[[#This Row],[Total_Cost]]</f>
        <v>1280.4299999999998</v>
      </c>
      <c r="W584" t="str">
        <f>TEXT(Table1[[#This Row],[Order_Date]],"mmm")</f>
        <v>Jan</v>
      </c>
      <c r="X584">
        <f>ROUNDUP(MONTH(Table1[[#This Row],[Order_Date]])/3,0)</f>
        <v>1</v>
      </c>
      <c r="Y584">
        <f>YEAR(Table1[[#This Row],[Order_Date]])</f>
        <v>2024</v>
      </c>
    </row>
    <row r="585" spans="1:25" x14ac:dyDescent="0.25">
      <c r="A585" t="s">
        <v>2409</v>
      </c>
      <c r="B585" t="s">
        <v>2410</v>
      </c>
      <c r="C585" t="s">
        <v>2411</v>
      </c>
      <c r="D585" t="s">
        <v>2412</v>
      </c>
      <c r="E585" t="s">
        <v>78</v>
      </c>
      <c r="F585" t="s">
        <v>40</v>
      </c>
      <c r="G585" t="s">
        <v>41</v>
      </c>
      <c r="H585" t="s">
        <v>42</v>
      </c>
      <c r="I585" t="s">
        <v>51</v>
      </c>
      <c r="J585" t="s">
        <v>126</v>
      </c>
      <c r="K585">
        <v>2</v>
      </c>
      <c r="L585">
        <v>1057.8599999999999</v>
      </c>
      <c r="M585" s="3">
        <v>0.1</v>
      </c>
      <c r="N585" t="str">
        <f>VLOOKUP(Table1[[#This Row],[Country]],REF_Country!$A$1:$D$11,2,FALSE)</f>
        <v>Oceania</v>
      </c>
      <c r="O585" t="str">
        <f>VLOOKUP(Table1[[#This Row],[Country]],REF_Country!$A$1:$D$11,3,FALSE)</f>
        <v>AU</v>
      </c>
      <c r="P585">
        <f>VLOOKUP(Table1[[#This Row],[Country]],REF_Country!$A$1:$D$11,4,FALSE)</f>
        <v>0.1</v>
      </c>
      <c r="Q585">
        <f>VLOOKUP(Table1[[#This Row],[Category]],REF_Target!$A$1:$E$6,2,FALSE)</f>
        <v>45000</v>
      </c>
      <c r="R585">
        <f>Table1[[#This Row],[Quantity]]*Table1[[#This Row],[Unit_Price]]</f>
        <v>2115.7199999999998</v>
      </c>
      <c r="S585">
        <f>Table1[[#This Row],[Gross_Sales]]*Table1[[#This Row],[Discount_Rate]]</f>
        <v>211.572</v>
      </c>
      <c r="T585">
        <f>Table1[[#This Row],[Gross_Sales]]-Table1[[#This Row],[Discount_Amount]]</f>
        <v>1904.1479999999997</v>
      </c>
      <c r="U585">
        <f>VLOOKUP(Table1[[#This Row],[Category]],REF_Cost!$A$1:$B$6,2,FALSE)*Table1[[#This Row],[Quantity]]</f>
        <v>160</v>
      </c>
      <c r="V585">
        <f>Table1[[#This Row],[Net_Sales]]-Table1[[#This Row],[Total_Cost]]</f>
        <v>1744.1479999999997</v>
      </c>
      <c r="W585" t="str">
        <f>TEXT(Table1[[#This Row],[Order_Date]],"mmm")</f>
        <v>Oct</v>
      </c>
      <c r="X585">
        <f>ROUNDUP(MONTH(Table1[[#This Row],[Order_Date]])/3,0)</f>
        <v>4</v>
      </c>
      <c r="Y585">
        <f>YEAR(Table1[[#This Row],[Order_Date]])</f>
        <v>2024</v>
      </c>
    </row>
    <row r="586" spans="1:25" x14ac:dyDescent="0.25">
      <c r="A586" t="s">
        <v>2413</v>
      </c>
      <c r="B586" t="s">
        <v>2414</v>
      </c>
      <c r="C586" t="s">
        <v>2415</v>
      </c>
      <c r="D586" t="s">
        <v>2416</v>
      </c>
      <c r="E586" t="s">
        <v>29</v>
      </c>
      <c r="F586" t="s">
        <v>84</v>
      </c>
      <c r="G586" t="s">
        <v>85</v>
      </c>
      <c r="H586" t="s">
        <v>58</v>
      </c>
      <c r="I586" t="s">
        <v>43</v>
      </c>
      <c r="J586" t="s">
        <v>59</v>
      </c>
      <c r="K586">
        <v>10</v>
      </c>
      <c r="L586">
        <v>1228.3</v>
      </c>
      <c r="M586" s="3">
        <v>0.15</v>
      </c>
      <c r="N586" t="str">
        <f>VLOOKUP(Table1[[#This Row],[Country]],REF_Country!$A$1:$D$11,2,FALSE)</f>
        <v>Southeast Asia</v>
      </c>
      <c r="O586" t="str">
        <f>VLOOKUP(Table1[[#This Row],[Country]],REF_Country!$A$1:$D$11,3,FALSE)</f>
        <v>VN</v>
      </c>
      <c r="P586">
        <f>VLOOKUP(Table1[[#This Row],[Country]],REF_Country!$A$1:$D$11,4,FALSE)</f>
        <v>0.1</v>
      </c>
      <c r="Q586">
        <f>VLOOKUP(Table1[[#This Row],[Category]],REF_Target!$A$1:$E$6,2,FALSE)</f>
        <v>30000</v>
      </c>
      <c r="R586">
        <f>Table1[[#This Row],[Quantity]]*Table1[[#This Row],[Unit_Price]]</f>
        <v>12283</v>
      </c>
      <c r="S586">
        <f>Table1[[#This Row],[Gross_Sales]]*Table1[[#This Row],[Discount_Rate]]</f>
        <v>1842.4499999999998</v>
      </c>
      <c r="T586">
        <f>Table1[[#This Row],[Gross_Sales]]-Table1[[#This Row],[Discount_Amount]]</f>
        <v>10440.549999999999</v>
      </c>
      <c r="U586">
        <f>VLOOKUP(Table1[[#This Row],[Category]],REF_Cost!$A$1:$B$6,2,FALSE)*Table1[[#This Row],[Quantity]]</f>
        <v>2000</v>
      </c>
      <c r="V586">
        <f>Table1[[#This Row],[Net_Sales]]-Table1[[#This Row],[Total_Cost]]</f>
        <v>8440.5499999999993</v>
      </c>
      <c r="W586" t="str">
        <f>TEXT(Table1[[#This Row],[Order_Date]],"mmm")</f>
        <v>Jan</v>
      </c>
      <c r="X586">
        <f>ROUNDUP(MONTH(Table1[[#This Row],[Order_Date]])/3,0)</f>
        <v>1</v>
      </c>
      <c r="Y586">
        <f>YEAR(Table1[[#This Row],[Order_Date]])</f>
        <v>2024</v>
      </c>
    </row>
    <row r="587" spans="1:25" x14ac:dyDescent="0.25">
      <c r="A587" t="s">
        <v>2417</v>
      </c>
      <c r="B587" t="s">
        <v>2418</v>
      </c>
      <c r="C587" t="s">
        <v>2419</v>
      </c>
      <c r="D587" t="s">
        <v>2420</v>
      </c>
      <c r="E587" t="s">
        <v>48</v>
      </c>
      <c r="F587" t="s">
        <v>30</v>
      </c>
      <c r="G587" t="s">
        <v>65</v>
      </c>
      <c r="H587" t="s">
        <v>42</v>
      </c>
      <c r="I587" t="s">
        <v>51</v>
      </c>
      <c r="J587" t="s">
        <v>126</v>
      </c>
      <c r="K587">
        <v>3</v>
      </c>
      <c r="L587">
        <v>201.14</v>
      </c>
      <c r="M587" s="3">
        <v>0</v>
      </c>
      <c r="N587" t="str">
        <f>VLOOKUP(Table1[[#This Row],[Country]],REF_Country!$A$1:$D$11,2,FALSE)</f>
        <v>Southeast Asia</v>
      </c>
      <c r="O587" t="str">
        <f>VLOOKUP(Table1[[#This Row],[Country]],REF_Country!$A$1:$D$11,3,FALSE)</f>
        <v>SG</v>
      </c>
      <c r="P587">
        <f>VLOOKUP(Table1[[#This Row],[Country]],REF_Country!$A$1:$D$11,4,FALSE)</f>
        <v>7.0000000000000007E-2</v>
      </c>
      <c r="Q587">
        <f>VLOOKUP(Table1[[#This Row],[Category]],REF_Target!$A$1:$E$6,2,FALSE)</f>
        <v>40000</v>
      </c>
      <c r="R587">
        <f>Table1[[#This Row],[Quantity]]*Table1[[#This Row],[Unit_Price]]</f>
        <v>603.41999999999996</v>
      </c>
      <c r="S587">
        <f>Table1[[#This Row],[Gross_Sales]]*Table1[[#This Row],[Discount_Rate]]</f>
        <v>0</v>
      </c>
      <c r="T587">
        <f>Table1[[#This Row],[Gross_Sales]]-Table1[[#This Row],[Discount_Amount]]</f>
        <v>603.41999999999996</v>
      </c>
      <c r="U587">
        <f>VLOOKUP(Table1[[#This Row],[Category]],REF_Cost!$A$1:$B$6,2,FALSE)*Table1[[#This Row],[Quantity]]</f>
        <v>360</v>
      </c>
      <c r="V587">
        <f>Table1[[#This Row],[Net_Sales]]-Table1[[#This Row],[Total_Cost]]</f>
        <v>243.41999999999996</v>
      </c>
      <c r="W587" t="str">
        <f>TEXT(Table1[[#This Row],[Order_Date]],"mmm")</f>
        <v>Mar</v>
      </c>
      <c r="X587">
        <f>ROUNDUP(MONTH(Table1[[#This Row],[Order_Date]])/3,0)</f>
        <v>1</v>
      </c>
      <c r="Y587">
        <f>YEAR(Table1[[#This Row],[Order_Date]])</f>
        <v>2024</v>
      </c>
    </row>
    <row r="588" spans="1:25" x14ac:dyDescent="0.25">
      <c r="A588" t="s">
        <v>2421</v>
      </c>
      <c r="B588" t="s">
        <v>2422</v>
      </c>
      <c r="C588" t="s">
        <v>2423</v>
      </c>
      <c r="D588" t="s">
        <v>2424</v>
      </c>
      <c r="E588" t="s">
        <v>39</v>
      </c>
      <c r="F588" t="s">
        <v>56</v>
      </c>
      <c r="G588" t="s">
        <v>101</v>
      </c>
      <c r="H588" t="s">
        <v>32</v>
      </c>
      <c r="I588" t="s">
        <v>96</v>
      </c>
      <c r="J588" t="s">
        <v>126</v>
      </c>
      <c r="K588">
        <v>9</v>
      </c>
      <c r="L588">
        <v>1192.69</v>
      </c>
      <c r="M588" s="3">
        <v>0.15</v>
      </c>
      <c r="N588" t="str">
        <f>VLOOKUP(Table1[[#This Row],[Country]],REF_Country!$A$1:$D$11,2,FALSE)</f>
        <v>Southeast Asia</v>
      </c>
      <c r="O588" t="str">
        <f>VLOOKUP(Table1[[#This Row],[Country]],REF_Country!$A$1:$D$11,3,FALSE)</f>
        <v>TH</v>
      </c>
      <c r="P588">
        <f>VLOOKUP(Table1[[#This Row],[Country]],REF_Country!$A$1:$D$11,4,FALSE)</f>
        <v>7.0000000000000007E-2</v>
      </c>
      <c r="Q588">
        <f>VLOOKUP(Table1[[#This Row],[Category]],REF_Target!$A$1:$E$6,2,FALSE)</f>
        <v>50000</v>
      </c>
      <c r="R588">
        <f>Table1[[#This Row],[Quantity]]*Table1[[#This Row],[Unit_Price]]</f>
        <v>10734.210000000001</v>
      </c>
      <c r="S588">
        <f>Table1[[#This Row],[Gross_Sales]]*Table1[[#This Row],[Discount_Rate]]</f>
        <v>1610.1315000000002</v>
      </c>
      <c r="T588">
        <f>Table1[[#This Row],[Gross_Sales]]-Table1[[#This Row],[Discount_Amount]]</f>
        <v>9124.0785000000014</v>
      </c>
      <c r="U588">
        <f>VLOOKUP(Table1[[#This Row],[Category]],REF_Cost!$A$1:$B$6,2,FALSE)*Table1[[#This Row],[Quantity]]</f>
        <v>4050</v>
      </c>
      <c r="V588">
        <f>Table1[[#This Row],[Net_Sales]]-Table1[[#This Row],[Total_Cost]]</f>
        <v>5074.0785000000014</v>
      </c>
      <c r="W588" t="str">
        <f>TEXT(Table1[[#This Row],[Order_Date]],"mmm")</f>
        <v>Sep</v>
      </c>
      <c r="X588">
        <f>ROUNDUP(MONTH(Table1[[#This Row],[Order_Date]])/3,0)</f>
        <v>3</v>
      </c>
      <c r="Y588">
        <f>YEAR(Table1[[#This Row],[Order_Date]])</f>
        <v>2024</v>
      </c>
    </row>
    <row r="589" spans="1:25" x14ac:dyDescent="0.25">
      <c r="A589" t="s">
        <v>2425</v>
      </c>
      <c r="B589" t="s">
        <v>2426</v>
      </c>
      <c r="C589" t="s">
        <v>2427</v>
      </c>
      <c r="D589" t="s">
        <v>2428</v>
      </c>
      <c r="E589" t="s">
        <v>64</v>
      </c>
      <c r="F589" t="s">
        <v>56</v>
      </c>
      <c r="G589" t="s">
        <v>101</v>
      </c>
      <c r="H589" t="s">
        <v>72</v>
      </c>
      <c r="I589" t="s">
        <v>43</v>
      </c>
      <c r="J589" t="s">
        <v>59</v>
      </c>
      <c r="K589">
        <v>4</v>
      </c>
      <c r="L589">
        <v>1381.35</v>
      </c>
      <c r="M589" s="3">
        <v>0.15</v>
      </c>
      <c r="N589" t="str">
        <f>VLOOKUP(Table1[[#This Row],[Country]],REF_Country!$A$1:$D$11,2,FALSE)</f>
        <v>Southeast Asia</v>
      </c>
      <c r="O589" t="str">
        <f>VLOOKUP(Table1[[#This Row],[Country]],REF_Country!$A$1:$D$11,3,FALSE)</f>
        <v>ID</v>
      </c>
      <c r="P589">
        <f>VLOOKUP(Table1[[#This Row],[Country]],REF_Country!$A$1:$D$11,4,FALSE)</f>
        <v>0.11</v>
      </c>
      <c r="Q589">
        <f>VLOOKUP(Table1[[#This Row],[Category]],REF_Target!$A$1:$E$6,2,FALSE)</f>
        <v>50000</v>
      </c>
      <c r="R589">
        <f>Table1[[#This Row],[Quantity]]*Table1[[#This Row],[Unit_Price]]</f>
        <v>5525.4</v>
      </c>
      <c r="S589">
        <f>Table1[[#This Row],[Gross_Sales]]*Table1[[#This Row],[Discount_Rate]]</f>
        <v>828.81</v>
      </c>
      <c r="T589">
        <f>Table1[[#This Row],[Gross_Sales]]-Table1[[#This Row],[Discount_Amount]]</f>
        <v>4696.59</v>
      </c>
      <c r="U589">
        <f>VLOOKUP(Table1[[#This Row],[Category]],REF_Cost!$A$1:$B$6,2,FALSE)*Table1[[#This Row],[Quantity]]</f>
        <v>1800</v>
      </c>
      <c r="V589">
        <f>Table1[[#This Row],[Net_Sales]]-Table1[[#This Row],[Total_Cost]]</f>
        <v>2896.59</v>
      </c>
      <c r="W589" t="str">
        <f>TEXT(Table1[[#This Row],[Order_Date]],"mmm")</f>
        <v>Jan</v>
      </c>
      <c r="X589">
        <f>ROUNDUP(MONTH(Table1[[#This Row],[Order_Date]])/3,0)</f>
        <v>1</v>
      </c>
      <c r="Y589">
        <f>YEAR(Table1[[#This Row],[Order_Date]])</f>
        <v>2024</v>
      </c>
    </row>
    <row r="590" spans="1:25" x14ac:dyDescent="0.25">
      <c r="A590" t="s">
        <v>2429</v>
      </c>
      <c r="B590" t="s">
        <v>2430</v>
      </c>
      <c r="C590" t="s">
        <v>2431</v>
      </c>
      <c r="D590" t="s">
        <v>2432</v>
      </c>
      <c r="E590" t="s">
        <v>29</v>
      </c>
      <c r="F590" t="s">
        <v>40</v>
      </c>
      <c r="G590" t="s">
        <v>315</v>
      </c>
      <c r="H590" t="s">
        <v>72</v>
      </c>
      <c r="I590" t="s">
        <v>33</v>
      </c>
      <c r="J590" t="s">
        <v>126</v>
      </c>
      <c r="K590">
        <v>9</v>
      </c>
      <c r="L590">
        <v>538.02</v>
      </c>
      <c r="M590" s="3">
        <v>0.2</v>
      </c>
      <c r="N590" t="str">
        <f>VLOOKUP(Table1[[#This Row],[Country]],REF_Country!$A$1:$D$11,2,FALSE)</f>
        <v>Southeast Asia</v>
      </c>
      <c r="O590" t="str">
        <f>VLOOKUP(Table1[[#This Row],[Country]],REF_Country!$A$1:$D$11,3,FALSE)</f>
        <v>VN</v>
      </c>
      <c r="P590">
        <f>VLOOKUP(Table1[[#This Row],[Country]],REF_Country!$A$1:$D$11,4,FALSE)</f>
        <v>0.1</v>
      </c>
      <c r="Q590">
        <f>VLOOKUP(Table1[[#This Row],[Category]],REF_Target!$A$1:$E$6,2,FALSE)</f>
        <v>45000</v>
      </c>
      <c r="R590">
        <f>Table1[[#This Row],[Quantity]]*Table1[[#This Row],[Unit_Price]]</f>
        <v>4842.18</v>
      </c>
      <c r="S590">
        <f>Table1[[#This Row],[Gross_Sales]]*Table1[[#This Row],[Discount_Rate]]</f>
        <v>968.43600000000015</v>
      </c>
      <c r="T590">
        <f>Table1[[#This Row],[Gross_Sales]]-Table1[[#This Row],[Discount_Amount]]</f>
        <v>3873.7440000000001</v>
      </c>
      <c r="U590">
        <f>VLOOKUP(Table1[[#This Row],[Category]],REF_Cost!$A$1:$B$6,2,FALSE)*Table1[[#This Row],[Quantity]]</f>
        <v>720</v>
      </c>
      <c r="V590">
        <f>Table1[[#This Row],[Net_Sales]]-Table1[[#This Row],[Total_Cost]]</f>
        <v>3153.7440000000001</v>
      </c>
      <c r="W590" t="str">
        <f>TEXT(Table1[[#This Row],[Order_Date]],"mmm")</f>
        <v>Feb</v>
      </c>
      <c r="X590">
        <f>ROUNDUP(MONTH(Table1[[#This Row],[Order_Date]])/3,0)</f>
        <v>1</v>
      </c>
      <c r="Y590">
        <f>YEAR(Table1[[#This Row],[Order_Date]])</f>
        <v>2024</v>
      </c>
    </row>
    <row r="591" spans="1:25" x14ac:dyDescent="0.25">
      <c r="A591" t="s">
        <v>2433</v>
      </c>
      <c r="B591" t="s">
        <v>2434</v>
      </c>
      <c r="C591" t="s">
        <v>2435</v>
      </c>
      <c r="D591" t="s">
        <v>2436</v>
      </c>
      <c r="E591" t="s">
        <v>39</v>
      </c>
      <c r="F591" t="s">
        <v>30</v>
      </c>
      <c r="G591" t="s">
        <v>65</v>
      </c>
      <c r="H591" t="s">
        <v>32</v>
      </c>
      <c r="I591" t="s">
        <v>43</v>
      </c>
      <c r="J591" t="s">
        <v>34</v>
      </c>
      <c r="K591">
        <v>9</v>
      </c>
      <c r="L591">
        <v>270.08</v>
      </c>
      <c r="M591" s="3">
        <v>0</v>
      </c>
      <c r="N591" t="str">
        <f>VLOOKUP(Table1[[#This Row],[Country]],REF_Country!$A$1:$D$11,2,FALSE)</f>
        <v>Southeast Asia</v>
      </c>
      <c r="O591" t="str">
        <f>VLOOKUP(Table1[[#This Row],[Country]],REF_Country!$A$1:$D$11,3,FALSE)</f>
        <v>TH</v>
      </c>
      <c r="P591">
        <f>VLOOKUP(Table1[[#This Row],[Country]],REF_Country!$A$1:$D$11,4,FALSE)</f>
        <v>7.0000000000000007E-2</v>
      </c>
      <c r="Q591">
        <f>VLOOKUP(Table1[[#This Row],[Category]],REF_Target!$A$1:$E$6,2,FALSE)</f>
        <v>40000</v>
      </c>
      <c r="R591">
        <f>Table1[[#This Row],[Quantity]]*Table1[[#This Row],[Unit_Price]]</f>
        <v>2430.7199999999998</v>
      </c>
      <c r="S591">
        <f>Table1[[#This Row],[Gross_Sales]]*Table1[[#This Row],[Discount_Rate]]</f>
        <v>0</v>
      </c>
      <c r="T591">
        <f>Table1[[#This Row],[Gross_Sales]]-Table1[[#This Row],[Discount_Amount]]</f>
        <v>2430.7199999999998</v>
      </c>
      <c r="U591">
        <f>VLOOKUP(Table1[[#This Row],[Category]],REF_Cost!$A$1:$B$6,2,FALSE)*Table1[[#This Row],[Quantity]]</f>
        <v>1080</v>
      </c>
      <c r="V591">
        <f>Table1[[#This Row],[Net_Sales]]-Table1[[#This Row],[Total_Cost]]</f>
        <v>1350.7199999999998</v>
      </c>
      <c r="W591" t="str">
        <f>TEXT(Table1[[#This Row],[Order_Date]],"mmm")</f>
        <v>Oct</v>
      </c>
      <c r="X591">
        <f>ROUNDUP(MONTH(Table1[[#This Row],[Order_Date]])/3,0)</f>
        <v>4</v>
      </c>
      <c r="Y591">
        <f>YEAR(Table1[[#This Row],[Order_Date]])</f>
        <v>2024</v>
      </c>
    </row>
    <row r="592" spans="1:25" x14ac:dyDescent="0.25">
      <c r="A592" t="s">
        <v>2437</v>
      </c>
      <c r="B592" t="s">
        <v>2438</v>
      </c>
      <c r="C592" t="s">
        <v>2439</v>
      </c>
      <c r="D592" t="s">
        <v>2440</v>
      </c>
      <c r="E592" t="s">
        <v>200</v>
      </c>
      <c r="F592" t="s">
        <v>56</v>
      </c>
      <c r="G592" t="s">
        <v>95</v>
      </c>
      <c r="H592" t="s">
        <v>72</v>
      </c>
      <c r="I592" t="s">
        <v>33</v>
      </c>
      <c r="J592" t="s">
        <v>73</v>
      </c>
      <c r="K592">
        <v>7</v>
      </c>
      <c r="L592">
        <v>1254.5899999999999</v>
      </c>
      <c r="M592" s="3">
        <v>0.1</v>
      </c>
      <c r="N592" t="str">
        <f>VLOOKUP(Table1[[#This Row],[Country]],REF_Country!$A$1:$D$11,2,FALSE)</f>
        <v>East Asia</v>
      </c>
      <c r="O592" t="str">
        <f>VLOOKUP(Table1[[#This Row],[Country]],REF_Country!$A$1:$D$11,3,FALSE)</f>
        <v>KR</v>
      </c>
      <c r="P592">
        <f>VLOOKUP(Table1[[#This Row],[Country]],REF_Country!$A$1:$D$11,4,FALSE)</f>
        <v>0.1</v>
      </c>
      <c r="Q592">
        <f>VLOOKUP(Table1[[#This Row],[Category]],REF_Target!$A$1:$E$6,2,FALSE)</f>
        <v>50000</v>
      </c>
      <c r="R592">
        <f>Table1[[#This Row],[Quantity]]*Table1[[#This Row],[Unit_Price]]</f>
        <v>8782.1299999999992</v>
      </c>
      <c r="S592">
        <f>Table1[[#This Row],[Gross_Sales]]*Table1[[#This Row],[Discount_Rate]]</f>
        <v>878.21299999999997</v>
      </c>
      <c r="T592">
        <f>Table1[[#This Row],[Gross_Sales]]-Table1[[#This Row],[Discount_Amount]]</f>
        <v>7903.9169999999995</v>
      </c>
      <c r="U592">
        <f>VLOOKUP(Table1[[#This Row],[Category]],REF_Cost!$A$1:$B$6,2,FALSE)*Table1[[#This Row],[Quantity]]</f>
        <v>3150</v>
      </c>
      <c r="V592">
        <f>Table1[[#This Row],[Net_Sales]]-Table1[[#This Row],[Total_Cost]]</f>
        <v>4753.9169999999995</v>
      </c>
      <c r="W592" t="str">
        <f>TEXT(Table1[[#This Row],[Order_Date]],"mmm")</f>
        <v>Dec</v>
      </c>
      <c r="X592">
        <f>ROUNDUP(MONTH(Table1[[#This Row],[Order_Date]])/3,0)</f>
        <v>4</v>
      </c>
      <c r="Y592">
        <f>YEAR(Table1[[#This Row],[Order_Date]])</f>
        <v>2024</v>
      </c>
    </row>
    <row r="593" spans="1:25" x14ac:dyDescent="0.25">
      <c r="A593" t="s">
        <v>2441</v>
      </c>
      <c r="B593" t="s">
        <v>2442</v>
      </c>
      <c r="C593" t="s">
        <v>2443</v>
      </c>
      <c r="D593" t="s">
        <v>2444</v>
      </c>
      <c r="E593" t="s">
        <v>200</v>
      </c>
      <c r="F593" t="s">
        <v>56</v>
      </c>
      <c r="G593" t="s">
        <v>111</v>
      </c>
      <c r="H593" t="s">
        <v>58</v>
      </c>
      <c r="I593" t="s">
        <v>33</v>
      </c>
      <c r="J593" t="s">
        <v>126</v>
      </c>
      <c r="K593">
        <v>6</v>
      </c>
      <c r="L593">
        <v>216.83</v>
      </c>
      <c r="M593" s="3">
        <v>0.2</v>
      </c>
      <c r="N593" t="str">
        <f>VLOOKUP(Table1[[#This Row],[Country]],REF_Country!$A$1:$D$11,2,FALSE)</f>
        <v>East Asia</v>
      </c>
      <c r="O593" t="str">
        <f>VLOOKUP(Table1[[#This Row],[Country]],REF_Country!$A$1:$D$11,3,FALSE)</f>
        <v>KR</v>
      </c>
      <c r="P593">
        <f>VLOOKUP(Table1[[#This Row],[Country]],REF_Country!$A$1:$D$11,4,FALSE)</f>
        <v>0.1</v>
      </c>
      <c r="Q593">
        <f>VLOOKUP(Table1[[#This Row],[Category]],REF_Target!$A$1:$E$6,2,FALSE)</f>
        <v>50000</v>
      </c>
      <c r="R593">
        <f>Table1[[#This Row],[Quantity]]*Table1[[#This Row],[Unit_Price]]</f>
        <v>1300.98</v>
      </c>
      <c r="S593">
        <f>Table1[[#This Row],[Gross_Sales]]*Table1[[#This Row],[Discount_Rate]]</f>
        <v>260.19600000000003</v>
      </c>
      <c r="T593">
        <f>Table1[[#This Row],[Gross_Sales]]-Table1[[#This Row],[Discount_Amount]]</f>
        <v>1040.7840000000001</v>
      </c>
      <c r="U593">
        <f>VLOOKUP(Table1[[#This Row],[Category]],REF_Cost!$A$1:$B$6,2,FALSE)*Table1[[#This Row],[Quantity]]</f>
        <v>2700</v>
      </c>
      <c r="V593">
        <f>Table1[[#This Row],[Net_Sales]]-Table1[[#This Row],[Total_Cost]]</f>
        <v>-1659.2159999999999</v>
      </c>
      <c r="W593" t="str">
        <f>TEXT(Table1[[#This Row],[Order_Date]],"mmm")</f>
        <v>Feb</v>
      </c>
      <c r="X593">
        <f>ROUNDUP(MONTH(Table1[[#This Row],[Order_Date]])/3,0)</f>
        <v>1</v>
      </c>
      <c r="Y593">
        <f>YEAR(Table1[[#This Row],[Order_Date]])</f>
        <v>2024</v>
      </c>
    </row>
    <row r="594" spans="1:25" x14ac:dyDescent="0.25">
      <c r="A594" t="s">
        <v>2445</v>
      </c>
      <c r="B594" t="s">
        <v>2446</v>
      </c>
      <c r="C594" t="s">
        <v>2447</v>
      </c>
      <c r="D594" t="s">
        <v>2448</v>
      </c>
      <c r="E594" t="s">
        <v>149</v>
      </c>
      <c r="F594" t="s">
        <v>84</v>
      </c>
      <c r="G594" t="s">
        <v>264</v>
      </c>
      <c r="H594" t="s">
        <v>42</v>
      </c>
      <c r="I594" t="s">
        <v>43</v>
      </c>
      <c r="J594" t="s">
        <v>34</v>
      </c>
      <c r="K594">
        <v>5</v>
      </c>
      <c r="L594">
        <v>906.58</v>
      </c>
      <c r="M594" s="3">
        <v>0.2</v>
      </c>
      <c r="N594" t="str">
        <f>VLOOKUP(Table1[[#This Row],[Country]],REF_Country!$A$1:$D$11,2,FALSE)</f>
        <v>East Asia</v>
      </c>
      <c r="O594" t="str">
        <f>VLOOKUP(Table1[[#This Row],[Country]],REF_Country!$A$1:$D$11,3,FALSE)</f>
        <v>JP</v>
      </c>
      <c r="P594">
        <f>VLOOKUP(Table1[[#This Row],[Country]],REF_Country!$A$1:$D$11,4,FALSE)</f>
        <v>0.1</v>
      </c>
      <c r="Q594">
        <f>VLOOKUP(Table1[[#This Row],[Category]],REF_Target!$A$1:$E$6,2,FALSE)</f>
        <v>30000</v>
      </c>
      <c r="R594">
        <f>Table1[[#This Row],[Quantity]]*Table1[[#This Row],[Unit_Price]]</f>
        <v>4532.9000000000005</v>
      </c>
      <c r="S594">
        <f>Table1[[#This Row],[Gross_Sales]]*Table1[[#This Row],[Discount_Rate]]</f>
        <v>906.58000000000015</v>
      </c>
      <c r="T594">
        <f>Table1[[#This Row],[Gross_Sales]]-Table1[[#This Row],[Discount_Amount]]</f>
        <v>3626.3200000000006</v>
      </c>
      <c r="U594">
        <f>VLOOKUP(Table1[[#This Row],[Category]],REF_Cost!$A$1:$B$6,2,FALSE)*Table1[[#This Row],[Quantity]]</f>
        <v>1000</v>
      </c>
      <c r="V594">
        <f>Table1[[#This Row],[Net_Sales]]-Table1[[#This Row],[Total_Cost]]</f>
        <v>2626.3200000000006</v>
      </c>
      <c r="W594" t="str">
        <f>TEXT(Table1[[#This Row],[Order_Date]],"mmm")</f>
        <v>Jun</v>
      </c>
      <c r="X594">
        <f>ROUNDUP(MONTH(Table1[[#This Row],[Order_Date]])/3,0)</f>
        <v>2</v>
      </c>
      <c r="Y594">
        <f>YEAR(Table1[[#This Row],[Order_Date]])</f>
        <v>2024</v>
      </c>
    </row>
    <row r="595" spans="1:25" x14ac:dyDescent="0.25">
      <c r="A595" t="s">
        <v>2449</v>
      </c>
      <c r="B595" t="s">
        <v>2450</v>
      </c>
      <c r="C595" t="s">
        <v>2451</v>
      </c>
      <c r="D595" t="s">
        <v>2452</v>
      </c>
      <c r="E595" t="s">
        <v>116</v>
      </c>
      <c r="F595" t="s">
        <v>49</v>
      </c>
      <c r="G595" t="s">
        <v>50</v>
      </c>
      <c r="H595" t="s">
        <v>32</v>
      </c>
      <c r="I595" t="s">
        <v>96</v>
      </c>
      <c r="J595" t="s">
        <v>34</v>
      </c>
      <c r="K595">
        <v>8</v>
      </c>
      <c r="L595">
        <v>281.26</v>
      </c>
      <c r="M595" s="3">
        <v>0.2</v>
      </c>
      <c r="N595" t="str">
        <f>VLOOKUP(Table1[[#This Row],[Country]],REF_Country!$A$1:$D$11,2,FALSE)</f>
        <v>Southeast Asia</v>
      </c>
      <c r="O595" t="str">
        <f>VLOOKUP(Table1[[#This Row],[Country]],REF_Country!$A$1:$D$11,3,FALSE)</f>
        <v>MY</v>
      </c>
      <c r="P595">
        <f>VLOOKUP(Table1[[#This Row],[Country]],REF_Country!$A$1:$D$11,4,FALSE)</f>
        <v>0.06</v>
      </c>
      <c r="Q595">
        <f>VLOOKUP(Table1[[#This Row],[Category]],REF_Target!$A$1:$E$6,2,FALSE)</f>
        <v>35000</v>
      </c>
      <c r="R595">
        <f>Table1[[#This Row],[Quantity]]*Table1[[#This Row],[Unit_Price]]</f>
        <v>2250.08</v>
      </c>
      <c r="S595">
        <f>Table1[[#This Row],[Gross_Sales]]*Table1[[#This Row],[Discount_Rate]]</f>
        <v>450.01600000000002</v>
      </c>
      <c r="T595">
        <f>Table1[[#This Row],[Gross_Sales]]-Table1[[#This Row],[Discount_Amount]]</f>
        <v>1800.0639999999999</v>
      </c>
      <c r="U595">
        <f>VLOOKUP(Table1[[#This Row],[Category]],REF_Cost!$A$1:$B$6,2,FALSE)*Table1[[#This Row],[Quantity]]</f>
        <v>1200</v>
      </c>
      <c r="V595">
        <f>Table1[[#This Row],[Net_Sales]]-Table1[[#This Row],[Total_Cost]]</f>
        <v>600.06399999999985</v>
      </c>
      <c r="W595" t="str">
        <f>TEXT(Table1[[#This Row],[Order_Date]],"mmm")</f>
        <v>Aug</v>
      </c>
      <c r="X595">
        <f>ROUNDUP(MONTH(Table1[[#This Row],[Order_Date]])/3,0)</f>
        <v>3</v>
      </c>
      <c r="Y595">
        <f>YEAR(Table1[[#This Row],[Order_Date]])</f>
        <v>2024</v>
      </c>
    </row>
    <row r="596" spans="1:25" x14ac:dyDescent="0.25">
      <c r="A596" t="s">
        <v>2453</v>
      </c>
      <c r="B596" t="s">
        <v>2454</v>
      </c>
      <c r="C596" t="s">
        <v>2455</v>
      </c>
      <c r="D596" t="s">
        <v>2456</v>
      </c>
      <c r="E596" t="s">
        <v>116</v>
      </c>
      <c r="F596" t="s">
        <v>30</v>
      </c>
      <c r="G596" t="s">
        <v>195</v>
      </c>
      <c r="H596" t="s">
        <v>72</v>
      </c>
      <c r="I596" t="s">
        <v>51</v>
      </c>
      <c r="J596" t="s">
        <v>59</v>
      </c>
      <c r="K596">
        <v>10</v>
      </c>
      <c r="L596">
        <v>609.92999999999995</v>
      </c>
      <c r="M596" s="3">
        <v>0</v>
      </c>
      <c r="N596" t="str">
        <f>VLOOKUP(Table1[[#This Row],[Country]],REF_Country!$A$1:$D$11,2,FALSE)</f>
        <v>Southeast Asia</v>
      </c>
      <c r="O596" t="str">
        <f>VLOOKUP(Table1[[#This Row],[Country]],REF_Country!$A$1:$D$11,3,FALSE)</f>
        <v>MY</v>
      </c>
      <c r="P596">
        <f>VLOOKUP(Table1[[#This Row],[Country]],REF_Country!$A$1:$D$11,4,FALSE)</f>
        <v>0.06</v>
      </c>
      <c r="Q596">
        <f>VLOOKUP(Table1[[#This Row],[Category]],REF_Target!$A$1:$E$6,2,FALSE)</f>
        <v>40000</v>
      </c>
      <c r="R596">
        <f>Table1[[#This Row],[Quantity]]*Table1[[#This Row],[Unit_Price]]</f>
        <v>6099.2999999999993</v>
      </c>
      <c r="S596">
        <f>Table1[[#This Row],[Gross_Sales]]*Table1[[#This Row],[Discount_Rate]]</f>
        <v>0</v>
      </c>
      <c r="T596">
        <f>Table1[[#This Row],[Gross_Sales]]-Table1[[#This Row],[Discount_Amount]]</f>
        <v>6099.2999999999993</v>
      </c>
      <c r="U596">
        <f>VLOOKUP(Table1[[#This Row],[Category]],REF_Cost!$A$1:$B$6,2,FALSE)*Table1[[#This Row],[Quantity]]</f>
        <v>1200</v>
      </c>
      <c r="V596">
        <f>Table1[[#This Row],[Net_Sales]]-Table1[[#This Row],[Total_Cost]]</f>
        <v>4899.2999999999993</v>
      </c>
      <c r="W596" t="str">
        <f>TEXT(Table1[[#This Row],[Order_Date]],"mmm")</f>
        <v>Dec</v>
      </c>
      <c r="X596">
        <f>ROUNDUP(MONTH(Table1[[#This Row],[Order_Date]])/3,0)</f>
        <v>4</v>
      </c>
      <c r="Y596">
        <f>YEAR(Table1[[#This Row],[Order_Date]])</f>
        <v>2024</v>
      </c>
    </row>
    <row r="597" spans="1:25" x14ac:dyDescent="0.25">
      <c r="A597" t="s">
        <v>2457</v>
      </c>
      <c r="B597" t="s">
        <v>2458</v>
      </c>
      <c r="C597" t="s">
        <v>2459</v>
      </c>
      <c r="D597" t="s">
        <v>2460</v>
      </c>
      <c r="E597" t="s">
        <v>149</v>
      </c>
      <c r="F597" t="s">
        <v>56</v>
      </c>
      <c r="G597" t="s">
        <v>95</v>
      </c>
      <c r="H597" t="s">
        <v>58</v>
      </c>
      <c r="I597" t="s">
        <v>96</v>
      </c>
      <c r="J597" t="s">
        <v>59</v>
      </c>
      <c r="K597">
        <v>8</v>
      </c>
      <c r="L597">
        <v>1259.5899999999999</v>
      </c>
      <c r="M597" s="3">
        <v>0.05</v>
      </c>
      <c r="N597" t="str">
        <f>VLOOKUP(Table1[[#This Row],[Country]],REF_Country!$A$1:$D$11,2,FALSE)</f>
        <v>East Asia</v>
      </c>
      <c r="O597" t="str">
        <f>VLOOKUP(Table1[[#This Row],[Country]],REF_Country!$A$1:$D$11,3,FALSE)</f>
        <v>JP</v>
      </c>
      <c r="P597">
        <f>VLOOKUP(Table1[[#This Row],[Country]],REF_Country!$A$1:$D$11,4,FALSE)</f>
        <v>0.1</v>
      </c>
      <c r="Q597">
        <f>VLOOKUP(Table1[[#This Row],[Category]],REF_Target!$A$1:$E$6,2,FALSE)</f>
        <v>50000</v>
      </c>
      <c r="R597">
        <f>Table1[[#This Row],[Quantity]]*Table1[[#This Row],[Unit_Price]]</f>
        <v>10076.719999999999</v>
      </c>
      <c r="S597">
        <f>Table1[[#This Row],[Gross_Sales]]*Table1[[#This Row],[Discount_Rate]]</f>
        <v>503.83600000000001</v>
      </c>
      <c r="T597">
        <f>Table1[[#This Row],[Gross_Sales]]-Table1[[#This Row],[Discount_Amount]]</f>
        <v>9572.884</v>
      </c>
      <c r="U597">
        <f>VLOOKUP(Table1[[#This Row],[Category]],REF_Cost!$A$1:$B$6,2,FALSE)*Table1[[#This Row],[Quantity]]</f>
        <v>3600</v>
      </c>
      <c r="V597">
        <f>Table1[[#This Row],[Net_Sales]]-Table1[[#This Row],[Total_Cost]]</f>
        <v>5972.884</v>
      </c>
      <c r="W597" t="str">
        <f>TEXT(Table1[[#This Row],[Order_Date]],"mmm")</f>
        <v>Jun</v>
      </c>
      <c r="X597">
        <f>ROUNDUP(MONTH(Table1[[#This Row],[Order_Date]])/3,0)</f>
        <v>2</v>
      </c>
      <c r="Y597">
        <f>YEAR(Table1[[#This Row],[Order_Date]])</f>
        <v>2024</v>
      </c>
    </row>
    <row r="598" spans="1:25" x14ac:dyDescent="0.25">
      <c r="A598" t="s">
        <v>2461</v>
      </c>
      <c r="B598" t="s">
        <v>2462</v>
      </c>
      <c r="C598" t="s">
        <v>2463</v>
      </c>
      <c r="D598" t="s">
        <v>2464</v>
      </c>
      <c r="E598" t="s">
        <v>200</v>
      </c>
      <c r="F598" t="s">
        <v>40</v>
      </c>
      <c r="G598" t="s">
        <v>315</v>
      </c>
      <c r="H598" t="s">
        <v>32</v>
      </c>
      <c r="I598" t="s">
        <v>66</v>
      </c>
      <c r="J598" t="s">
        <v>34</v>
      </c>
      <c r="K598">
        <v>8</v>
      </c>
      <c r="L598">
        <v>233.85</v>
      </c>
      <c r="M598" s="3">
        <v>0</v>
      </c>
      <c r="N598" t="str">
        <f>VLOOKUP(Table1[[#This Row],[Country]],REF_Country!$A$1:$D$11,2,FALSE)</f>
        <v>East Asia</v>
      </c>
      <c r="O598" t="str">
        <f>VLOOKUP(Table1[[#This Row],[Country]],REF_Country!$A$1:$D$11,3,FALSE)</f>
        <v>KR</v>
      </c>
      <c r="P598">
        <f>VLOOKUP(Table1[[#This Row],[Country]],REF_Country!$A$1:$D$11,4,FALSE)</f>
        <v>0.1</v>
      </c>
      <c r="Q598">
        <f>VLOOKUP(Table1[[#This Row],[Category]],REF_Target!$A$1:$E$6,2,FALSE)</f>
        <v>45000</v>
      </c>
      <c r="R598">
        <f>Table1[[#This Row],[Quantity]]*Table1[[#This Row],[Unit_Price]]</f>
        <v>1870.8</v>
      </c>
      <c r="S598">
        <f>Table1[[#This Row],[Gross_Sales]]*Table1[[#This Row],[Discount_Rate]]</f>
        <v>0</v>
      </c>
      <c r="T598">
        <f>Table1[[#This Row],[Gross_Sales]]-Table1[[#This Row],[Discount_Amount]]</f>
        <v>1870.8</v>
      </c>
      <c r="U598">
        <f>VLOOKUP(Table1[[#This Row],[Category]],REF_Cost!$A$1:$B$6,2,FALSE)*Table1[[#This Row],[Quantity]]</f>
        <v>640</v>
      </c>
      <c r="V598">
        <f>Table1[[#This Row],[Net_Sales]]-Table1[[#This Row],[Total_Cost]]</f>
        <v>1230.8</v>
      </c>
      <c r="W598" t="str">
        <f>TEXT(Table1[[#This Row],[Order_Date]],"mmm")</f>
        <v>Dec</v>
      </c>
      <c r="X598">
        <f>ROUNDUP(MONTH(Table1[[#This Row],[Order_Date]])/3,0)</f>
        <v>4</v>
      </c>
      <c r="Y598">
        <f>YEAR(Table1[[#This Row],[Order_Date]])</f>
        <v>2024</v>
      </c>
    </row>
    <row r="599" spans="1:25" x14ac:dyDescent="0.25">
      <c r="A599" t="s">
        <v>2465</v>
      </c>
      <c r="B599" t="s">
        <v>2466</v>
      </c>
      <c r="C599" t="s">
        <v>2467</v>
      </c>
      <c r="D599" t="s">
        <v>2468</v>
      </c>
      <c r="E599" t="s">
        <v>64</v>
      </c>
      <c r="F599" t="s">
        <v>56</v>
      </c>
      <c r="G599" t="s">
        <v>101</v>
      </c>
      <c r="H599" t="s">
        <v>32</v>
      </c>
      <c r="I599" t="s">
        <v>43</v>
      </c>
      <c r="J599" t="s">
        <v>34</v>
      </c>
      <c r="K599">
        <v>8</v>
      </c>
      <c r="L599">
        <v>1248.01</v>
      </c>
      <c r="M599" s="3">
        <v>0.2</v>
      </c>
      <c r="N599" t="str">
        <f>VLOOKUP(Table1[[#This Row],[Country]],REF_Country!$A$1:$D$11,2,FALSE)</f>
        <v>Southeast Asia</v>
      </c>
      <c r="O599" t="str">
        <f>VLOOKUP(Table1[[#This Row],[Country]],REF_Country!$A$1:$D$11,3,FALSE)</f>
        <v>ID</v>
      </c>
      <c r="P599">
        <f>VLOOKUP(Table1[[#This Row],[Country]],REF_Country!$A$1:$D$11,4,FALSE)</f>
        <v>0.11</v>
      </c>
      <c r="Q599">
        <f>VLOOKUP(Table1[[#This Row],[Category]],REF_Target!$A$1:$E$6,2,FALSE)</f>
        <v>50000</v>
      </c>
      <c r="R599">
        <f>Table1[[#This Row],[Quantity]]*Table1[[#This Row],[Unit_Price]]</f>
        <v>9984.08</v>
      </c>
      <c r="S599">
        <f>Table1[[#This Row],[Gross_Sales]]*Table1[[#This Row],[Discount_Rate]]</f>
        <v>1996.816</v>
      </c>
      <c r="T599">
        <f>Table1[[#This Row],[Gross_Sales]]-Table1[[#This Row],[Discount_Amount]]</f>
        <v>7987.2640000000001</v>
      </c>
      <c r="U599">
        <f>VLOOKUP(Table1[[#This Row],[Category]],REF_Cost!$A$1:$B$6,2,FALSE)*Table1[[#This Row],[Quantity]]</f>
        <v>3600</v>
      </c>
      <c r="V599">
        <f>Table1[[#This Row],[Net_Sales]]-Table1[[#This Row],[Total_Cost]]</f>
        <v>4387.2640000000001</v>
      </c>
      <c r="W599" t="str">
        <f>TEXT(Table1[[#This Row],[Order_Date]],"mmm")</f>
        <v>Apr</v>
      </c>
      <c r="X599">
        <f>ROUNDUP(MONTH(Table1[[#This Row],[Order_Date]])/3,0)</f>
        <v>2</v>
      </c>
      <c r="Y599">
        <f>YEAR(Table1[[#This Row],[Order_Date]])</f>
        <v>2024</v>
      </c>
    </row>
    <row r="600" spans="1:25" x14ac:dyDescent="0.25">
      <c r="A600" t="s">
        <v>2469</v>
      </c>
      <c r="B600" t="s">
        <v>2470</v>
      </c>
      <c r="C600" t="s">
        <v>2471</v>
      </c>
      <c r="D600" t="s">
        <v>2472</v>
      </c>
      <c r="E600" t="s">
        <v>29</v>
      </c>
      <c r="F600" t="s">
        <v>40</v>
      </c>
      <c r="G600" t="s">
        <v>41</v>
      </c>
      <c r="H600" t="s">
        <v>42</v>
      </c>
      <c r="I600" t="s">
        <v>96</v>
      </c>
      <c r="J600" t="s">
        <v>73</v>
      </c>
      <c r="K600">
        <v>2</v>
      </c>
      <c r="L600">
        <v>158.06</v>
      </c>
      <c r="M600" s="3">
        <v>0.2</v>
      </c>
      <c r="N600" t="str">
        <f>VLOOKUP(Table1[[#This Row],[Country]],REF_Country!$A$1:$D$11,2,FALSE)</f>
        <v>Southeast Asia</v>
      </c>
      <c r="O600" t="str">
        <f>VLOOKUP(Table1[[#This Row],[Country]],REF_Country!$A$1:$D$11,3,FALSE)</f>
        <v>VN</v>
      </c>
      <c r="P600">
        <f>VLOOKUP(Table1[[#This Row],[Country]],REF_Country!$A$1:$D$11,4,FALSE)</f>
        <v>0.1</v>
      </c>
      <c r="Q600">
        <f>VLOOKUP(Table1[[#This Row],[Category]],REF_Target!$A$1:$E$6,2,FALSE)</f>
        <v>45000</v>
      </c>
      <c r="R600">
        <f>Table1[[#This Row],[Quantity]]*Table1[[#This Row],[Unit_Price]]</f>
        <v>316.12</v>
      </c>
      <c r="S600">
        <f>Table1[[#This Row],[Gross_Sales]]*Table1[[#This Row],[Discount_Rate]]</f>
        <v>63.224000000000004</v>
      </c>
      <c r="T600">
        <f>Table1[[#This Row],[Gross_Sales]]-Table1[[#This Row],[Discount_Amount]]</f>
        <v>252.89600000000002</v>
      </c>
      <c r="U600">
        <f>VLOOKUP(Table1[[#This Row],[Category]],REF_Cost!$A$1:$B$6,2,FALSE)*Table1[[#This Row],[Quantity]]</f>
        <v>160</v>
      </c>
      <c r="V600">
        <f>Table1[[#This Row],[Net_Sales]]-Table1[[#This Row],[Total_Cost]]</f>
        <v>92.896000000000015</v>
      </c>
      <c r="W600" t="str">
        <f>TEXT(Table1[[#This Row],[Order_Date]],"mmm")</f>
        <v>Dec</v>
      </c>
      <c r="X600">
        <f>ROUNDUP(MONTH(Table1[[#This Row],[Order_Date]])/3,0)</f>
        <v>4</v>
      </c>
      <c r="Y600">
        <f>YEAR(Table1[[#This Row],[Order_Date]])</f>
        <v>2024</v>
      </c>
    </row>
    <row r="601" spans="1:25" x14ac:dyDescent="0.25">
      <c r="A601" t="s">
        <v>2473</v>
      </c>
      <c r="B601" t="s">
        <v>2474</v>
      </c>
      <c r="C601" t="s">
        <v>2475</v>
      </c>
      <c r="D601" t="s">
        <v>2476</v>
      </c>
      <c r="E601" t="s">
        <v>78</v>
      </c>
      <c r="F601" t="s">
        <v>84</v>
      </c>
      <c r="G601" t="s">
        <v>90</v>
      </c>
      <c r="H601" t="s">
        <v>32</v>
      </c>
      <c r="I601" t="s">
        <v>51</v>
      </c>
      <c r="J601" t="s">
        <v>34</v>
      </c>
      <c r="K601">
        <v>9</v>
      </c>
      <c r="L601">
        <v>525.27</v>
      </c>
      <c r="M601" s="3">
        <v>0.15</v>
      </c>
      <c r="N601" t="str">
        <f>VLOOKUP(Table1[[#This Row],[Country]],REF_Country!$A$1:$D$11,2,FALSE)</f>
        <v>Oceania</v>
      </c>
      <c r="O601" t="str">
        <f>VLOOKUP(Table1[[#This Row],[Country]],REF_Country!$A$1:$D$11,3,FALSE)</f>
        <v>AU</v>
      </c>
      <c r="P601">
        <f>VLOOKUP(Table1[[#This Row],[Country]],REF_Country!$A$1:$D$11,4,FALSE)</f>
        <v>0.1</v>
      </c>
      <c r="Q601">
        <f>VLOOKUP(Table1[[#This Row],[Category]],REF_Target!$A$1:$E$6,2,FALSE)</f>
        <v>30000</v>
      </c>
      <c r="R601">
        <f>Table1[[#This Row],[Quantity]]*Table1[[#This Row],[Unit_Price]]</f>
        <v>4727.43</v>
      </c>
      <c r="S601">
        <f>Table1[[#This Row],[Gross_Sales]]*Table1[[#This Row],[Discount_Rate]]</f>
        <v>709.11450000000002</v>
      </c>
      <c r="T601">
        <f>Table1[[#This Row],[Gross_Sales]]-Table1[[#This Row],[Discount_Amount]]</f>
        <v>4018.3155000000002</v>
      </c>
      <c r="U601">
        <f>VLOOKUP(Table1[[#This Row],[Category]],REF_Cost!$A$1:$B$6,2,FALSE)*Table1[[#This Row],[Quantity]]</f>
        <v>1800</v>
      </c>
      <c r="V601">
        <f>Table1[[#This Row],[Net_Sales]]-Table1[[#This Row],[Total_Cost]]</f>
        <v>2218.3155000000002</v>
      </c>
      <c r="W601" t="str">
        <f>TEXT(Table1[[#This Row],[Order_Date]],"mmm")</f>
        <v>Dec</v>
      </c>
      <c r="X601">
        <f>ROUNDUP(MONTH(Table1[[#This Row],[Order_Date]])/3,0)</f>
        <v>4</v>
      </c>
      <c r="Y601">
        <f>YEAR(Table1[[#This Row],[Order_Date]])</f>
        <v>2024</v>
      </c>
    </row>
    <row r="602" spans="1:25" x14ac:dyDescent="0.25">
      <c r="A602" t="s">
        <v>2477</v>
      </c>
      <c r="B602" t="s">
        <v>2478</v>
      </c>
      <c r="C602" t="s">
        <v>2479</v>
      </c>
      <c r="D602" t="s">
        <v>2480</v>
      </c>
      <c r="E602" t="s">
        <v>149</v>
      </c>
      <c r="F602" t="s">
        <v>49</v>
      </c>
      <c r="G602" t="s">
        <v>226</v>
      </c>
      <c r="H602" t="s">
        <v>58</v>
      </c>
      <c r="I602" t="s">
        <v>43</v>
      </c>
      <c r="J602" t="s">
        <v>34</v>
      </c>
      <c r="K602">
        <v>3</v>
      </c>
      <c r="L602">
        <v>68.430000000000007</v>
      </c>
      <c r="M602" s="3">
        <v>0.15</v>
      </c>
      <c r="N602" t="str">
        <f>VLOOKUP(Table1[[#This Row],[Country]],REF_Country!$A$1:$D$11,2,FALSE)</f>
        <v>East Asia</v>
      </c>
      <c r="O602" t="str">
        <f>VLOOKUP(Table1[[#This Row],[Country]],REF_Country!$A$1:$D$11,3,FALSE)</f>
        <v>JP</v>
      </c>
      <c r="P602">
        <f>VLOOKUP(Table1[[#This Row],[Country]],REF_Country!$A$1:$D$11,4,FALSE)</f>
        <v>0.1</v>
      </c>
      <c r="Q602">
        <f>VLOOKUP(Table1[[#This Row],[Category]],REF_Target!$A$1:$E$6,2,FALSE)</f>
        <v>35000</v>
      </c>
      <c r="R602">
        <f>Table1[[#This Row],[Quantity]]*Table1[[#This Row],[Unit_Price]]</f>
        <v>205.29000000000002</v>
      </c>
      <c r="S602">
        <f>Table1[[#This Row],[Gross_Sales]]*Table1[[#This Row],[Discount_Rate]]</f>
        <v>30.793500000000002</v>
      </c>
      <c r="T602">
        <f>Table1[[#This Row],[Gross_Sales]]-Table1[[#This Row],[Discount_Amount]]</f>
        <v>174.49650000000003</v>
      </c>
      <c r="U602">
        <f>VLOOKUP(Table1[[#This Row],[Category]],REF_Cost!$A$1:$B$6,2,FALSE)*Table1[[#This Row],[Quantity]]</f>
        <v>450</v>
      </c>
      <c r="V602">
        <f>Table1[[#This Row],[Net_Sales]]-Table1[[#This Row],[Total_Cost]]</f>
        <v>-275.50349999999997</v>
      </c>
      <c r="W602" t="str">
        <f>TEXT(Table1[[#This Row],[Order_Date]],"mmm")</f>
        <v>Jul</v>
      </c>
      <c r="X602">
        <f>ROUNDUP(MONTH(Table1[[#This Row],[Order_Date]])/3,0)</f>
        <v>3</v>
      </c>
      <c r="Y602">
        <f>YEAR(Table1[[#This Row],[Order_Date]])</f>
        <v>2024</v>
      </c>
    </row>
    <row r="603" spans="1:25" x14ac:dyDescent="0.25">
      <c r="A603" t="s">
        <v>2481</v>
      </c>
      <c r="B603" t="s">
        <v>2482</v>
      </c>
      <c r="C603" t="s">
        <v>2483</v>
      </c>
      <c r="D603" t="s">
        <v>2484</v>
      </c>
      <c r="E603" t="s">
        <v>149</v>
      </c>
      <c r="F603" t="s">
        <v>49</v>
      </c>
      <c r="G603" t="s">
        <v>117</v>
      </c>
      <c r="H603" t="s">
        <v>42</v>
      </c>
      <c r="I603" t="s">
        <v>96</v>
      </c>
      <c r="J603" t="s">
        <v>73</v>
      </c>
      <c r="K603">
        <v>8</v>
      </c>
      <c r="L603">
        <v>859.75</v>
      </c>
      <c r="M603" s="3">
        <v>0.2</v>
      </c>
      <c r="N603" t="str">
        <f>VLOOKUP(Table1[[#This Row],[Country]],REF_Country!$A$1:$D$11,2,FALSE)</f>
        <v>East Asia</v>
      </c>
      <c r="O603" t="str">
        <f>VLOOKUP(Table1[[#This Row],[Country]],REF_Country!$A$1:$D$11,3,FALSE)</f>
        <v>JP</v>
      </c>
      <c r="P603">
        <f>VLOOKUP(Table1[[#This Row],[Country]],REF_Country!$A$1:$D$11,4,FALSE)</f>
        <v>0.1</v>
      </c>
      <c r="Q603">
        <f>VLOOKUP(Table1[[#This Row],[Category]],REF_Target!$A$1:$E$6,2,FALSE)</f>
        <v>35000</v>
      </c>
      <c r="R603">
        <f>Table1[[#This Row],[Quantity]]*Table1[[#This Row],[Unit_Price]]</f>
        <v>6878</v>
      </c>
      <c r="S603">
        <f>Table1[[#This Row],[Gross_Sales]]*Table1[[#This Row],[Discount_Rate]]</f>
        <v>1375.6000000000001</v>
      </c>
      <c r="T603">
        <f>Table1[[#This Row],[Gross_Sales]]-Table1[[#This Row],[Discount_Amount]]</f>
        <v>5502.4</v>
      </c>
      <c r="U603">
        <f>VLOOKUP(Table1[[#This Row],[Category]],REF_Cost!$A$1:$B$6,2,FALSE)*Table1[[#This Row],[Quantity]]</f>
        <v>1200</v>
      </c>
      <c r="V603">
        <f>Table1[[#This Row],[Net_Sales]]-Table1[[#This Row],[Total_Cost]]</f>
        <v>4302.3999999999996</v>
      </c>
      <c r="W603" t="str">
        <f>TEXT(Table1[[#This Row],[Order_Date]],"mmm")</f>
        <v>Mar</v>
      </c>
      <c r="X603">
        <f>ROUNDUP(MONTH(Table1[[#This Row],[Order_Date]])/3,0)</f>
        <v>1</v>
      </c>
      <c r="Y603">
        <f>YEAR(Table1[[#This Row],[Order_Date]])</f>
        <v>2024</v>
      </c>
    </row>
    <row r="604" spans="1:25" x14ac:dyDescent="0.25">
      <c r="A604" t="s">
        <v>2485</v>
      </c>
      <c r="B604" t="s">
        <v>2486</v>
      </c>
      <c r="C604" t="s">
        <v>2487</v>
      </c>
      <c r="D604" t="s">
        <v>2488</v>
      </c>
      <c r="E604" t="s">
        <v>83</v>
      </c>
      <c r="F604" t="s">
        <v>49</v>
      </c>
      <c r="G604" t="s">
        <v>259</v>
      </c>
      <c r="H604" t="s">
        <v>32</v>
      </c>
      <c r="I604" t="s">
        <v>51</v>
      </c>
      <c r="J604" t="s">
        <v>126</v>
      </c>
      <c r="K604">
        <v>5</v>
      </c>
      <c r="L604">
        <v>1019.58</v>
      </c>
      <c r="M604" s="3">
        <v>0.05</v>
      </c>
      <c r="N604" t="str">
        <f>VLOOKUP(Table1[[#This Row],[Country]],REF_Country!$A$1:$D$11,2,FALSE)</f>
        <v>South Asia</v>
      </c>
      <c r="O604" t="str">
        <f>VLOOKUP(Table1[[#This Row],[Country]],REF_Country!$A$1:$D$11,3,FALSE)</f>
        <v>IN</v>
      </c>
      <c r="P604">
        <f>VLOOKUP(Table1[[#This Row],[Country]],REF_Country!$A$1:$D$11,4,FALSE)</f>
        <v>0.18</v>
      </c>
      <c r="Q604">
        <f>VLOOKUP(Table1[[#This Row],[Category]],REF_Target!$A$1:$E$6,2,FALSE)</f>
        <v>35000</v>
      </c>
      <c r="R604">
        <f>Table1[[#This Row],[Quantity]]*Table1[[#This Row],[Unit_Price]]</f>
        <v>5097.9000000000005</v>
      </c>
      <c r="S604">
        <f>Table1[[#This Row],[Gross_Sales]]*Table1[[#This Row],[Discount_Rate]]</f>
        <v>254.89500000000004</v>
      </c>
      <c r="T604">
        <f>Table1[[#This Row],[Gross_Sales]]-Table1[[#This Row],[Discount_Amount]]</f>
        <v>4843.0050000000001</v>
      </c>
      <c r="U604">
        <f>VLOOKUP(Table1[[#This Row],[Category]],REF_Cost!$A$1:$B$6,2,FALSE)*Table1[[#This Row],[Quantity]]</f>
        <v>750</v>
      </c>
      <c r="V604">
        <f>Table1[[#This Row],[Net_Sales]]-Table1[[#This Row],[Total_Cost]]</f>
        <v>4093.0050000000001</v>
      </c>
      <c r="W604" t="str">
        <f>TEXT(Table1[[#This Row],[Order_Date]],"mmm")</f>
        <v>Jul</v>
      </c>
      <c r="X604">
        <f>ROUNDUP(MONTH(Table1[[#This Row],[Order_Date]])/3,0)</f>
        <v>3</v>
      </c>
      <c r="Y604">
        <f>YEAR(Table1[[#This Row],[Order_Date]])</f>
        <v>2024</v>
      </c>
    </row>
    <row r="605" spans="1:25" x14ac:dyDescent="0.25">
      <c r="A605" t="s">
        <v>2489</v>
      </c>
      <c r="B605" t="s">
        <v>2490</v>
      </c>
      <c r="C605" t="s">
        <v>2491</v>
      </c>
      <c r="D605" t="s">
        <v>2492</v>
      </c>
      <c r="E605" t="s">
        <v>83</v>
      </c>
      <c r="F605" t="s">
        <v>56</v>
      </c>
      <c r="G605" t="s">
        <v>190</v>
      </c>
      <c r="H605" t="s">
        <v>58</v>
      </c>
      <c r="I605" t="s">
        <v>96</v>
      </c>
      <c r="J605" t="s">
        <v>59</v>
      </c>
      <c r="K605">
        <v>7</v>
      </c>
      <c r="L605">
        <v>580.15</v>
      </c>
      <c r="M605" s="3">
        <v>0.05</v>
      </c>
      <c r="N605" t="str">
        <f>VLOOKUP(Table1[[#This Row],[Country]],REF_Country!$A$1:$D$11,2,FALSE)</f>
        <v>South Asia</v>
      </c>
      <c r="O605" t="str">
        <f>VLOOKUP(Table1[[#This Row],[Country]],REF_Country!$A$1:$D$11,3,FALSE)</f>
        <v>IN</v>
      </c>
      <c r="P605">
        <f>VLOOKUP(Table1[[#This Row],[Country]],REF_Country!$A$1:$D$11,4,FALSE)</f>
        <v>0.18</v>
      </c>
      <c r="Q605">
        <f>VLOOKUP(Table1[[#This Row],[Category]],REF_Target!$A$1:$E$6,2,FALSE)</f>
        <v>50000</v>
      </c>
      <c r="R605">
        <f>Table1[[#This Row],[Quantity]]*Table1[[#This Row],[Unit_Price]]</f>
        <v>4061.0499999999997</v>
      </c>
      <c r="S605">
        <f>Table1[[#This Row],[Gross_Sales]]*Table1[[#This Row],[Discount_Rate]]</f>
        <v>203.05250000000001</v>
      </c>
      <c r="T605">
        <f>Table1[[#This Row],[Gross_Sales]]-Table1[[#This Row],[Discount_Amount]]</f>
        <v>3857.9974999999995</v>
      </c>
      <c r="U605">
        <f>VLOOKUP(Table1[[#This Row],[Category]],REF_Cost!$A$1:$B$6,2,FALSE)*Table1[[#This Row],[Quantity]]</f>
        <v>3150</v>
      </c>
      <c r="V605">
        <f>Table1[[#This Row],[Net_Sales]]-Table1[[#This Row],[Total_Cost]]</f>
        <v>707.99749999999949</v>
      </c>
      <c r="W605" t="str">
        <f>TEXT(Table1[[#This Row],[Order_Date]],"mmm")</f>
        <v>Jul</v>
      </c>
      <c r="X605">
        <f>ROUNDUP(MONTH(Table1[[#This Row],[Order_Date]])/3,0)</f>
        <v>3</v>
      </c>
      <c r="Y605">
        <f>YEAR(Table1[[#This Row],[Order_Date]])</f>
        <v>2024</v>
      </c>
    </row>
    <row r="606" spans="1:25" x14ac:dyDescent="0.25">
      <c r="A606" t="s">
        <v>2493</v>
      </c>
      <c r="B606" t="s">
        <v>2494</v>
      </c>
      <c r="C606" t="s">
        <v>2495</v>
      </c>
      <c r="D606" t="s">
        <v>2496</v>
      </c>
      <c r="E606" t="s">
        <v>39</v>
      </c>
      <c r="F606" t="s">
        <v>84</v>
      </c>
      <c r="G606" t="s">
        <v>90</v>
      </c>
      <c r="H606" t="s">
        <v>32</v>
      </c>
      <c r="I606" t="s">
        <v>66</v>
      </c>
      <c r="J606" t="s">
        <v>73</v>
      </c>
      <c r="K606">
        <v>2</v>
      </c>
      <c r="L606">
        <v>141.13999999999999</v>
      </c>
      <c r="M606" s="3">
        <v>0.05</v>
      </c>
      <c r="N606" t="str">
        <f>VLOOKUP(Table1[[#This Row],[Country]],REF_Country!$A$1:$D$11,2,FALSE)</f>
        <v>Southeast Asia</v>
      </c>
      <c r="O606" t="str">
        <f>VLOOKUP(Table1[[#This Row],[Country]],REF_Country!$A$1:$D$11,3,FALSE)</f>
        <v>TH</v>
      </c>
      <c r="P606">
        <f>VLOOKUP(Table1[[#This Row],[Country]],REF_Country!$A$1:$D$11,4,FALSE)</f>
        <v>7.0000000000000007E-2</v>
      </c>
      <c r="Q606">
        <f>VLOOKUP(Table1[[#This Row],[Category]],REF_Target!$A$1:$E$6,2,FALSE)</f>
        <v>30000</v>
      </c>
      <c r="R606">
        <f>Table1[[#This Row],[Quantity]]*Table1[[#This Row],[Unit_Price]]</f>
        <v>282.27999999999997</v>
      </c>
      <c r="S606">
        <f>Table1[[#This Row],[Gross_Sales]]*Table1[[#This Row],[Discount_Rate]]</f>
        <v>14.113999999999999</v>
      </c>
      <c r="T606">
        <f>Table1[[#This Row],[Gross_Sales]]-Table1[[#This Row],[Discount_Amount]]</f>
        <v>268.166</v>
      </c>
      <c r="U606">
        <f>VLOOKUP(Table1[[#This Row],[Category]],REF_Cost!$A$1:$B$6,2,FALSE)*Table1[[#This Row],[Quantity]]</f>
        <v>400</v>
      </c>
      <c r="V606">
        <f>Table1[[#This Row],[Net_Sales]]-Table1[[#This Row],[Total_Cost]]</f>
        <v>-131.834</v>
      </c>
      <c r="W606" t="str">
        <f>TEXT(Table1[[#This Row],[Order_Date]],"mmm")</f>
        <v>Dec</v>
      </c>
      <c r="X606">
        <f>ROUNDUP(MONTH(Table1[[#This Row],[Order_Date]])/3,0)</f>
        <v>4</v>
      </c>
      <c r="Y606">
        <f>YEAR(Table1[[#This Row],[Order_Date]])</f>
        <v>2024</v>
      </c>
    </row>
    <row r="607" spans="1:25" x14ac:dyDescent="0.25">
      <c r="A607" t="s">
        <v>2497</v>
      </c>
      <c r="B607" t="s">
        <v>2498</v>
      </c>
      <c r="C607" t="s">
        <v>2499</v>
      </c>
      <c r="D607" t="s">
        <v>2500</v>
      </c>
      <c r="E607" t="s">
        <v>200</v>
      </c>
      <c r="F607" t="s">
        <v>49</v>
      </c>
      <c r="G607" t="s">
        <v>259</v>
      </c>
      <c r="H607" t="s">
        <v>32</v>
      </c>
      <c r="I607" t="s">
        <v>96</v>
      </c>
      <c r="J607" t="s">
        <v>126</v>
      </c>
      <c r="K607">
        <v>7</v>
      </c>
      <c r="L607">
        <v>779.42</v>
      </c>
      <c r="M607" s="3">
        <v>0.05</v>
      </c>
      <c r="N607" t="str">
        <f>VLOOKUP(Table1[[#This Row],[Country]],REF_Country!$A$1:$D$11,2,FALSE)</f>
        <v>East Asia</v>
      </c>
      <c r="O607" t="str">
        <f>VLOOKUP(Table1[[#This Row],[Country]],REF_Country!$A$1:$D$11,3,FALSE)</f>
        <v>KR</v>
      </c>
      <c r="P607">
        <f>VLOOKUP(Table1[[#This Row],[Country]],REF_Country!$A$1:$D$11,4,FALSE)</f>
        <v>0.1</v>
      </c>
      <c r="Q607">
        <f>VLOOKUP(Table1[[#This Row],[Category]],REF_Target!$A$1:$E$6,2,FALSE)</f>
        <v>35000</v>
      </c>
      <c r="R607">
        <f>Table1[[#This Row],[Quantity]]*Table1[[#This Row],[Unit_Price]]</f>
        <v>5455.94</v>
      </c>
      <c r="S607">
        <f>Table1[[#This Row],[Gross_Sales]]*Table1[[#This Row],[Discount_Rate]]</f>
        <v>272.79699999999997</v>
      </c>
      <c r="T607">
        <f>Table1[[#This Row],[Gross_Sales]]-Table1[[#This Row],[Discount_Amount]]</f>
        <v>5183.143</v>
      </c>
      <c r="U607">
        <f>VLOOKUP(Table1[[#This Row],[Category]],REF_Cost!$A$1:$B$6,2,FALSE)*Table1[[#This Row],[Quantity]]</f>
        <v>1050</v>
      </c>
      <c r="V607">
        <f>Table1[[#This Row],[Net_Sales]]-Table1[[#This Row],[Total_Cost]]</f>
        <v>4133.143</v>
      </c>
      <c r="W607" t="str">
        <f>TEXT(Table1[[#This Row],[Order_Date]],"mmm")</f>
        <v>Oct</v>
      </c>
      <c r="X607">
        <f>ROUNDUP(MONTH(Table1[[#This Row],[Order_Date]])/3,0)</f>
        <v>4</v>
      </c>
      <c r="Y607">
        <f>YEAR(Table1[[#This Row],[Order_Date]])</f>
        <v>2024</v>
      </c>
    </row>
    <row r="608" spans="1:25" x14ac:dyDescent="0.25">
      <c r="A608" t="s">
        <v>2501</v>
      </c>
      <c r="B608" t="s">
        <v>2502</v>
      </c>
      <c r="C608" t="s">
        <v>2503</v>
      </c>
      <c r="D608" t="s">
        <v>2504</v>
      </c>
      <c r="E608" t="s">
        <v>71</v>
      </c>
      <c r="F608" t="s">
        <v>40</v>
      </c>
      <c r="G608" t="s">
        <v>144</v>
      </c>
      <c r="H608" t="s">
        <v>72</v>
      </c>
      <c r="I608" t="s">
        <v>66</v>
      </c>
      <c r="J608" t="s">
        <v>34</v>
      </c>
      <c r="K608">
        <v>2</v>
      </c>
      <c r="L608">
        <v>1215.3599999999999</v>
      </c>
      <c r="M608" s="3">
        <v>0.2</v>
      </c>
      <c r="N608" t="str">
        <f>VLOOKUP(Table1[[#This Row],[Country]],REF_Country!$A$1:$D$11,2,FALSE)</f>
        <v>Southeast Asia</v>
      </c>
      <c r="O608" t="str">
        <f>VLOOKUP(Table1[[#This Row],[Country]],REF_Country!$A$1:$D$11,3,FALSE)</f>
        <v>PH</v>
      </c>
      <c r="P608">
        <f>VLOOKUP(Table1[[#This Row],[Country]],REF_Country!$A$1:$D$11,4,FALSE)</f>
        <v>0.12</v>
      </c>
      <c r="Q608">
        <f>VLOOKUP(Table1[[#This Row],[Category]],REF_Target!$A$1:$E$6,2,FALSE)</f>
        <v>45000</v>
      </c>
      <c r="R608">
        <f>Table1[[#This Row],[Quantity]]*Table1[[#This Row],[Unit_Price]]</f>
        <v>2430.7199999999998</v>
      </c>
      <c r="S608">
        <f>Table1[[#This Row],[Gross_Sales]]*Table1[[#This Row],[Discount_Rate]]</f>
        <v>486.14400000000001</v>
      </c>
      <c r="T608">
        <f>Table1[[#This Row],[Gross_Sales]]-Table1[[#This Row],[Discount_Amount]]</f>
        <v>1944.5759999999998</v>
      </c>
      <c r="U608">
        <f>VLOOKUP(Table1[[#This Row],[Category]],REF_Cost!$A$1:$B$6,2,FALSE)*Table1[[#This Row],[Quantity]]</f>
        <v>160</v>
      </c>
      <c r="V608">
        <f>Table1[[#This Row],[Net_Sales]]-Table1[[#This Row],[Total_Cost]]</f>
        <v>1784.5759999999998</v>
      </c>
      <c r="W608" t="str">
        <f>TEXT(Table1[[#This Row],[Order_Date]],"mmm")</f>
        <v>Jul</v>
      </c>
      <c r="X608">
        <f>ROUNDUP(MONTH(Table1[[#This Row],[Order_Date]])/3,0)</f>
        <v>3</v>
      </c>
      <c r="Y608">
        <f>YEAR(Table1[[#This Row],[Order_Date]])</f>
        <v>2024</v>
      </c>
    </row>
    <row r="609" spans="1:25" x14ac:dyDescent="0.25">
      <c r="A609" t="s">
        <v>2505</v>
      </c>
      <c r="B609" t="s">
        <v>2506</v>
      </c>
      <c r="C609" t="s">
        <v>2507</v>
      </c>
      <c r="D609" t="s">
        <v>2508</v>
      </c>
      <c r="E609" t="s">
        <v>83</v>
      </c>
      <c r="F609" t="s">
        <v>84</v>
      </c>
      <c r="G609" t="s">
        <v>412</v>
      </c>
      <c r="H609" t="s">
        <v>32</v>
      </c>
      <c r="I609" t="s">
        <v>33</v>
      </c>
      <c r="J609" t="s">
        <v>73</v>
      </c>
      <c r="K609">
        <v>4</v>
      </c>
      <c r="L609">
        <v>1454.6</v>
      </c>
      <c r="M609" s="3">
        <v>0.1</v>
      </c>
      <c r="N609" t="str">
        <f>VLOOKUP(Table1[[#This Row],[Country]],REF_Country!$A$1:$D$11,2,FALSE)</f>
        <v>South Asia</v>
      </c>
      <c r="O609" t="str">
        <f>VLOOKUP(Table1[[#This Row],[Country]],REF_Country!$A$1:$D$11,3,FALSE)</f>
        <v>IN</v>
      </c>
      <c r="P609">
        <f>VLOOKUP(Table1[[#This Row],[Country]],REF_Country!$A$1:$D$11,4,FALSE)</f>
        <v>0.18</v>
      </c>
      <c r="Q609">
        <f>VLOOKUP(Table1[[#This Row],[Category]],REF_Target!$A$1:$E$6,2,FALSE)</f>
        <v>30000</v>
      </c>
      <c r="R609">
        <f>Table1[[#This Row],[Quantity]]*Table1[[#This Row],[Unit_Price]]</f>
        <v>5818.4</v>
      </c>
      <c r="S609">
        <f>Table1[[#This Row],[Gross_Sales]]*Table1[[#This Row],[Discount_Rate]]</f>
        <v>581.84</v>
      </c>
      <c r="T609">
        <f>Table1[[#This Row],[Gross_Sales]]-Table1[[#This Row],[Discount_Amount]]</f>
        <v>5236.5599999999995</v>
      </c>
      <c r="U609">
        <f>VLOOKUP(Table1[[#This Row],[Category]],REF_Cost!$A$1:$B$6,2,FALSE)*Table1[[#This Row],[Quantity]]</f>
        <v>800</v>
      </c>
      <c r="V609">
        <f>Table1[[#This Row],[Net_Sales]]-Table1[[#This Row],[Total_Cost]]</f>
        <v>4436.5599999999995</v>
      </c>
      <c r="W609" t="str">
        <f>TEXT(Table1[[#This Row],[Order_Date]],"mmm")</f>
        <v>Dec</v>
      </c>
      <c r="X609">
        <f>ROUNDUP(MONTH(Table1[[#This Row],[Order_Date]])/3,0)</f>
        <v>4</v>
      </c>
      <c r="Y609">
        <f>YEAR(Table1[[#This Row],[Order_Date]])</f>
        <v>2024</v>
      </c>
    </row>
    <row r="610" spans="1:25" x14ac:dyDescent="0.25">
      <c r="A610" t="s">
        <v>2509</v>
      </c>
      <c r="B610" t="s">
        <v>2510</v>
      </c>
      <c r="C610" t="s">
        <v>2511</v>
      </c>
      <c r="D610" t="s">
        <v>2512</v>
      </c>
      <c r="E610" t="s">
        <v>83</v>
      </c>
      <c r="F610" t="s">
        <v>49</v>
      </c>
      <c r="G610" t="s">
        <v>286</v>
      </c>
      <c r="H610" t="s">
        <v>32</v>
      </c>
      <c r="I610" t="s">
        <v>33</v>
      </c>
      <c r="J610" t="s">
        <v>59</v>
      </c>
      <c r="K610">
        <v>2</v>
      </c>
      <c r="L610">
        <v>942.49</v>
      </c>
      <c r="M610" s="3">
        <v>0.2</v>
      </c>
      <c r="N610" t="str">
        <f>VLOOKUP(Table1[[#This Row],[Country]],REF_Country!$A$1:$D$11,2,FALSE)</f>
        <v>South Asia</v>
      </c>
      <c r="O610" t="str">
        <f>VLOOKUP(Table1[[#This Row],[Country]],REF_Country!$A$1:$D$11,3,FALSE)</f>
        <v>IN</v>
      </c>
      <c r="P610">
        <f>VLOOKUP(Table1[[#This Row],[Country]],REF_Country!$A$1:$D$11,4,FALSE)</f>
        <v>0.18</v>
      </c>
      <c r="Q610">
        <f>VLOOKUP(Table1[[#This Row],[Category]],REF_Target!$A$1:$E$6,2,FALSE)</f>
        <v>35000</v>
      </c>
      <c r="R610">
        <f>Table1[[#This Row],[Quantity]]*Table1[[#This Row],[Unit_Price]]</f>
        <v>1884.98</v>
      </c>
      <c r="S610">
        <f>Table1[[#This Row],[Gross_Sales]]*Table1[[#This Row],[Discount_Rate]]</f>
        <v>376.99600000000004</v>
      </c>
      <c r="T610">
        <f>Table1[[#This Row],[Gross_Sales]]-Table1[[#This Row],[Discount_Amount]]</f>
        <v>1507.9839999999999</v>
      </c>
      <c r="U610">
        <f>VLOOKUP(Table1[[#This Row],[Category]],REF_Cost!$A$1:$B$6,2,FALSE)*Table1[[#This Row],[Quantity]]</f>
        <v>300</v>
      </c>
      <c r="V610">
        <f>Table1[[#This Row],[Net_Sales]]-Table1[[#This Row],[Total_Cost]]</f>
        <v>1207.9839999999999</v>
      </c>
      <c r="W610" t="str">
        <f>TEXT(Table1[[#This Row],[Order_Date]],"mmm")</f>
        <v>May</v>
      </c>
      <c r="X610">
        <f>ROUNDUP(MONTH(Table1[[#This Row],[Order_Date]])/3,0)</f>
        <v>2</v>
      </c>
      <c r="Y610">
        <f>YEAR(Table1[[#This Row],[Order_Date]])</f>
        <v>2024</v>
      </c>
    </row>
    <row r="611" spans="1:25" x14ac:dyDescent="0.25">
      <c r="A611" t="s">
        <v>2513</v>
      </c>
      <c r="B611" t="s">
        <v>2514</v>
      </c>
      <c r="C611" t="s">
        <v>2515</v>
      </c>
      <c r="D611" t="s">
        <v>2516</v>
      </c>
      <c r="E611" t="s">
        <v>78</v>
      </c>
      <c r="F611" t="s">
        <v>49</v>
      </c>
      <c r="G611" t="s">
        <v>226</v>
      </c>
      <c r="H611" t="s">
        <v>58</v>
      </c>
      <c r="I611" t="s">
        <v>33</v>
      </c>
      <c r="J611" t="s">
        <v>59</v>
      </c>
      <c r="K611">
        <v>2</v>
      </c>
      <c r="L611">
        <v>326.45999999999998</v>
      </c>
      <c r="M611" s="3">
        <v>0.2</v>
      </c>
      <c r="N611" t="str">
        <f>VLOOKUP(Table1[[#This Row],[Country]],REF_Country!$A$1:$D$11,2,FALSE)</f>
        <v>Oceania</v>
      </c>
      <c r="O611" t="str">
        <f>VLOOKUP(Table1[[#This Row],[Country]],REF_Country!$A$1:$D$11,3,FALSE)</f>
        <v>AU</v>
      </c>
      <c r="P611">
        <f>VLOOKUP(Table1[[#This Row],[Country]],REF_Country!$A$1:$D$11,4,FALSE)</f>
        <v>0.1</v>
      </c>
      <c r="Q611">
        <f>VLOOKUP(Table1[[#This Row],[Category]],REF_Target!$A$1:$E$6,2,FALSE)</f>
        <v>35000</v>
      </c>
      <c r="R611">
        <f>Table1[[#This Row],[Quantity]]*Table1[[#This Row],[Unit_Price]]</f>
        <v>652.91999999999996</v>
      </c>
      <c r="S611">
        <f>Table1[[#This Row],[Gross_Sales]]*Table1[[#This Row],[Discount_Rate]]</f>
        <v>130.584</v>
      </c>
      <c r="T611">
        <f>Table1[[#This Row],[Gross_Sales]]-Table1[[#This Row],[Discount_Amount]]</f>
        <v>522.33600000000001</v>
      </c>
      <c r="U611">
        <f>VLOOKUP(Table1[[#This Row],[Category]],REF_Cost!$A$1:$B$6,2,FALSE)*Table1[[#This Row],[Quantity]]</f>
        <v>300</v>
      </c>
      <c r="V611">
        <f>Table1[[#This Row],[Net_Sales]]-Table1[[#This Row],[Total_Cost]]</f>
        <v>222.33600000000001</v>
      </c>
      <c r="W611" t="str">
        <f>TEXT(Table1[[#This Row],[Order_Date]],"mmm")</f>
        <v>Feb</v>
      </c>
      <c r="X611">
        <f>ROUNDUP(MONTH(Table1[[#This Row],[Order_Date]])/3,0)</f>
        <v>1</v>
      </c>
      <c r="Y611">
        <f>YEAR(Table1[[#This Row],[Order_Date]])</f>
        <v>2024</v>
      </c>
    </row>
    <row r="612" spans="1:25" x14ac:dyDescent="0.25">
      <c r="A612" t="s">
        <v>2517</v>
      </c>
      <c r="B612" t="s">
        <v>2518</v>
      </c>
      <c r="C612" t="s">
        <v>2519</v>
      </c>
      <c r="D612" t="s">
        <v>2520</v>
      </c>
      <c r="E612" t="s">
        <v>39</v>
      </c>
      <c r="F612" t="s">
        <v>49</v>
      </c>
      <c r="G612" t="s">
        <v>226</v>
      </c>
      <c r="H612" t="s">
        <v>72</v>
      </c>
      <c r="I612" t="s">
        <v>51</v>
      </c>
      <c r="J612" t="s">
        <v>73</v>
      </c>
      <c r="K612">
        <v>9</v>
      </c>
      <c r="L612">
        <v>388.13</v>
      </c>
      <c r="M612" s="3">
        <v>0.1</v>
      </c>
      <c r="N612" t="str">
        <f>VLOOKUP(Table1[[#This Row],[Country]],REF_Country!$A$1:$D$11,2,FALSE)</f>
        <v>Southeast Asia</v>
      </c>
      <c r="O612" t="str">
        <f>VLOOKUP(Table1[[#This Row],[Country]],REF_Country!$A$1:$D$11,3,FALSE)</f>
        <v>TH</v>
      </c>
      <c r="P612">
        <f>VLOOKUP(Table1[[#This Row],[Country]],REF_Country!$A$1:$D$11,4,FALSE)</f>
        <v>7.0000000000000007E-2</v>
      </c>
      <c r="Q612">
        <f>VLOOKUP(Table1[[#This Row],[Category]],REF_Target!$A$1:$E$6,2,FALSE)</f>
        <v>35000</v>
      </c>
      <c r="R612">
        <f>Table1[[#This Row],[Quantity]]*Table1[[#This Row],[Unit_Price]]</f>
        <v>3493.17</v>
      </c>
      <c r="S612">
        <f>Table1[[#This Row],[Gross_Sales]]*Table1[[#This Row],[Discount_Rate]]</f>
        <v>349.31700000000001</v>
      </c>
      <c r="T612">
        <f>Table1[[#This Row],[Gross_Sales]]-Table1[[#This Row],[Discount_Amount]]</f>
        <v>3143.8530000000001</v>
      </c>
      <c r="U612">
        <f>VLOOKUP(Table1[[#This Row],[Category]],REF_Cost!$A$1:$B$6,2,FALSE)*Table1[[#This Row],[Quantity]]</f>
        <v>1350</v>
      </c>
      <c r="V612">
        <f>Table1[[#This Row],[Net_Sales]]-Table1[[#This Row],[Total_Cost]]</f>
        <v>1793.8530000000001</v>
      </c>
      <c r="W612" t="str">
        <f>TEXT(Table1[[#This Row],[Order_Date]],"mmm")</f>
        <v>Dec</v>
      </c>
      <c r="X612">
        <f>ROUNDUP(MONTH(Table1[[#This Row],[Order_Date]])/3,0)</f>
        <v>4</v>
      </c>
      <c r="Y612">
        <f>YEAR(Table1[[#This Row],[Order_Date]])</f>
        <v>2024</v>
      </c>
    </row>
    <row r="613" spans="1:25" x14ac:dyDescent="0.25">
      <c r="A613" t="s">
        <v>2521</v>
      </c>
      <c r="B613" t="s">
        <v>2522</v>
      </c>
      <c r="C613" t="s">
        <v>2523</v>
      </c>
      <c r="D613" t="s">
        <v>2524</v>
      </c>
      <c r="E613" t="s">
        <v>200</v>
      </c>
      <c r="F613" t="s">
        <v>84</v>
      </c>
      <c r="G613" t="s">
        <v>90</v>
      </c>
      <c r="H613" t="s">
        <v>32</v>
      </c>
      <c r="I613" t="s">
        <v>33</v>
      </c>
      <c r="J613" t="s">
        <v>73</v>
      </c>
      <c r="K613">
        <v>7</v>
      </c>
      <c r="L613">
        <v>1216.27</v>
      </c>
      <c r="M613" s="3">
        <v>0.15</v>
      </c>
      <c r="N613" t="str">
        <f>VLOOKUP(Table1[[#This Row],[Country]],REF_Country!$A$1:$D$11,2,FALSE)</f>
        <v>East Asia</v>
      </c>
      <c r="O613" t="str">
        <f>VLOOKUP(Table1[[#This Row],[Country]],REF_Country!$A$1:$D$11,3,FALSE)</f>
        <v>KR</v>
      </c>
      <c r="P613">
        <f>VLOOKUP(Table1[[#This Row],[Country]],REF_Country!$A$1:$D$11,4,FALSE)</f>
        <v>0.1</v>
      </c>
      <c r="Q613">
        <f>VLOOKUP(Table1[[#This Row],[Category]],REF_Target!$A$1:$E$6,2,FALSE)</f>
        <v>30000</v>
      </c>
      <c r="R613">
        <f>Table1[[#This Row],[Quantity]]*Table1[[#This Row],[Unit_Price]]</f>
        <v>8513.89</v>
      </c>
      <c r="S613">
        <f>Table1[[#This Row],[Gross_Sales]]*Table1[[#This Row],[Discount_Rate]]</f>
        <v>1277.0835</v>
      </c>
      <c r="T613">
        <f>Table1[[#This Row],[Gross_Sales]]-Table1[[#This Row],[Discount_Amount]]</f>
        <v>7236.8064999999997</v>
      </c>
      <c r="U613">
        <f>VLOOKUP(Table1[[#This Row],[Category]],REF_Cost!$A$1:$B$6,2,FALSE)*Table1[[#This Row],[Quantity]]</f>
        <v>1400</v>
      </c>
      <c r="V613">
        <f>Table1[[#This Row],[Net_Sales]]-Table1[[#This Row],[Total_Cost]]</f>
        <v>5836.8064999999997</v>
      </c>
      <c r="W613" t="str">
        <f>TEXT(Table1[[#This Row],[Order_Date]],"mmm")</f>
        <v>Sep</v>
      </c>
      <c r="X613">
        <f>ROUNDUP(MONTH(Table1[[#This Row],[Order_Date]])/3,0)</f>
        <v>3</v>
      </c>
      <c r="Y613">
        <f>YEAR(Table1[[#This Row],[Order_Date]])</f>
        <v>2024</v>
      </c>
    </row>
    <row r="614" spans="1:25" x14ac:dyDescent="0.25">
      <c r="A614" t="s">
        <v>2525</v>
      </c>
      <c r="B614" t="s">
        <v>2526</v>
      </c>
      <c r="C614" t="s">
        <v>2527</v>
      </c>
      <c r="D614" t="s">
        <v>2528</v>
      </c>
      <c r="E614" t="s">
        <v>48</v>
      </c>
      <c r="F614" t="s">
        <v>84</v>
      </c>
      <c r="G614" t="s">
        <v>264</v>
      </c>
      <c r="H614" t="s">
        <v>72</v>
      </c>
      <c r="I614" t="s">
        <v>96</v>
      </c>
      <c r="J614" t="s">
        <v>59</v>
      </c>
      <c r="K614">
        <v>2</v>
      </c>
      <c r="L614">
        <v>624.24</v>
      </c>
      <c r="M614" s="3">
        <v>0.2</v>
      </c>
      <c r="N614" t="str">
        <f>VLOOKUP(Table1[[#This Row],[Country]],REF_Country!$A$1:$D$11,2,FALSE)</f>
        <v>Southeast Asia</v>
      </c>
      <c r="O614" t="str">
        <f>VLOOKUP(Table1[[#This Row],[Country]],REF_Country!$A$1:$D$11,3,FALSE)</f>
        <v>SG</v>
      </c>
      <c r="P614">
        <f>VLOOKUP(Table1[[#This Row],[Country]],REF_Country!$A$1:$D$11,4,FALSE)</f>
        <v>7.0000000000000007E-2</v>
      </c>
      <c r="Q614">
        <f>VLOOKUP(Table1[[#This Row],[Category]],REF_Target!$A$1:$E$6,2,FALSE)</f>
        <v>30000</v>
      </c>
      <c r="R614">
        <f>Table1[[#This Row],[Quantity]]*Table1[[#This Row],[Unit_Price]]</f>
        <v>1248.48</v>
      </c>
      <c r="S614">
        <f>Table1[[#This Row],[Gross_Sales]]*Table1[[#This Row],[Discount_Rate]]</f>
        <v>249.69600000000003</v>
      </c>
      <c r="T614">
        <f>Table1[[#This Row],[Gross_Sales]]-Table1[[#This Row],[Discount_Amount]]</f>
        <v>998.78399999999999</v>
      </c>
      <c r="U614">
        <f>VLOOKUP(Table1[[#This Row],[Category]],REF_Cost!$A$1:$B$6,2,FALSE)*Table1[[#This Row],[Quantity]]</f>
        <v>400</v>
      </c>
      <c r="V614">
        <f>Table1[[#This Row],[Net_Sales]]-Table1[[#This Row],[Total_Cost]]</f>
        <v>598.78399999999999</v>
      </c>
      <c r="W614" t="str">
        <f>TEXT(Table1[[#This Row],[Order_Date]],"mmm")</f>
        <v>Aug</v>
      </c>
      <c r="X614">
        <f>ROUNDUP(MONTH(Table1[[#This Row],[Order_Date]])/3,0)</f>
        <v>3</v>
      </c>
      <c r="Y614">
        <f>YEAR(Table1[[#This Row],[Order_Date]])</f>
        <v>2024</v>
      </c>
    </row>
    <row r="615" spans="1:25" x14ac:dyDescent="0.25">
      <c r="A615" t="s">
        <v>2529</v>
      </c>
      <c r="B615" t="s">
        <v>2530</v>
      </c>
      <c r="C615" t="s">
        <v>2531</v>
      </c>
      <c r="D615" t="s">
        <v>2532</v>
      </c>
      <c r="E615" t="s">
        <v>83</v>
      </c>
      <c r="F615" t="s">
        <v>30</v>
      </c>
      <c r="G615" t="s">
        <v>195</v>
      </c>
      <c r="H615" t="s">
        <v>32</v>
      </c>
      <c r="I615" t="s">
        <v>43</v>
      </c>
      <c r="J615" t="s">
        <v>59</v>
      </c>
      <c r="K615">
        <v>3</v>
      </c>
      <c r="L615">
        <v>369.15</v>
      </c>
      <c r="M615" s="3">
        <v>0</v>
      </c>
      <c r="N615" t="str">
        <f>VLOOKUP(Table1[[#This Row],[Country]],REF_Country!$A$1:$D$11,2,FALSE)</f>
        <v>South Asia</v>
      </c>
      <c r="O615" t="str">
        <f>VLOOKUP(Table1[[#This Row],[Country]],REF_Country!$A$1:$D$11,3,FALSE)</f>
        <v>IN</v>
      </c>
      <c r="P615">
        <f>VLOOKUP(Table1[[#This Row],[Country]],REF_Country!$A$1:$D$11,4,FALSE)</f>
        <v>0.18</v>
      </c>
      <c r="Q615">
        <f>VLOOKUP(Table1[[#This Row],[Category]],REF_Target!$A$1:$E$6,2,FALSE)</f>
        <v>40000</v>
      </c>
      <c r="R615">
        <f>Table1[[#This Row],[Quantity]]*Table1[[#This Row],[Unit_Price]]</f>
        <v>1107.4499999999998</v>
      </c>
      <c r="S615">
        <f>Table1[[#This Row],[Gross_Sales]]*Table1[[#This Row],[Discount_Rate]]</f>
        <v>0</v>
      </c>
      <c r="T615">
        <f>Table1[[#This Row],[Gross_Sales]]-Table1[[#This Row],[Discount_Amount]]</f>
        <v>1107.4499999999998</v>
      </c>
      <c r="U615">
        <f>VLOOKUP(Table1[[#This Row],[Category]],REF_Cost!$A$1:$B$6,2,FALSE)*Table1[[#This Row],[Quantity]]</f>
        <v>360</v>
      </c>
      <c r="V615">
        <f>Table1[[#This Row],[Net_Sales]]-Table1[[#This Row],[Total_Cost]]</f>
        <v>747.44999999999982</v>
      </c>
      <c r="W615" t="str">
        <f>TEXT(Table1[[#This Row],[Order_Date]],"mmm")</f>
        <v>Nov</v>
      </c>
      <c r="X615">
        <f>ROUNDUP(MONTH(Table1[[#This Row],[Order_Date]])/3,0)</f>
        <v>4</v>
      </c>
      <c r="Y615">
        <f>YEAR(Table1[[#This Row],[Order_Date]])</f>
        <v>2024</v>
      </c>
    </row>
    <row r="616" spans="1:25" x14ac:dyDescent="0.25">
      <c r="A616" t="s">
        <v>2533</v>
      </c>
      <c r="B616" t="s">
        <v>2534</v>
      </c>
      <c r="C616" t="s">
        <v>2535</v>
      </c>
      <c r="D616" t="s">
        <v>2536</v>
      </c>
      <c r="E616" t="s">
        <v>149</v>
      </c>
      <c r="F616" t="s">
        <v>56</v>
      </c>
      <c r="G616" t="s">
        <v>95</v>
      </c>
      <c r="H616" t="s">
        <v>58</v>
      </c>
      <c r="I616" t="s">
        <v>66</v>
      </c>
      <c r="J616" t="s">
        <v>73</v>
      </c>
      <c r="K616">
        <v>3</v>
      </c>
      <c r="L616">
        <v>251.65</v>
      </c>
      <c r="M616" s="3">
        <v>0</v>
      </c>
      <c r="N616" t="str">
        <f>VLOOKUP(Table1[[#This Row],[Country]],REF_Country!$A$1:$D$11,2,FALSE)</f>
        <v>East Asia</v>
      </c>
      <c r="O616" t="str">
        <f>VLOOKUP(Table1[[#This Row],[Country]],REF_Country!$A$1:$D$11,3,FALSE)</f>
        <v>JP</v>
      </c>
      <c r="P616">
        <f>VLOOKUP(Table1[[#This Row],[Country]],REF_Country!$A$1:$D$11,4,FALSE)</f>
        <v>0.1</v>
      </c>
      <c r="Q616">
        <f>VLOOKUP(Table1[[#This Row],[Category]],REF_Target!$A$1:$E$6,2,FALSE)</f>
        <v>50000</v>
      </c>
      <c r="R616">
        <f>Table1[[#This Row],[Quantity]]*Table1[[#This Row],[Unit_Price]]</f>
        <v>754.95</v>
      </c>
      <c r="S616">
        <f>Table1[[#This Row],[Gross_Sales]]*Table1[[#This Row],[Discount_Rate]]</f>
        <v>0</v>
      </c>
      <c r="T616">
        <f>Table1[[#This Row],[Gross_Sales]]-Table1[[#This Row],[Discount_Amount]]</f>
        <v>754.95</v>
      </c>
      <c r="U616">
        <f>VLOOKUP(Table1[[#This Row],[Category]],REF_Cost!$A$1:$B$6,2,FALSE)*Table1[[#This Row],[Quantity]]</f>
        <v>1350</v>
      </c>
      <c r="V616">
        <f>Table1[[#This Row],[Net_Sales]]-Table1[[#This Row],[Total_Cost]]</f>
        <v>-595.04999999999995</v>
      </c>
      <c r="W616" t="str">
        <f>TEXT(Table1[[#This Row],[Order_Date]],"mmm")</f>
        <v>Sep</v>
      </c>
      <c r="X616">
        <f>ROUNDUP(MONTH(Table1[[#This Row],[Order_Date]])/3,0)</f>
        <v>3</v>
      </c>
      <c r="Y616">
        <f>YEAR(Table1[[#This Row],[Order_Date]])</f>
        <v>2024</v>
      </c>
    </row>
    <row r="617" spans="1:25" x14ac:dyDescent="0.25">
      <c r="A617" t="s">
        <v>2537</v>
      </c>
      <c r="B617" t="s">
        <v>2538</v>
      </c>
      <c r="C617" t="s">
        <v>2539</v>
      </c>
      <c r="D617" t="s">
        <v>2540</v>
      </c>
      <c r="E617" t="s">
        <v>64</v>
      </c>
      <c r="F617" t="s">
        <v>56</v>
      </c>
      <c r="G617" t="s">
        <v>101</v>
      </c>
      <c r="H617" t="s">
        <v>42</v>
      </c>
      <c r="I617" t="s">
        <v>66</v>
      </c>
      <c r="J617" t="s">
        <v>126</v>
      </c>
      <c r="K617">
        <v>5</v>
      </c>
      <c r="L617">
        <v>481.15</v>
      </c>
      <c r="M617" s="3">
        <v>0</v>
      </c>
      <c r="N617" t="str">
        <f>VLOOKUP(Table1[[#This Row],[Country]],REF_Country!$A$1:$D$11,2,FALSE)</f>
        <v>Southeast Asia</v>
      </c>
      <c r="O617" t="str">
        <f>VLOOKUP(Table1[[#This Row],[Country]],REF_Country!$A$1:$D$11,3,FALSE)</f>
        <v>ID</v>
      </c>
      <c r="P617">
        <f>VLOOKUP(Table1[[#This Row],[Country]],REF_Country!$A$1:$D$11,4,FALSE)</f>
        <v>0.11</v>
      </c>
      <c r="Q617">
        <f>VLOOKUP(Table1[[#This Row],[Category]],REF_Target!$A$1:$E$6,2,FALSE)</f>
        <v>50000</v>
      </c>
      <c r="R617">
        <f>Table1[[#This Row],[Quantity]]*Table1[[#This Row],[Unit_Price]]</f>
        <v>2405.75</v>
      </c>
      <c r="S617">
        <f>Table1[[#This Row],[Gross_Sales]]*Table1[[#This Row],[Discount_Rate]]</f>
        <v>0</v>
      </c>
      <c r="T617">
        <f>Table1[[#This Row],[Gross_Sales]]-Table1[[#This Row],[Discount_Amount]]</f>
        <v>2405.75</v>
      </c>
      <c r="U617">
        <f>VLOOKUP(Table1[[#This Row],[Category]],REF_Cost!$A$1:$B$6,2,FALSE)*Table1[[#This Row],[Quantity]]</f>
        <v>2250</v>
      </c>
      <c r="V617">
        <f>Table1[[#This Row],[Net_Sales]]-Table1[[#This Row],[Total_Cost]]</f>
        <v>155.75</v>
      </c>
      <c r="W617" t="str">
        <f>TEXT(Table1[[#This Row],[Order_Date]],"mmm")</f>
        <v>Jan</v>
      </c>
      <c r="X617">
        <f>ROUNDUP(MONTH(Table1[[#This Row],[Order_Date]])/3,0)</f>
        <v>1</v>
      </c>
      <c r="Y617">
        <f>YEAR(Table1[[#This Row],[Order_Date]])</f>
        <v>2024</v>
      </c>
    </row>
    <row r="618" spans="1:25" x14ac:dyDescent="0.25">
      <c r="A618" t="s">
        <v>2541</v>
      </c>
      <c r="B618" t="s">
        <v>2542</v>
      </c>
      <c r="C618" t="s">
        <v>2543</v>
      </c>
      <c r="D618" t="s">
        <v>2544</v>
      </c>
      <c r="E618" t="s">
        <v>83</v>
      </c>
      <c r="F618" t="s">
        <v>40</v>
      </c>
      <c r="G618" t="s">
        <v>144</v>
      </c>
      <c r="H618" t="s">
        <v>58</v>
      </c>
      <c r="I618" t="s">
        <v>96</v>
      </c>
      <c r="J618" t="s">
        <v>126</v>
      </c>
      <c r="K618">
        <v>10</v>
      </c>
      <c r="L618">
        <v>790.11</v>
      </c>
      <c r="M618" s="3">
        <v>0.15</v>
      </c>
      <c r="N618" t="str">
        <f>VLOOKUP(Table1[[#This Row],[Country]],REF_Country!$A$1:$D$11,2,FALSE)</f>
        <v>South Asia</v>
      </c>
      <c r="O618" t="str">
        <f>VLOOKUP(Table1[[#This Row],[Country]],REF_Country!$A$1:$D$11,3,FALSE)</f>
        <v>IN</v>
      </c>
      <c r="P618">
        <f>VLOOKUP(Table1[[#This Row],[Country]],REF_Country!$A$1:$D$11,4,FALSE)</f>
        <v>0.18</v>
      </c>
      <c r="Q618">
        <f>VLOOKUP(Table1[[#This Row],[Category]],REF_Target!$A$1:$E$6,2,FALSE)</f>
        <v>45000</v>
      </c>
      <c r="R618">
        <f>Table1[[#This Row],[Quantity]]*Table1[[#This Row],[Unit_Price]]</f>
        <v>7901.1</v>
      </c>
      <c r="S618">
        <f>Table1[[#This Row],[Gross_Sales]]*Table1[[#This Row],[Discount_Rate]]</f>
        <v>1185.165</v>
      </c>
      <c r="T618">
        <f>Table1[[#This Row],[Gross_Sales]]-Table1[[#This Row],[Discount_Amount]]</f>
        <v>6715.9350000000004</v>
      </c>
      <c r="U618">
        <f>VLOOKUP(Table1[[#This Row],[Category]],REF_Cost!$A$1:$B$6,2,FALSE)*Table1[[#This Row],[Quantity]]</f>
        <v>800</v>
      </c>
      <c r="V618">
        <f>Table1[[#This Row],[Net_Sales]]-Table1[[#This Row],[Total_Cost]]</f>
        <v>5915.9350000000004</v>
      </c>
      <c r="W618" t="str">
        <f>TEXT(Table1[[#This Row],[Order_Date]],"mmm")</f>
        <v>Mar</v>
      </c>
      <c r="X618">
        <f>ROUNDUP(MONTH(Table1[[#This Row],[Order_Date]])/3,0)</f>
        <v>1</v>
      </c>
      <c r="Y618">
        <f>YEAR(Table1[[#This Row],[Order_Date]])</f>
        <v>2024</v>
      </c>
    </row>
    <row r="619" spans="1:25" x14ac:dyDescent="0.25">
      <c r="A619" t="s">
        <v>2545</v>
      </c>
      <c r="B619" t="s">
        <v>2546</v>
      </c>
      <c r="C619" t="s">
        <v>2547</v>
      </c>
      <c r="D619" t="s">
        <v>2548</v>
      </c>
      <c r="E619" t="s">
        <v>71</v>
      </c>
      <c r="F619" t="s">
        <v>84</v>
      </c>
      <c r="G619" t="s">
        <v>90</v>
      </c>
      <c r="H619" t="s">
        <v>72</v>
      </c>
      <c r="I619" t="s">
        <v>43</v>
      </c>
      <c r="J619" t="s">
        <v>126</v>
      </c>
      <c r="K619">
        <v>4</v>
      </c>
      <c r="L619">
        <v>1109.8</v>
      </c>
      <c r="M619" s="3">
        <v>0.1</v>
      </c>
      <c r="N619" t="str">
        <f>VLOOKUP(Table1[[#This Row],[Country]],REF_Country!$A$1:$D$11,2,FALSE)</f>
        <v>Southeast Asia</v>
      </c>
      <c r="O619" t="str">
        <f>VLOOKUP(Table1[[#This Row],[Country]],REF_Country!$A$1:$D$11,3,FALSE)</f>
        <v>PH</v>
      </c>
      <c r="P619">
        <f>VLOOKUP(Table1[[#This Row],[Country]],REF_Country!$A$1:$D$11,4,FALSE)</f>
        <v>0.12</v>
      </c>
      <c r="Q619">
        <f>VLOOKUP(Table1[[#This Row],[Category]],REF_Target!$A$1:$E$6,2,FALSE)</f>
        <v>30000</v>
      </c>
      <c r="R619">
        <f>Table1[[#This Row],[Quantity]]*Table1[[#This Row],[Unit_Price]]</f>
        <v>4439.2</v>
      </c>
      <c r="S619">
        <f>Table1[[#This Row],[Gross_Sales]]*Table1[[#This Row],[Discount_Rate]]</f>
        <v>443.92</v>
      </c>
      <c r="T619">
        <f>Table1[[#This Row],[Gross_Sales]]-Table1[[#This Row],[Discount_Amount]]</f>
        <v>3995.2799999999997</v>
      </c>
      <c r="U619">
        <f>VLOOKUP(Table1[[#This Row],[Category]],REF_Cost!$A$1:$B$6,2,FALSE)*Table1[[#This Row],[Quantity]]</f>
        <v>800</v>
      </c>
      <c r="V619">
        <f>Table1[[#This Row],[Net_Sales]]-Table1[[#This Row],[Total_Cost]]</f>
        <v>3195.2799999999997</v>
      </c>
      <c r="W619" t="str">
        <f>TEXT(Table1[[#This Row],[Order_Date]],"mmm")</f>
        <v>Nov</v>
      </c>
      <c r="X619">
        <f>ROUNDUP(MONTH(Table1[[#This Row],[Order_Date]])/3,0)</f>
        <v>4</v>
      </c>
      <c r="Y619">
        <f>YEAR(Table1[[#This Row],[Order_Date]])</f>
        <v>2024</v>
      </c>
    </row>
    <row r="620" spans="1:25" x14ac:dyDescent="0.25">
      <c r="A620" t="s">
        <v>2549</v>
      </c>
      <c r="B620" t="s">
        <v>2550</v>
      </c>
      <c r="C620" t="s">
        <v>2551</v>
      </c>
      <c r="D620" t="s">
        <v>2552</v>
      </c>
      <c r="E620" t="s">
        <v>149</v>
      </c>
      <c r="F620" t="s">
        <v>84</v>
      </c>
      <c r="G620" t="s">
        <v>90</v>
      </c>
      <c r="H620" t="s">
        <v>32</v>
      </c>
      <c r="I620" t="s">
        <v>66</v>
      </c>
      <c r="J620" t="s">
        <v>34</v>
      </c>
      <c r="K620">
        <v>9</v>
      </c>
      <c r="L620">
        <v>98.05</v>
      </c>
      <c r="M620" s="3">
        <v>0.05</v>
      </c>
      <c r="N620" t="str">
        <f>VLOOKUP(Table1[[#This Row],[Country]],REF_Country!$A$1:$D$11,2,FALSE)</f>
        <v>East Asia</v>
      </c>
      <c r="O620" t="str">
        <f>VLOOKUP(Table1[[#This Row],[Country]],REF_Country!$A$1:$D$11,3,FALSE)</f>
        <v>JP</v>
      </c>
      <c r="P620">
        <f>VLOOKUP(Table1[[#This Row],[Country]],REF_Country!$A$1:$D$11,4,FALSE)</f>
        <v>0.1</v>
      </c>
      <c r="Q620">
        <f>VLOOKUP(Table1[[#This Row],[Category]],REF_Target!$A$1:$E$6,2,FALSE)</f>
        <v>30000</v>
      </c>
      <c r="R620">
        <f>Table1[[#This Row],[Quantity]]*Table1[[#This Row],[Unit_Price]]</f>
        <v>882.44999999999993</v>
      </c>
      <c r="S620">
        <f>Table1[[#This Row],[Gross_Sales]]*Table1[[#This Row],[Discount_Rate]]</f>
        <v>44.122500000000002</v>
      </c>
      <c r="T620">
        <f>Table1[[#This Row],[Gross_Sales]]-Table1[[#This Row],[Discount_Amount]]</f>
        <v>838.32749999999987</v>
      </c>
      <c r="U620">
        <f>VLOOKUP(Table1[[#This Row],[Category]],REF_Cost!$A$1:$B$6,2,FALSE)*Table1[[#This Row],[Quantity]]</f>
        <v>1800</v>
      </c>
      <c r="V620">
        <f>Table1[[#This Row],[Net_Sales]]-Table1[[#This Row],[Total_Cost]]</f>
        <v>-961.67250000000013</v>
      </c>
      <c r="W620" t="str">
        <f>TEXT(Table1[[#This Row],[Order_Date]],"mmm")</f>
        <v>Apr</v>
      </c>
      <c r="X620">
        <f>ROUNDUP(MONTH(Table1[[#This Row],[Order_Date]])/3,0)</f>
        <v>2</v>
      </c>
      <c r="Y620">
        <f>YEAR(Table1[[#This Row],[Order_Date]])</f>
        <v>2024</v>
      </c>
    </row>
    <row r="621" spans="1:25" x14ac:dyDescent="0.25">
      <c r="A621" t="s">
        <v>2553</v>
      </c>
      <c r="B621" t="s">
        <v>2554</v>
      </c>
      <c r="C621" t="s">
        <v>2555</v>
      </c>
      <c r="D621" t="s">
        <v>2556</v>
      </c>
      <c r="E621" t="s">
        <v>48</v>
      </c>
      <c r="F621" t="s">
        <v>84</v>
      </c>
      <c r="G621" t="s">
        <v>264</v>
      </c>
      <c r="H621" t="s">
        <v>32</v>
      </c>
      <c r="I621" t="s">
        <v>51</v>
      </c>
      <c r="J621" t="s">
        <v>73</v>
      </c>
      <c r="K621">
        <v>5</v>
      </c>
      <c r="L621">
        <v>1077.77</v>
      </c>
      <c r="M621" s="3">
        <v>0</v>
      </c>
      <c r="N621" t="str">
        <f>VLOOKUP(Table1[[#This Row],[Country]],REF_Country!$A$1:$D$11,2,FALSE)</f>
        <v>Southeast Asia</v>
      </c>
      <c r="O621" t="str">
        <f>VLOOKUP(Table1[[#This Row],[Country]],REF_Country!$A$1:$D$11,3,FALSE)</f>
        <v>SG</v>
      </c>
      <c r="P621">
        <f>VLOOKUP(Table1[[#This Row],[Country]],REF_Country!$A$1:$D$11,4,FALSE)</f>
        <v>7.0000000000000007E-2</v>
      </c>
      <c r="Q621">
        <f>VLOOKUP(Table1[[#This Row],[Category]],REF_Target!$A$1:$E$6,2,FALSE)</f>
        <v>30000</v>
      </c>
      <c r="R621">
        <f>Table1[[#This Row],[Quantity]]*Table1[[#This Row],[Unit_Price]]</f>
        <v>5388.85</v>
      </c>
      <c r="S621">
        <f>Table1[[#This Row],[Gross_Sales]]*Table1[[#This Row],[Discount_Rate]]</f>
        <v>0</v>
      </c>
      <c r="T621">
        <f>Table1[[#This Row],[Gross_Sales]]-Table1[[#This Row],[Discount_Amount]]</f>
        <v>5388.85</v>
      </c>
      <c r="U621">
        <f>VLOOKUP(Table1[[#This Row],[Category]],REF_Cost!$A$1:$B$6,2,FALSE)*Table1[[#This Row],[Quantity]]</f>
        <v>1000</v>
      </c>
      <c r="V621">
        <f>Table1[[#This Row],[Net_Sales]]-Table1[[#This Row],[Total_Cost]]</f>
        <v>4388.8500000000004</v>
      </c>
      <c r="W621" t="str">
        <f>TEXT(Table1[[#This Row],[Order_Date]],"mmm")</f>
        <v>Dec</v>
      </c>
      <c r="X621">
        <f>ROUNDUP(MONTH(Table1[[#This Row],[Order_Date]])/3,0)</f>
        <v>4</v>
      </c>
      <c r="Y621">
        <f>YEAR(Table1[[#This Row],[Order_Date]])</f>
        <v>2024</v>
      </c>
    </row>
    <row r="622" spans="1:25" x14ac:dyDescent="0.25">
      <c r="A622" t="s">
        <v>2557</v>
      </c>
      <c r="B622" t="s">
        <v>2558</v>
      </c>
      <c r="C622" t="s">
        <v>2559</v>
      </c>
      <c r="D622" t="s">
        <v>2560</v>
      </c>
      <c r="E622" t="s">
        <v>71</v>
      </c>
      <c r="F622" t="s">
        <v>56</v>
      </c>
      <c r="G622" t="s">
        <v>111</v>
      </c>
      <c r="H622" t="s">
        <v>32</v>
      </c>
      <c r="I622" t="s">
        <v>96</v>
      </c>
      <c r="J622" t="s">
        <v>59</v>
      </c>
      <c r="K622">
        <v>8</v>
      </c>
      <c r="L622">
        <v>1302.43</v>
      </c>
      <c r="M622" s="3">
        <v>0.1</v>
      </c>
      <c r="N622" t="str">
        <f>VLOOKUP(Table1[[#This Row],[Country]],REF_Country!$A$1:$D$11,2,FALSE)</f>
        <v>Southeast Asia</v>
      </c>
      <c r="O622" t="str">
        <f>VLOOKUP(Table1[[#This Row],[Country]],REF_Country!$A$1:$D$11,3,FALSE)</f>
        <v>PH</v>
      </c>
      <c r="P622">
        <f>VLOOKUP(Table1[[#This Row],[Country]],REF_Country!$A$1:$D$11,4,FALSE)</f>
        <v>0.12</v>
      </c>
      <c r="Q622">
        <f>VLOOKUP(Table1[[#This Row],[Category]],REF_Target!$A$1:$E$6,2,FALSE)</f>
        <v>50000</v>
      </c>
      <c r="R622">
        <f>Table1[[#This Row],[Quantity]]*Table1[[#This Row],[Unit_Price]]</f>
        <v>10419.44</v>
      </c>
      <c r="S622">
        <f>Table1[[#This Row],[Gross_Sales]]*Table1[[#This Row],[Discount_Rate]]</f>
        <v>1041.9440000000002</v>
      </c>
      <c r="T622">
        <f>Table1[[#This Row],[Gross_Sales]]-Table1[[#This Row],[Discount_Amount]]</f>
        <v>9377.496000000001</v>
      </c>
      <c r="U622">
        <f>VLOOKUP(Table1[[#This Row],[Category]],REF_Cost!$A$1:$B$6,2,FALSE)*Table1[[#This Row],[Quantity]]</f>
        <v>3600</v>
      </c>
      <c r="V622">
        <f>Table1[[#This Row],[Net_Sales]]-Table1[[#This Row],[Total_Cost]]</f>
        <v>5777.496000000001</v>
      </c>
      <c r="W622" t="str">
        <f>TEXT(Table1[[#This Row],[Order_Date]],"mmm")</f>
        <v>Oct</v>
      </c>
      <c r="X622">
        <f>ROUNDUP(MONTH(Table1[[#This Row],[Order_Date]])/3,0)</f>
        <v>4</v>
      </c>
      <c r="Y622">
        <f>YEAR(Table1[[#This Row],[Order_Date]])</f>
        <v>2024</v>
      </c>
    </row>
    <row r="623" spans="1:25" x14ac:dyDescent="0.25">
      <c r="A623" t="s">
        <v>2561</v>
      </c>
      <c r="B623" t="s">
        <v>2562</v>
      </c>
      <c r="C623" t="s">
        <v>2563</v>
      </c>
      <c r="D623" t="s">
        <v>2564</v>
      </c>
      <c r="E623" t="s">
        <v>39</v>
      </c>
      <c r="F623" t="s">
        <v>30</v>
      </c>
      <c r="G623" t="s">
        <v>195</v>
      </c>
      <c r="H623" t="s">
        <v>58</v>
      </c>
      <c r="I623" t="s">
        <v>51</v>
      </c>
      <c r="J623" t="s">
        <v>34</v>
      </c>
      <c r="K623">
        <v>7</v>
      </c>
      <c r="L623">
        <v>952.56</v>
      </c>
      <c r="M623" s="3">
        <v>0</v>
      </c>
      <c r="N623" t="str">
        <f>VLOOKUP(Table1[[#This Row],[Country]],REF_Country!$A$1:$D$11,2,FALSE)</f>
        <v>Southeast Asia</v>
      </c>
      <c r="O623" t="str">
        <f>VLOOKUP(Table1[[#This Row],[Country]],REF_Country!$A$1:$D$11,3,FALSE)</f>
        <v>TH</v>
      </c>
      <c r="P623">
        <f>VLOOKUP(Table1[[#This Row],[Country]],REF_Country!$A$1:$D$11,4,FALSE)</f>
        <v>7.0000000000000007E-2</v>
      </c>
      <c r="Q623">
        <f>VLOOKUP(Table1[[#This Row],[Category]],REF_Target!$A$1:$E$6,2,FALSE)</f>
        <v>40000</v>
      </c>
      <c r="R623">
        <f>Table1[[#This Row],[Quantity]]*Table1[[#This Row],[Unit_Price]]</f>
        <v>6667.92</v>
      </c>
      <c r="S623">
        <f>Table1[[#This Row],[Gross_Sales]]*Table1[[#This Row],[Discount_Rate]]</f>
        <v>0</v>
      </c>
      <c r="T623">
        <f>Table1[[#This Row],[Gross_Sales]]-Table1[[#This Row],[Discount_Amount]]</f>
        <v>6667.92</v>
      </c>
      <c r="U623">
        <f>VLOOKUP(Table1[[#This Row],[Category]],REF_Cost!$A$1:$B$6,2,FALSE)*Table1[[#This Row],[Quantity]]</f>
        <v>840</v>
      </c>
      <c r="V623">
        <f>Table1[[#This Row],[Net_Sales]]-Table1[[#This Row],[Total_Cost]]</f>
        <v>5827.92</v>
      </c>
      <c r="W623" t="str">
        <f>TEXT(Table1[[#This Row],[Order_Date]],"mmm")</f>
        <v>Feb</v>
      </c>
      <c r="X623">
        <f>ROUNDUP(MONTH(Table1[[#This Row],[Order_Date]])/3,0)</f>
        <v>1</v>
      </c>
      <c r="Y623">
        <f>YEAR(Table1[[#This Row],[Order_Date]])</f>
        <v>2024</v>
      </c>
    </row>
    <row r="624" spans="1:25" x14ac:dyDescent="0.25">
      <c r="A624" t="s">
        <v>2565</v>
      </c>
      <c r="B624" t="s">
        <v>2566</v>
      </c>
      <c r="C624" t="s">
        <v>2567</v>
      </c>
      <c r="D624" t="s">
        <v>2568</v>
      </c>
      <c r="E624" t="s">
        <v>149</v>
      </c>
      <c r="F624" t="s">
        <v>56</v>
      </c>
      <c r="G624" t="s">
        <v>95</v>
      </c>
      <c r="H624" t="s">
        <v>58</v>
      </c>
      <c r="I624" t="s">
        <v>96</v>
      </c>
      <c r="J624" t="s">
        <v>59</v>
      </c>
      <c r="K624">
        <v>9</v>
      </c>
      <c r="L624">
        <v>1052.25</v>
      </c>
      <c r="M624" s="3">
        <v>0</v>
      </c>
      <c r="N624" t="str">
        <f>VLOOKUP(Table1[[#This Row],[Country]],REF_Country!$A$1:$D$11,2,FALSE)</f>
        <v>East Asia</v>
      </c>
      <c r="O624" t="str">
        <f>VLOOKUP(Table1[[#This Row],[Country]],REF_Country!$A$1:$D$11,3,FALSE)</f>
        <v>JP</v>
      </c>
      <c r="P624">
        <f>VLOOKUP(Table1[[#This Row],[Country]],REF_Country!$A$1:$D$11,4,FALSE)</f>
        <v>0.1</v>
      </c>
      <c r="Q624">
        <f>VLOOKUP(Table1[[#This Row],[Category]],REF_Target!$A$1:$E$6,2,FALSE)</f>
        <v>50000</v>
      </c>
      <c r="R624">
        <f>Table1[[#This Row],[Quantity]]*Table1[[#This Row],[Unit_Price]]</f>
        <v>9470.25</v>
      </c>
      <c r="S624">
        <f>Table1[[#This Row],[Gross_Sales]]*Table1[[#This Row],[Discount_Rate]]</f>
        <v>0</v>
      </c>
      <c r="T624">
        <f>Table1[[#This Row],[Gross_Sales]]-Table1[[#This Row],[Discount_Amount]]</f>
        <v>9470.25</v>
      </c>
      <c r="U624">
        <f>VLOOKUP(Table1[[#This Row],[Category]],REF_Cost!$A$1:$B$6,2,FALSE)*Table1[[#This Row],[Quantity]]</f>
        <v>4050</v>
      </c>
      <c r="V624">
        <f>Table1[[#This Row],[Net_Sales]]-Table1[[#This Row],[Total_Cost]]</f>
        <v>5420.25</v>
      </c>
      <c r="W624" t="str">
        <f>TEXT(Table1[[#This Row],[Order_Date]],"mmm")</f>
        <v>Jul</v>
      </c>
      <c r="X624">
        <f>ROUNDUP(MONTH(Table1[[#This Row],[Order_Date]])/3,0)</f>
        <v>3</v>
      </c>
      <c r="Y624">
        <f>YEAR(Table1[[#This Row],[Order_Date]])</f>
        <v>2024</v>
      </c>
    </row>
    <row r="625" spans="1:25" x14ac:dyDescent="0.25">
      <c r="A625" t="s">
        <v>2569</v>
      </c>
      <c r="B625" t="s">
        <v>2570</v>
      </c>
      <c r="C625" t="s">
        <v>2571</v>
      </c>
      <c r="D625" t="s">
        <v>2572</v>
      </c>
      <c r="E625" t="s">
        <v>64</v>
      </c>
      <c r="F625" t="s">
        <v>30</v>
      </c>
      <c r="G625" t="s">
        <v>195</v>
      </c>
      <c r="H625" t="s">
        <v>42</v>
      </c>
      <c r="I625" t="s">
        <v>43</v>
      </c>
      <c r="J625" t="s">
        <v>59</v>
      </c>
      <c r="K625">
        <v>3</v>
      </c>
      <c r="L625">
        <v>1189.6600000000001</v>
      </c>
      <c r="M625" s="3">
        <v>0</v>
      </c>
      <c r="N625" t="str">
        <f>VLOOKUP(Table1[[#This Row],[Country]],REF_Country!$A$1:$D$11,2,FALSE)</f>
        <v>Southeast Asia</v>
      </c>
      <c r="O625" t="str">
        <f>VLOOKUP(Table1[[#This Row],[Country]],REF_Country!$A$1:$D$11,3,FALSE)</f>
        <v>ID</v>
      </c>
      <c r="P625">
        <f>VLOOKUP(Table1[[#This Row],[Country]],REF_Country!$A$1:$D$11,4,FALSE)</f>
        <v>0.11</v>
      </c>
      <c r="Q625">
        <f>VLOOKUP(Table1[[#This Row],[Category]],REF_Target!$A$1:$E$6,2,FALSE)</f>
        <v>40000</v>
      </c>
      <c r="R625">
        <f>Table1[[#This Row],[Quantity]]*Table1[[#This Row],[Unit_Price]]</f>
        <v>3568.9800000000005</v>
      </c>
      <c r="S625">
        <f>Table1[[#This Row],[Gross_Sales]]*Table1[[#This Row],[Discount_Rate]]</f>
        <v>0</v>
      </c>
      <c r="T625">
        <f>Table1[[#This Row],[Gross_Sales]]-Table1[[#This Row],[Discount_Amount]]</f>
        <v>3568.9800000000005</v>
      </c>
      <c r="U625">
        <f>VLOOKUP(Table1[[#This Row],[Category]],REF_Cost!$A$1:$B$6,2,FALSE)*Table1[[#This Row],[Quantity]]</f>
        <v>360</v>
      </c>
      <c r="V625">
        <f>Table1[[#This Row],[Net_Sales]]-Table1[[#This Row],[Total_Cost]]</f>
        <v>3208.9800000000005</v>
      </c>
      <c r="W625" t="str">
        <f>TEXT(Table1[[#This Row],[Order_Date]],"mmm")</f>
        <v>Dec</v>
      </c>
      <c r="X625">
        <f>ROUNDUP(MONTH(Table1[[#This Row],[Order_Date]])/3,0)</f>
        <v>4</v>
      </c>
      <c r="Y625">
        <f>YEAR(Table1[[#This Row],[Order_Date]])</f>
        <v>2024</v>
      </c>
    </row>
    <row r="626" spans="1:25" x14ac:dyDescent="0.25">
      <c r="A626" t="s">
        <v>2573</v>
      </c>
      <c r="B626" t="s">
        <v>2574</v>
      </c>
      <c r="C626" t="s">
        <v>2575</v>
      </c>
      <c r="D626" t="s">
        <v>2576</v>
      </c>
      <c r="E626" t="s">
        <v>48</v>
      </c>
      <c r="F626" t="s">
        <v>30</v>
      </c>
      <c r="G626" t="s">
        <v>139</v>
      </c>
      <c r="H626" t="s">
        <v>42</v>
      </c>
      <c r="I626" t="s">
        <v>66</v>
      </c>
      <c r="J626" t="s">
        <v>34</v>
      </c>
      <c r="K626">
        <v>3</v>
      </c>
      <c r="L626">
        <v>1074.6400000000001</v>
      </c>
      <c r="M626" s="3">
        <v>0.15</v>
      </c>
      <c r="N626" t="str">
        <f>VLOOKUP(Table1[[#This Row],[Country]],REF_Country!$A$1:$D$11,2,FALSE)</f>
        <v>Southeast Asia</v>
      </c>
      <c r="O626" t="str">
        <f>VLOOKUP(Table1[[#This Row],[Country]],REF_Country!$A$1:$D$11,3,FALSE)</f>
        <v>SG</v>
      </c>
      <c r="P626">
        <f>VLOOKUP(Table1[[#This Row],[Country]],REF_Country!$A$1:$D$11,4,FALSE)</f>
        <v>7.0000000000000007E-2</v>
      </c>
      <c r="Q626">
        <f>VLOOKUP(Table1[[#This Row],[Category]],REF_Target!$A$1:$E$6,2,FALSE)</f>
        <v>40000</v>
      </c>
      <c r="R626">
        <f>Table1[[#This Row],[Quantity]]*Table1[[#This Row],[Unit_Price]]</f>
        <v>3223.92</v>
      </c>
      <c r="S626">
        <f>Table1[[#This Row],[Gross_Sales]]*Table1[[#This Row],[Discount_Rate]]</f>
        <v>483.58799999999997</v>
      </c>
      <c r="T626">
        <f>Table1[[#This Row],[Gross_Sales]]-Table1[[#This Row],[Discount_Amount]]</f>
        <v>2740.3320000000003</v>
      </c>
      <c r="U626">
        <f>VLOOKUP(Table1[[#This Row],[Category]],REF_Cost!$A$1:$B$6,2,FALSE)*Table1[[#This Row],[Quantity]]</f>
        <v>360</v>
      </c>
      <c r="V626">
        <f>Table1[[#This Row],[Net_Sales]]-Table1[[#This Row],[Total_Cost]]</f>
        <v>2380.3320000000003</v>
      </c>
      <c r="W626" t="str">
        <f>TEXT(Table1[[#This Row],[Order_Date]],"mmm")</f>
        <v>Oct</v>
      </c>
      <c r="X626">
        <f>ROUNDUP(MONTH(Table1[[#This Row],[Order_Date]])/3,0)</f>
        <v>4</v>
      </c>
      <c r="Y626">
        <f>YEAR(Table1[[#This Row],[Order_Date]])</f>
        <v>2024</v>
      </c>
    </row>
    <row r="627" spans="1:25" x14ac:dyDescent="0.25">
      <c r="A627" t="s">
        <v>2577</v>
      </c>
      <c r="B627" t="s">
        <v>2578</v>
      </c>
      <c r="C627" t="s">
        <v>2579</v>
      </c>
      <c r="D627" t="s">
        <v>2580</v>
      </c>
      <c r="E627" t="s">
        <v>83</v>
      </c>
      <c r="F627" t="s">
        <v>84</v>
      </c>
      <c r="G627" t="s">
        <v>412</v>
      </c>
      <c r="H627" t="s">
        <v>72</v>
      </c>
      <c r="I627" t="s">
        <v>96</v>
      </c>
      <c r="J627" t="s">
        <v>34</v>
      </c>
      <c r="K627">
        <v>7</v>
      </c>
      <c r="L627">
        <v>310.02</v>
      </c>
      <c r="M627" s="3">
        <v>0.05</v>
      </c>
      <c r="N627" t="str">
        <f>VLOOKUP(Table1[[#This Row],[Country]],REF_Country!$A$1:$D$11,2,FALSE)</f>
        <v>South Asia</v>
      </c>
      <c r="O627" t="str">
        <f>VLOOKUP(Table1[[#This Row],[Country]],REF_Country!$A$1:$D$11,3,FALSE)</f>
        <v>IN</v>
      </c>
      <c r="P627">
        <f>VLOOKUP(Table1[[#This Row],[Country]],REF_Country!$A$1:$D$11,4,FALSE)</f>
        <v>0.18</v>
      </c>
      <c r="Q627">
        <f>VLOOKUP(Table1[[#This Row],[Category]],REF_Target!$A$1:$E$6,2,FALSE)</f>
        <v>30000</v>
      </c>
      <c r="R627">
        <f>Table1[[#This Row],[Quantity]]*Table1[[#This Row],[Unit_Price]]</f>
        <v>2170.14</v>
      </c>
      <c r="S627">
        <f>Table1[[#This Row],[Gross_Sales]]*Table1[[#This Row],[Discount_Rate]]</f>
        <v>108.50700000000001</v>
      </c>
      <c r="T627">
        <f>Table1[[#This Row],[Gross_Sales]]-Table1[[#This Row],[Discount_Amount]]</f>
        <v>2061.6329999999998</v>
      </c>
      <c r="U627">
        <f>VLOOKUP(Table1[[#This Row],[Category]],REF_Cost!$A$1:$B$6,2,FALSE)*Table1[[#This Row],[Quantity]]</f>
        <v>1400</v>
      </c>
      <c r="V627">
        <f>Table1[[#This Row],[Net_Sales]]-Table1[[#This Row],[Total_Cost]]</f>
        <v>661.63299999999981</v>
      </c>
      <c r="W627" t="str">
        <f>TEXT(Table1[[#This Row],[Order_Date]],"mmm")</f>
        <v>Mar</v>
      </c>
      <c r="X627">
        <f>ROUNDUP(MONTH(Table1[[#This Row],[Order_Date]])/3,0)</f>
        <v>1</v>
      </c>
      <c r="Y627">
        <f>YEAR(Table1[[#This Row],[Order_Date]])</f>
        <v>2024</v>
      </c>
    </row>
    <row r="628" spans="1:25" x14ac:dyDescent="0.25">
      <c r="A628" t="s">
        <v>2581</v>
      </c>
      <c r="B628" t="s">
        <v>2582</v>
      </c>
      <c r="C628" t="s">
        <v>2583</v>
      </c>
      <c r="D628" t="s">
        <v>2584</v>
      </c>
      <c r="E628" t="s">
        <v>78</v>
      </c>
      <c r="F628" t="s">
        <v>40</v>
      </c>
      <c r="G628" t="s">
        <v>106</v>
      </c>
      <c r="H628" t="s">
        <v>58</v>
      </c>
      <c r="I628" t="s">
        <v>43</v>
      </c>
      <c r="J628" t="s">
        <v>126</v>
      </c>
      <c r="K628">
        <v>8</v>
      </c>
      <c r="L628">
        <v>1361.66</v>
      </c>
      <c r="M628" s="3">
        <v>0</v>
      </c>
      <c r="N628" t="str">
        <f>VLOOKUP(Table1[[#This Row],[Country]],REF_Country!$A$1:$D$11,2,FALSE)</f>
        <v>Oceania</v>
      </c>
      <c r="O628" t="str">
        <f>VLOOKUP(Table1[[#This Row],[Country]],REF_Country!$A$1:$D$11,3,FALSE)</f>
        <v>AU</v>
      </c>
      <c r="P628">
        <f>VLOOKUP(Table1[[#This Row],[Country]],REF_Country!$A$1:$D$11,4,FALSE)</f>
        <v>0.1</v>
      </c>
      <c r="Q628">
        <f>VLOOKUP(Table1[[#This Row],[Category]],REF_Target!$A$1:$E$6,2,FALSE)</f>
        <v>45000</v>
      </c>
      <c r="R628">
        <f>Table1[[#This Row],[Quantity]]*Table1[[#This Row],[Unit_Price]]</f>
        <v>10893.28</v>
      </c>
      <c r="S628">
        <f>Table1[[#This Row],[Gross_Sales]]*Table1[[#This Row],[Discount_Rate]]</f>
        <v>0</v>
      </c>
      <c r="T628">
        <f>Table1[[#This Row],[Gross_Sales]]-Table1[[#This Row],[Discount_Amount]]</f>
        <v>10893.28</v>
      </c>
      <c r="U628">
        <f>VLOOKUP(Table1[[#This Row],[Category]],REF_Cost!$A$1:$B$6,2,FALSE)*Table1[[#This Row],[Quantity]]</f>
        <v>640</v>
      </c>
      <c r="V628">
        <f>Table1[[#This Row],[Net_Sales]]-Table1[[#This Row],[Total_Cost]]</f>
        <v>10253.280000000001</v>
      </c>
      <c r="W628" t="str">
        <f>TEXT(Table1[[#This Row],[Order_Date]],"mmm")</f>
        <v>Apr</v>
      </c>
      <c r="X628">
        <f>ROUNDUP(MONTH(Table1[[#This Row],[Order_Date]])/3,0)</f>
        <v>2</v>
      </c>
      <c r="Y628">
        <f>YEAR(Table1[[#This Row],[Order_Date]])</f>
        <v>2024</v>
      </c>
    </row>
    <row r="629" spans="1:25" x14ac:dyDescent="0.25">
      <c r="A629" t="s">
        <v>2585</v>
      </c>
      <c r="B629" t="s">
        <v>2586</v>
      </c>
      <c r="C629" t="s">
        <v>2587</v>
      </c>
      <c r="D629" t="s">
        <v>2588</v>
      </c>
      <c r="E629" t="s">
        <v>29</v>
      </c>
      <c r="F629" t="s">
        <v>30</v>
      </c>
      <c r="G629" t="s">
        <v>269</v>
      </c>
      <c r="H629" t="s">
        <v>32</v>
      </c>
      <c r="I629" t="s">
        <v>51</v>
      </c>
      <c r="J629" t="s">
        <v>34</v>
      </c>
      <c r="K629">
        <v>3</v>
      </c>
      <c r="L629">
        <v>1437.68</v>
      </c>
      <c r="M629" s="3">
        <v>0.15</v>
      </c>
      <c r="N629" t="str">
        <f>VLOOKUP(Table1[[#This Row],[Country]],REF_Country!$A$1:$D$11,2,FALSE)</f>
        <v>Southeast Asia</v>
      </c>
      <c r="O629" t="str">
        <f>VLOOKUP(Table1[[#This Row],[Country]],REF_Country!$A$1:$D$11,3,FALSE)</f>
        <v>VN</v>
      </c>
      <c r="P629">
        <f>VLOOKUP(Table1[[#This Row],[Country]],REF_Country!$A$1:$D$11,4,FALSE)</f>
        <v>0.1</v>
      </c>
      <c r="Q629">
        <f>VLOOKUP(Table1[[#This Row],[Category]],REF_Target!$A$1:$E$6,2,FALSE)</f>
        <v>40000</v>
      </c>
      <c r="R629">
        <f>Table1[[#This Row],[Quantity]]*Table1[[#This Row],[Unit_Price]]</f>
        <v>4313.04</v>
      </c>
      <c r="S629">
        <f>Table1[[#This Row],[Gross_Sales]]*Table1[[#This Row],[Discount_Rate]]</f>
        <v>646.95600000000002</v>
      </c>
      <c r="T629">
        <f>Table1[[#This Row],[Gross_Sales]]-Table1[[#This Row],[Discount_Amount]]</f>
        <v>3666.0839999999998</v>
      </c>
      <c r="U629">
        <f>VLOOKUP(Table1[[#This Row],[Category]],REF_Cost!$A$1:$B$6,2,FALSE)*Table1[[#This Row],[Quantity]]</f>
        <v>360</v>
      </c>
      <c r="V629">
        <f>Table1[[#This Row],[Net_Sales]]-Table1[[#This Row],[Total_Cost]]</f>
        <v>3306.0839999999998</v>
      </c>
      <c r="W629" t="str">
        <f>TEXT(Table1[[#This Row],[Order_Date]],"mmm")</f>
        <v>Nov</v>
      </c>
      <c r="X629">
        <f>ROUNDUP(MONTH(Table1[[#This Row],[Order_Date]])/3,0)</f>
        <v>4</v>
      </c>
      <c r="Y629">
        <f>YEAR(Table1[[#This Row],[Order_Date]])</f>
        <v>2024</v>
      </c>
    </row>
    <row r="630" spans="1:25" x14ac:dyDescent="0.25">
      <c r="A630" t="s">
        <v>2589</v>
      </c>
      <c r="B630" t="s">
        <v>2590</v>
      </c>
      <c r="C630" t="s">
        <v>2591</v>
      </c>
      <c r="D630" t="s">
        <v>2592</v>
      </c>
      <c r="E630" t="s">
        <v>39</v>
      </c>
      <c r="F630" t="s">
        <v>30</v>
      </c>
      <c r="G630" t="s">
        <v>31</v>
      </c>
      <c r="H630" t="s">
        <v>42</v>
      </c>
      <c r="I630" t="s">
        <v>96</v>
      </c>
      <c r="J630" t="s">
        <v>73</v>
      </c>
      <c r="K630">
        <v>5</v>
      </c>
      <c r="L630">
        <v>1419.89</v>
      </c>
      <c r="M630" s="3">
        <v>0.05</v>
      </c>
      <c r="N630" t="str">
        <f>VLOOKUP(Table1[[#This Row],[Country]],REF_Country!$A$1:$D$11,2,FALSE)</f>
        <v>Southeast Asia</v>
      </c>
      <c r="O630" t="str">
        <f>VLOOKUP(Table1[[#This Row],[Country]],REF_Country!$A$1:$D$11,3,FALSE)</f>
        <v>TH</v>
      </c>
      <c r="P630">
        <f>VLOOKUP(Table1[[#This Row],[Country]],REF_Country!$A$1:$D$11,4,FALSE)</f>
        <v>7.0000000000000007E-2</v>
      </c>
      <c r="Q630">
        <f>VLOOKUP(Table1[[#This Row],[Category]],REF_Target!$A$1:$E$6,2,FALSE)</f>
        <v>40000</v>
      </c>
      <c r="R630">
        <f>Table1[[#This Row],[Quantity]]*Table1[[#This Row],[Unit_Price]]</f>
        <v>7099.4500000000007</v>
      </c>
      <c r="S630">
        <f>Table1[[#This Row],[Gross_Sales]]*Table1[[#This Row],[Discount_Rate]]</f>
        <v>354.97250000000008</v>
      </c>
      <c r="T630">
        <f>Table1[[#This Row],[Gross_Sales]]-Table1[[#This Row],[Discount_Amount]]</f>
        <v>6744.4775000000009</v>
      </c>
      <c r="U630">
        <f>VLOOKUP(Table1[[#This Row],[Category]],REF_Cost!$A$1:$B$6,2,FALSE)*Table1[[#This Row],[Quantity]]</f>
        <v>600</v>
      </c>
      <c r="V630">
        <f>Table1[[#This Row],[Net_Sales]]-Table1[[#This Row],[Total_Cost]]</f>
        <v>6144.4775000000009</v>
      </c>
      <c r="W630" t="str">
        <f>TEXT(Table1[[#This Row],[Order_Date]],"mmm")</f>
        <v>Dec</v>
      </c>
      <c r="X630">
        <f>ROUNDUP(MONTH(Table1[[#This Row],[Order_Date]])/3,0)</f>
        <v>4</v>
      </c>
      <c r="Y630">
        <f>YEAR(Table1[[#This Row],[Order_Date]])</f>
        <v>2024</v>
      </c>
    </row>
    <row r="631" spans="1:25" x14ac:dyDescent="0.25">
      <c r="A631" t="s">
        <v>2593</v>
      </c>
      <c r="B631" t="s">
        <v>2594</v>
      </c>
      <c r="C631" t="s">
        <v>2595</v>
      </c>
      <c r="D631" t="s">
        <v>2596</v>
      </c>
      <c r="E631" t="s">
        <v>29</v>
      </c>
      <c r="F631" t="s">
        <v>30</v>
      </c>
      <c r="G631" t="s">
        <v>195</v>
      </c>
      <c r="H631" t="s">
        <v>58</v>
      </c>
      <c r="I631" t="s">
        <v>66</v>
      </c>
      <c r="J631" t="s">
        <v>73</v>
      </c>
      <c r="K631">
        <v>3</v>
      </c>
      <c r="L631">
        <v>282.85000000000002</v>
      </c>
      <c r="M631" s="3">
        <v>0</v>
      </c>
      <c r="N631" t="str">
        <f>VLOOKUP(Table1[[#This Row],[Country]],REF_Country!$A$1:$D$11,2,FALSE)</f>
        <v>Southeast Asia</v>
      </c>
      <c r="O631" t="str">
        <f>VLOOKUP(Table1[[#This Row],[Country]],REF_Country!$A$1:$D$11,3,FALSE)</f>
        <v>VN</v>
      </c>
      <c r="P631">
        <f>VLOOKUP(Table1[[#This Row],[Country]],REF_Country!$A$1:$D$11,4,FALSE)</f>
        <v>0.1</v>
      </c>
      <c r="Q631">
        <f>VLOOKUP(Table1[[#This Row],[Category]],REF_Target!$A$1:$E$6,2,FALSE)</f>
        <v>40000</v>
      </c>
      <c r="R631">
        <f>Table1[[#This Row],[Quantity]]*Table1[[#This Row],[Unit_Price]]</f>
        <v>848.55000000000007</v>
      </c>
      <c r="S631">
        <f>Table1[[#This Row],[Gross_Sales]]*Table1[[#This Row],[Discount_Rate]]</f>
        <v>0</v>
      </c>
      <c r="T631">
        <f>Table1[[#This Row],[Gross_Sales]]-Table1[[#This Row],[Discount_Amount]]</f>
        <v>848.55000000000007</v>
      </c>
      <c r="U631">
        <f>VLOOKUP(Table1[[#This Row],[Category]],REF_Cost!$A$1:$B$6,2,FALSE)*Table1[[#This Row],[Quantity]]</f>
        <v>360</v>
      </c>
      <c r="V631">
        <f>Table1[[#This Row],[Net_Sales]]-Table1[[#This Row],[Total_Cost]]</f>
        <v>488.55000000000007</v>
      </c>
      <c r="W631" t="str">
        <f>TEXT(Table1[[#This Row],[Order_Date]],"mmm")</f>
        <v>Apr</v>
      </c>
      <c r="X631">
        <f>ROUNDUP(MONTH(Table1[[#This Row],[Order_Date]])/3,0)</f>
        <v>2</v>
      </c>
      <c r="Y631">
        <f>YEAR(Table1[[#This Row],[Order_Date]])</f>
        <v>2024</v>
      </c>
    </row>
    <row r="632" spans="1:25" x14ac:dyDescent="0.25">
      <c r="A632" t="s">
        <v>2597</v>
      </c>
      <c r="B632" t="s">
        <v>2598</v>
      </c>
      <c r="C632" t="s">
        <v>2599</v>
      </c>
      <c r="D632" t="s">
        <v>2600</v>
      </c>
      <c r="E632" t="s">
        <v>83</v>
      </c>
      <c r="F632" t="s">
        <v>49</v>
      </c>
      <c r="G632" t="s">
        <v>117</v>
      </c>
      <c r="H632" t="s">
        <v>42</v>
      </c>
      <c r="I632" t="s">
        <v>43</v>
      </c>
      <c r="J632" t="s">
        <v>34</v>
      </c>
      <c r="K632">
        <v>3</v>
      </c>
      <c r="L632">
        <v>30.33</v>
      </c>
      <c r="M632" s="3">
        <v>0.05</v>
      </c>
      <c r="N632" t="str">
        <f>VLOOKUP(Table1[[#This Row],[Country]],REF_Country!$A$1:$D$11,2,FALSE)</f>
        <v>South Asia</v>
      </c>
      <c r="O632" t="str">
        <f>VLOOKUP(Table1[[#This Row],[Country]],REF_Country!$A$1:$D$11,3,FALSE)</f>
        <v>IN</v>
      </c>
      <c r="P632">
        <f>VLOOKUP(Table1[[#This Row],[Country]],REF_Country!$A$1:$D$11,4,FALSE)</f>
        <v>0.18</v>
      </c>
      <c r="Q632">
        <f>VLOOKUP(Table1[[#This Row],[Category]],REF_Target!$A$1:$E$6,2,FALSE)</f>
        <v>35000</v>
      </c>
      <c r="R632">
        <f>Table1[[#This Row],[Quantity]]*Table1[[#This Row],[Unit_Price]]</f>
        <v>90.99</v>
      </c>
      <c r="S632">
        <f>Table1[[#This Row],[Gross_Sales]]*Table1[[#This Row],[Discount_Rate]]</f>
        <v>4.5495000000000001</v>
      </c>
      <c r="T632">
        <f>Table1[[#This Row],[Gross_Sales]]-Table1[[#This Row],[Discount_Amount]]</f>
        <v>86.4405</v>
      </c>
      <c r="U632">
        <f>VLOOKUP(Table1[[#This Row],[Category]],REF_Cost!$A$1:$B$6,2,FALSE)*Table1[[#This Row],[Quantity]]</f>
        <v>450</v>
      </c>
      <c r="V632">
        <f>Table1[[#This Row],[Net_Sales]]-Table1[[#This Row],[Total_Cost]]</f>
        <v>-363.55950000000001</v>
      </c>
      <c r="W632" t="str">
        <f>TEXT(Table1[[#This Row],[Order_Date]],"mmm")</f>
        <v>Aug</v>
      </c>
      <c r="X632">
        <f>ROUNDUP(MONTH(Table1[[#This Row],[Order_Date]])/3,0)</f>
        <v>3</v>
      </c>
      <c r="Y632">
        <f>YEAR(Table1[[#This Row],[Order_Date]])</f>
        <v>2024</v>
      </c>
    </row>
    <row r="633" spans="1:25" x14ac:dyDescent="0.25">
      <c r="A633" t="s">
        <v>2601</v>
      </c>
      <c r="B633" t="s">
        <v>2602</v>
      </c>
      <c r="C633" t="s">
        <v>2603</v>
      </c>
      <c r="D633" t="s">
        <v>2604</v>
      </c>
      <c r="E633" t="s">
        <v>116</v>
      </c>
      <c r="F633" t="s">
        <v>40</v>
      </c>
      <c r="G633" t="s">
        <v>144</v>
      </c>
      <c r="H633" t="s">
        <v>58</v>
      </c>
      <c r="I633" t="s">
        <v>33</v>
      </c>
      <c r="J633" t="s">
        <v>126</v>
      </c>
      <c r="K633">
        <v>4</v>
      </c>
      <c r="L633">
        <v>92.39</v>
      </c>
      <c r="M633" s="3">
        <v>0.1</v>
      </c>
      <c r="N633" t="str">
        <f>VLOOKUP(Table1[[#This Row],[Country]],REF_Country!$A$1:$D$11,2,FALSE)</f>
        <v>Southeast Asia</v>
      </c>
      <c r="O633" t="str">
        <f>VLOOKUP(Table1[[#This Row],[Country]],REF_Country!$A$1:$D$11,3,FALSE)</f>
        <v>MY</v>
      </c>
      <c r="P633">
        <f>VLOOKUP(Table1[[#This Row],[Country]],REF_Country!$A$1:$D$11,4,FALSE)</f>
        <v>0.06</v>
      </c>
      <c r="Q633">
        <f>VLOOKUP(Table1[[#This Row],[Category]],REF_Target!$A$1:$E$6,2,FALSE)</f>
        <v>45000</v>
      </c>
      <c r="R633">
        <f>Table1[[#This Row],[Quantity]]*Table1[[#This Row],[Unit_Price]]</f>
        <v>369.56</v>
      </c>
      <c r="S633">
        <f>Table1[[#This Row],[Gross_Sales]]*Table1[[#This Row],[Discount_Rate]]</f>
        <v>36.956000000000003</v>
      </c>
      <c r="T633">
        <f>Table1[[#This Row],[Gross_Sales]]-Table1[[#This Row],[Discount_Amount]]</f>
        <v>332.60399999999998</v>
      </c>
      <c r="U633">
        <f>VLOOKUP(Table1[[#This Row],[Category]],REF_Cost!$A$1:$B$6,2,FALSE)*Table1[[#This Row],[Quantity]]</f>
        <v>320</v>
      </c>
      <c r="V633">
        <f>Table1[[#This Row],[Net_Sales]]-Table1[[#This Row],[Total_Cost]]</f>
        <v>12.603999999999985</v>
      </c>
      <c r="W633" t="str">
        <f>TEXT(Table1[[#This Row],[Order_Date]],"mmm")</f>
        <v>Nov</v>
      </c>
      <c r="X633">
        <f>ROUNDUP(MONTH(Table1[[#This Row],[Order_Date]])/3,0)</f>
        <v>4</v>
      </c>
      <c r="Y633">
        <f>YEAR(Table1[[#This Row],[Order_Date]])</f>
        <v>2024</v>
      </c>
    </row>
    <row r="634" spans="1:25" x14ac:dyDescent="0.25">
      <c r="A634" t="s">
        <v>2605</v>
      </c>
      <c r="B634" t="s">
        <v>2606</v>
      </c>
      <c r="C634" t="s">
        <v>608</v>
      </c>
      <c r="D634" t="s">
        <v>2607</v>
      </c>
      <c r="E634" t="s">
        <v>149</v>
      </c>
      <c r="F634" t="s">
        <v>84</v>
      </c>
      <c r="G634" t="s">
        <v>264</v>
      </c>
      <c r="H634" t="s">
        <v>32</v>
      </c>
      <c r="I634" t="s">
        <v>33</v>
      </c>
      <c r="J634" t="s">
        <v>73</v>
      </c>
      <c r="K634">
        <v>3</v>
      </c>
      <c r="L634">
        <v>1011.82</v>
      </c>
      <c r="M634" s="3">
        <v>0.15</v>
      </c>
      <c r="N634" t="str">
        <f>VLOOKUP(Table1[[#This Row],[Country]],REF_Country!$A$1:$D$11,2,FALSE)</f>
        <v>East Asia</v>
      </c>
      <c r="O634" t="str">
        <f>VLOOKUP(Table1[[#This Row],[Country]],REF_Country!$A$1:$D$11,3,FALSE)</f>
        <v>JP</v>
      </c>
      <c r="P634">
        <f>VLOOKUP(Table1[[#This Row],[Country]],REF_Country!$A$1:$D$11,4,FALSE)</f>
        <v>0.1</v>
      </c>
      <c r="Q634">
        <f>VLOOKUP(Table1[[#This Row],[Category]],REF_Target!$A$1:$E$6,2,FALSE)</f>
        <v>30000</v>
      </c>
      <c r="R634">
        <f>Table1[[#This Row],[Quantity]]*Table1[[#This Row],[Unit_Price]]</f>
        <v>3035.46</v>
      </c>
      <c r="S634">
        <f>Table1[[#This Row],[Gross_Sales]]*Table1[[#This Row],[Discount_Rate]]</f>
        <v>455.31900000000002</v>
      </c>
      <c r="T634">
        <f>Table1[[#This Row],[Gross_Sales]]-Table1[[#This Row],[Discount_Amount]]</f>
        <v>2580.1410000000001</v>
      </c>
      <c r="U634">
        <f>VLOOKUP(Table1[[#This Row],[Category]],REF_Cost!$A$1:$B$6,2,FALSE)*Table1[[#This Row],[Quantity]]</f>
        <v>600</v>
      </c>
      <c r="V634">
        <f>Table1[[#This Row],[Net_Sales]]-Table1[[#This Row],[Total_Cost]]</f>
        <v>1980.1410000000001</v>
      </c>
      <c r="W634" t="str">
        <f>TEXT(Table1[[#This Row],[Order_Date]],"mmm")</f>
        <v>May</v>
      </c>
      <c r="X634">
        <f>ROUNDUP(MONTH(Table1[[#This Row],[Order_Date]])/3,0)</f>
        <v>2</v>
      </c>
      <c r="Y634">
        <f>YEAR(Table1[[#This Row],[Order_Date]])</f>
        <v>2024</v>
      </c>
    </row>
    <row r="635" spans="1:25" x14ac:dyDescent="0.25">
      <c r="A635" t="s">
        <v>2608</v>
      </c>
      <c r="B635" t="s">
        <v>2609</v>
      </c>
      <c r="C635" t="s">
        <v>2610</v>
      </c>
      <c r="D635" t="s">
        <v>2611</v>
      </c>
      <c r="E635" t="s">
        <v>71</v>
      </c>
      <c r="F635" t="s">
        <v>49</v>
      </c>
      <c r="G635" t="s">
        <v>286</v>
      </c>
      <c r="H635" t="s">
        <v>72</v>
      </c>
      <c r="I635" t="s">
        <v>66</v>
      </c>
      <c r="J635" t="s">
        <v>126</v>
      </c>
      <c r="K635">
        <v>9</v>
      </c>
      <c r="L635">
        <v>148.13</v>
      </c>
      <c r="M635" s="3">
        <v>0.1</v>
      </c>
      <c r="N635" t="str">
        <f>VLOOKUP(Table1[[#This Row],[Country]],REF_Country!$A$1:$D$11,2,FALSE)</f>
        <v>Southeast Asia</v>
      </c>
      <c r="O635" t="str">
        <f>VLOOKUP(Table1[[#This Row],[Country]],REF_Country!$A$1:$D$11,3,FALSE)</f>
        <v>PH</v>
      </c>
      <c r="P635">
        <f>VLOOKUP(Table1[[#This Row],[Country]],REF_Country!$A$1:$D$11,4,FALSE)</f>
        <v>0.12</v>
      </c>
      <c r="Q635">
        <f>VLOOKUP(Table1[[#This Row],[Category]],REF_Target!$A$1:$E$6,2,FALSE)</f>
        <v>35000</v>
      </c>
      <c r="R635">
        <f>Table1[[#This Row],[Quantity]]*Table1[[#This Row],[Unit_Price]]</f>
        <v>1333.17</v>
      </c>
      <c r="S635">
        <f>Table1[[#This Row],[Gross_Sales]]*Table1[[#This Row],[Discount_Rate]]</f>
        <v>133.31700000000001</v>
      </c>
      <c r="T635">
        <f>Table1[[#This Row],[Gross_Sales]]-Table1[[#This Row],[Discount_Amount]]</f>
        <v>1199.8530000000001</v>
      </c>
      <c r="U635">
        <f>VLOOKUP(Table1[[#This Row],[Category]],REF_Cost!$A$1:$B$6,2,FALSE)*Table1[[#This Row],[Quantity]]</f>
        <v>1350</v>
      </c>
      <c r="V635">
        <f>Table1[[#This Row],[Net_Sales]]-Table1[[#This Row],[Total_Cost]]</f>
        <v>-150.14699999999993</v>
      </c>
      <c r="W635" t="str">
        <f>TEXT(Table1[[#This Row],[Order_Date]],"mmm")</f>
        <v>Mar</v>
      </c>
      <c r="X635">
        <f>ROUNDUP(MONTH(Table1[[#This Row],[Order_Date]])/3,0)</f>
        <v>1</v>
      </c>
      <c r="Y635">
        <f>YEAR(Table1[[#This Row],[Order_Date]])</f>
        <v>2024</v>
      </c>
    </row>
    <row r="636" spans="1:25" x14ac:dyDescent="0.25">
      <c r="A636" t="s">
        <v>2612</v>
      </c>
      <c r="B636" t="s">
        <v>2613</v>
      </c>
      <c r="C636" t="s">
        <v>2614</v>
      </c>
      <c r="D636" t="s">
        <v>2615</v>
      </c>
      <c r="E636" t="s">
        <v>29</v>
      </c>
      <c r="F636" t="s">
        <v>84</v>
      </c>
      <c r="G636" t="s">
        <v>264</v>
      </c>
      <c r="H636" t="s">
        <v>58</v>
      </c>
      <c r="I636" t="s">
        <v>33</v>
      </c>
      <c r="J636" t="s">
        <v>59</v>
      </c>
      <c r="K636">
        <v>5</v>
      </c>
      <c r="L636">
        <v>435.14</v>
      </c>
      <c r="M636" s="3">
        <v>0.15</v>
      </c>
      <c r="N636" t="str">
        <f>VLOOKUP(Table1[[#This Row],[Country]],REF_Country!$A$1:$D$11,2,FALSE)</f>
        <v>Southeast Asia</v>
      </c>
      <c r="O636" t="str">
        <f>VLOOKUP(Table1[[#This Row],[Country]],REF_Country!$A$1:$D$11,3,FALSE)</f>
        <v>VN</v>
      </c>
      <c r="P636">
        <f>VLOOKUP(Table1[[#This Row],[Country]],REF_Country!$A$1:$D$11,4,FALSE)</f>
        <v>0.1</v>
      </c>
      <c r="Q636">
        <f>VLOOKUP(Table1[[#This Row],[Category]],REF_Target!$A$1:$E$6,2,FALSE)</f>
        <v>30000</v>
      </c>
      <c r="R636">
        <f>Table1[[#This Row],[Quantity]]*Table1[[#This Row],[Unit_Price]]</f>
        <v>2175.6999999999998</v>
      </c>
      <c r="S636">
        <f>Table1[[#This Row],[Gross_Sales]]*Table1[[#This Row],[Discount_Rate]]</f>
        <v>326.35499999999996</v>
      </c>
      <c r="T636">
        <f>Table1[[#This Row],[Gross_Sales]]-Table1[[#This Row],[Discount_Amount]]</f>
        <v>1849.3449999999998</v>
      </c>
      <c r="U636">
        <f>VLOOKUP(Table1[[#This Row],[Category]],REF_Cost!$A$1:$B$6,2,FALSE)*Table1[[#This Row],[Quantity]]</f>
        <v>1000</v>
      </c>
      <c r="V636">
        <f>Table1[[#This Row],[Net_Sales]]-Table1[[#This Row],[Total_Cost]]</f>
        <v>849.3449999999998</v>
      </c>
      <c r="W636" t="str">
        <f>TEXT(Table1[[#This Row],[Order_Date]],"mmm")</f>
        <v>Jan</v>
      </c>
      <c r="X636">
        <f>ROUNDUP(MONTH(Table1[[#This Row],[Order_Date]])/3,0)</f>
        <v>1</v>
      </c>
      <c r="Y636">
        <f>YEAR(Table1[[#This Row],[Order_Date]])</f>
        <v>2024</v>
      </c>
    </row>
    <row r="637" spans="1:25" x14ac:dyDescent="0.25">
      <c r="A637" t="s">
        <v>2616</v>
      </c>
      <c r="B637" t="s">
        <v>2617</v>
      </c>
      <c r="C637" t="s">
        <v>2618</v>
      </c>
      <c r="D637" t="s">
        <v>2619</v>
      </c>
      <c r="E637" t="s">
        <v>200</v>
      </c>
      <c r="F637" t="s">
        <v>30</v>
      </c>
      <c r="G637" t="s">
        <v>139</v>
      </c>
      <c r="H637" t="s">
        <v>72</v>
      </c>
      <c r="I637" t="s">
        <v>43</v>
      </c>
      <c r="J637" t="s">
        <v>126</v>
      </c>
      <c r="K637">
        <v>8</v>
      </c>
      <c r="L637">
        <v>1281.75</v>
      </c>
      <c r="M637" s="3">
        <v>0</v>
      </c>
      <c r="N637" t="str">
        <f>VLOOKUP(Table1[[#This Row],[Country]],REF_Country!$A$1:$D$11,2,FALSE)</f>
        <v>East Asia</v>
      </c>
      <c r="O637" t="str">
        <f>VLOOKUP(Table1[[#This Row],[Country]],REF_Country!$A$1:$D$11,3,FALSE)</f>
        <v>KR</v>
      </c>
      <c r="P637">
        <f>VLOOKUP(Table1[[#This Row],[Country]],REF_Country!$A$1:$D$11,4,FALSE)</f>
        <v>0.1</v>
      </c>
      <c r="Q637">
        <f>VLOOKUP(Table1[[#This Row],[Category]],REF_Target!$A$1:$E$6,2,FALSE)</f>
        <v>40000</v>
      </c>
      <c r="R637">
        <f>Table1[[#This Row],[Quantity]]*Table1[[#This Row],[Unit_Price]]</f>
        <v>10254</v>
      </c>
      <c r="S637">
        <f>Table1[[#This Row],[Gross_Sales]]*Table1[[#This Row],[Discount_Rate]]</f>
        <v>0</v>
      </c>
      <c r="T637">
        <f>Table1[[#This Row],[Gross_Sales]]-Table1[[#This Row],[Discount_Amount]]</f>
        <v>10254</v>
      </c>
      <c r="U637">
        <f>VLOOKUP(Table1[[#This Row],[Category]],REF_Cost!$A$1:$B$6,2,FALSE)*Table1[[#This Row],[Quantity]]</f>
        <v>960</v>
      </c>
      <c r="V637">
        <f>Table1[[#This Row],[Net_Sales]]-Table1[[#This Row],[Total_Cost]]</f>
        <v>9294</v>
      </c>
      <c r="W637" t="str">
        <f>TEXT(Table1[[#This Row],[Order_Date]],"mmm")</f>
        <v>Mar</v>
      </c>
      <c r="X637">
        <f>ROUNDUP(MONTH(Table1[[#This Row],[Order_Date]])/3,0)</f>
        <v>1</v>
      </c>
      <c r="Y637">
        <f>YEAR(Table1[[#This Row],[Order_Date]])</f>
        <v>2024</v>
      </c>
    </row>
    <row r="638" spans="1:25" x14ac:dyDescent="0.25">
      <c r="A638" t="s">
        <v>2620</v>
      </c>
      <c r="B638" t="s">
        <v>2621</v>
      </c>
      <c r="C638" t="s">
        <v>2622</v>
      </c>
      <c r="D638" t="s">
        <v>2623</v>
      </c>
      <c r="E638" t="s">
        <v>29</v>
      </c>
      <c r="F638" t="s">
        <v>30</v>
      </c>
      <c r="G638" t="s">
        <v>195</v>
      </c>
      <c r="H638" t="s">
        <v>42</v>
      </c>
      <c r="I638" t="s">
        <v>66</v>
      </c>
      <c r="J638" t="s">
        <v>34</v>
      </c>
      <c r="K638">
        <v>8</v>
      </c>
      <c r="L638">
        <v>663.1</v>
      </c>
      <c r="M638" s="3">
        <v>0</v>
      </c>
      <c r="N638" t="str">
        <f>VLOOKUP(Table1[[#This Row],[Country]],REF_Country!$A$1:$D$11,2,FALSE)</f>
        <v>Southeast Asia</v>
      </c>
      <c r="O638" t="str">
        <f>VLOOKUP(Table1[[#This Row],[Country]],REF_Country!$A$1:$D$11,3,FALSE)</f>
        <v>VN</v>
      </c>
      <c r="P638">
        <f>VLOOKUP(Table1[[#This Row],[Country]],REF_Country!$A$1:$D$11,4,FALSE)</f>
        <v>0.1</v>
      </c>
      <c r="Q638">
        <f>VLOOKUP(Table1[[#This Row],[Category]],REF_Target!$A$1:$E$6,2,FALSE)</f>
        <v>40000</v>
      </c>
      <c r="R638">
        <f>Table1[[#This Row],[Quantity]]*Table1[[#This Row],[Unit_Price]]</f>
        <v>5304.8</v>
      </c>
      <c r="S638">
        <f>Table1[[#This Row],[Gross_Sales]]*Table1[[#This Row],[Discount_Rate]]</f>
        <v>0</v>
      </c>
      <c r="T638">
        <f>Table1[[#This Row],[Gross_Sales]]-Table1[[#This Row],[Discount_Amount]]</f>
        <v>5304.8</v>
      </c>
      <c r="U638">
        <f>VLOOKUP(Table1[[#This Row],[Category]],REF_Cost!$A$1:$B$6,2,FALSE)*Table1[[#This Row],[Quantity]]</f>
        <v>960</v>
      </c>
      <c r="V638">
        <f>Table1[[#This Row],[Net_Sales]]-Table1[[#This Row],[Total_Cost]]</f>
        <v>4344.8</v>
      </c>
      <c r="W638" t="str">
        <f>TEXT(Table1[[#This Row],[Order_Date]],"mmm")</f>
        <v>Apr</v>
      </c>
      <c r="X638">
        <f>ROUNDUP(MONTH(Table1[[#This Row],[Order_Date]])/3,0)</f>
        <v>2</v>
      </c>
      <c r="Y638">
        <f>YEAR(Table1[[#This Row],[Order_Date]])</f>
        <v>2024</v>
      </c>
    </row>
    <row r="639" spans="1:25" x14ac:dyDescent="0.25">
      <c r="A639" t="s">
        <v>2624</v>
      </c>
      <c r="B639" t="s">
        <v>2625</v>
      </c>
      <c r="C639" t="s">
        <v>2626</v>
      </c>
      <c r="D639" t="s">
        <v>2627</v>
      </c>
      <c r="E639" t="s">
        <v>48</v>
      </c>
      <c r="F639" t="s">
        <v>56</v>
      </c>
      <c r="G639" t="s">
        <v>190</v>
      </c>
      <c r="H639" t="s">
        <v>72</v>
      </c>
      <c r="I639" t="s">
        <v>33</v>
      </c>
      <c r="J639" t="s">
        <v>59</v>
      </c>
      <c r="K639">
        <v>5</v>
      </c>
      <c r="L639">
        <v>153.96</v>
      </c>
      <c r="M639" s="3">
        <v>0</v>
      </c>
      <c r="N639" t="str">
        <f>VLOOKUP(Table1[[#This Row],[Country]],REF_Country!$A$1:$D$11,2,FALSE)</f>
        <v>Southeast Asia</v>
      </c>
      <c r="O639" t="str">
        <f>VLOOKUP(Table1[[#This Row],[Country]],REF_Country!$A$1:$D$11,3,FALSE)</f>
        <v>SG</v>
      </c>
      <c r="P639">
        <f>VLOOKUP(Table1[[#This Row],[Country]],REF_Country!$A$1:$D$11,4,FALSE)</f>
        <v>7.0000000000000007E-2</v>
      </c>
      <c r="Q639">
        <f>VLOOKUP(Table1[[#This Row],[Category]],REF_Target!$A$1:$E$6,2,FALSE)</f>
        <v>50000</v>
      </c>
      <c r="R639">
        <f>Table1[[#This Row],[Quantity]]*Table1[[#This Row],[Unit_Price]]</f>
        <v>769.80000000000007</v>
      </c>
      <c r="S639">
        <f>Table1[[#This Row],[Gross_Sales]]*Table1[[#This Row],[Discount_Rate]]</f>
        <v>0</v>
      </c>
      <c r="T639">
        <f>Table1[[#This Row],[Gross_Sales]]-Table1[[#This Row],[Discount_Amount]]</f>
        <v>769.80000000000007</v>
      </c>
      <c r="U639">
        <f>VLOOKUP(Table1[[#This Row],[Category]],REF_Cost!$A$1:$B$6,2,FALSE)*Table1[[#This Row],[Quantity]]</f>
        <v>2250</v>
      </c>
      <c r="V639">
        <f>Table1[[#This Row],[Net_Sales]]-Table1[[#This Row],[Total_Cost]]</f>
        <v>-1480.1999999999998</v>
      </c>
      <c r="W639" t="str">
        <f>TEXT(Table1[[#This Row],[Order_Date]],"mmm")</f>
        <v>Sep</v>
      </c>
      <c r="X639">
        <f>ROUNDUP(MONTH(Table1[[#This Row],[Order_Date]])/3,0)</f>
        <v>3</v>
      </c>
      <c r="Y639">
        <f>YEAR(Table1[[#This Row],[Order_Date]])</f>
        <v>2024</v>
      </c>
    </row>
    <row r="640" spans="1:25" x14ac:dyDescent="0.25">
      <c r="A640" t="s">
        <v>2628</v>
      </c>
      <c r="B640" t="s">
        <v>2629</v>
      </c>
      <c r="C640" t="s">
        <v>2630</v>
      </c>
      <c r="D640" t="s">
        <v>2631</v>
      </c>
      <c r="E640" t="s">
        <v>83</v>
      </c>
      <c r="F640" t="s">
        <v>56</v>
      </c>
      <c r="G640" t="s">
        <v>111</v>
      </c>
      <c r="H640" t="s">
        <v>32</v>
      </c>
      <c r="I640" t="s">
        <v>43</v>
      </c>
      <c r="J640" t="s">
        <v>34</v>
      </c>
      <c r="K640">
        <v>3</v>
      </c>
      <c r="L640">
        <v>1153.77</v>
      </c>
      <c r="M640" s="3">
        <v>0.1</v>
      </c>
      <c r="N640" t="str">
        <f>VLOOKUP(Table1[[#This Row],[Country]],REF_Country!$A$1:$D$11,2,FALSE)</f>
        <v>South Asia</v>
      </c>
      <c r="O640" t="str">
        <f>VLOOKUP(Table1[[#This Row],[Country]],REF_Country!$A$1:$D$11,3,FALSE)</f>
        <v>IN</v>
      </c>
      <c r="P640">
        <f>VLOOKUP(Table1[[#This Row],[Country]],REF_Country!$A$1:$D$11,4,FALSE)</f>
        <v>0.18</v>
      </c>
      <c r="Q640">
        <f>VLOOKUP(Table1[[#This Row],[Category]],REF_Target!$A$1:$E$6,2,FALSE)</f>
        <v>50000</v>
      </c>
      <c r="R640">
        <f>Table1[[#This Row],[Quantity]]*Table1[[#This Row],[Unit_Price]]</f>
        <v>3461.31</v>
      </c>
      <c r="S640">
        <f>Table1[[#This Row],[Gross_Sales]]*Table1[[#This Row],[Discount_Rate]]</f>
        <v>346.13100000000003</v>
      </c>
      <c r="T640">
        <f>Table1[[#This Row],[Gross_Sales]]-Table1[[#This Row],[Discount_Amount]]</f>
        <v>3115.1790000000001</v>
      </c>
      <c r="U640">
        <f>VLOOKUP(Table1[[#This Row],[Category]],REF_Cost!$A$1:$B$6,2,FALSE)*Table1[[#This Row],[Quantity]]</f>
        <v>1350</v>
      </c>
      <c r="V640">
        <f>Table1[[#This Row],[Net_Sales]]-Table1[[#This Row],[Total_Cost]]</f>
        <v>1765.1790000000001</v>
      </c>
      <c r="W640" t="str">
        <f>TEXT(Table1[[#This Row],[Order_Date]],"mmm")</f>
        <v>Dec</v>
      </c>
      <c r="X640">
        <f>ROUNDUP(MONTH(Table1[[#This Row],[Order_Date]])/3,0)</f>
        <v>4</v>
      </c>
      <c r="Y640">
        <f>YEAR(Table1[[#This Row],[Order_Date]])</f>
        <v>2024</v>
      </c>
    </row>
    <row r="641" spans="1:25" x14ac:dyDescent="0.25">
      <c r="A641" t="s">
        <v>2632</v>
      </c>
      <c r="B641" t="s">
        <v>2633</v>
      </c>
      <c r="C641" t="s">
        <v>2634</v>
      </c>
      <c r="D641" t="s">
        <v>2635</v>
      </c>
      <c r="E641" t="s">
        <v>29</v>
      </c>
      <c r="F641" t="s">
        <v>56</v>
      </c>
      <c r="G641" t="s">
        <v>57</v>
      </c>
      <c r="H641" t="s">
        <v>72</v>
      </c>
      <c r="I641" t="s">
        <v>51</v>
      </c>
      <c r="J641" t="s">
        <v>126</v>
      </c>
      <c r="K641">
        <v>2</v>
      </c>
      <c r="L641">
        <v>569.73</v>
      </c>
      <c r="M641" s="3">
        <v>0.05</v>
      </c>
      <c r="N641" t="str">
        <f>VLOOKUP(Table1[[#This Row],[Country]],REF_Country!$A$1:$D$11,2,FALSE)</f>
        <v>Southeast Asia</v>
      </c>
      <c r="O641" t="str">
        <f>VLOOKUP(Table1[[#This Row],[Country]],REF_Country!$A$1:$D$11,3,FALSE)</f>
        <v>VN</v>
      </c>
      <c r="P641">
        <f>VLOOKUP(Table1[[#This Row],[Country]],REF_Country!$A$1:$D$11,4,FALSE)</f>
        <v>0.1</v>
      </c>
      <c r="Q641">
        <f>VLOOKUP(Table1[[#This Row],[Category]],REF_Target!$A$1:$E$6,2,FALSE)</f>
        <v>50000</v>
      </c>
      <c r="R641">
        <f>Table1[[#This Row],[Quantity]]*Table1[[#This Row],[Unit_Price]]</f>
        <v>1139.46</v>
      </c>
      <c r="S641">
        <f>Table1[[#This Row],[Gross_Sales]]*Table1[[#This Row],[Discount_Rate]]</f>
        <v>56.973000000000006</v>
      </c>
      <c r="T641">
        <f>Table1[[#This Row],[Gross_Sales]]-Table1[[#This Row],[Discount_Amount]]</f>
        <v>1082.4870000000001</v>
      </c>
      <c r="U641">
        <f>VLOOKUP(Table1[[#This Row],[Category]],REF_Cost!$A$1:$B$6,2,FALSE)*Table1[[#This Row],[Quantity]]</f>
        <v>900</v>
      </c>
      <c r="V641">
        <f>Table1[[#This Row],[Net_Sales]]-Table1[[#This Row],[Total_Cost]]</f>
        <v>182.48700000000008</v>
      </c>
      <c r="W641" t="str">
        <f>TEXT(Table1[[#This Row],[Order_Date]],"mmm")</f>
        <v>Feb</v>
      </c>
      <c r="X641">
        <f>ROUNDUP(MONTH(Table1[[#This Row],[Order_Date]])/3,0)</f>
        <v>1</v>
      </c>
      <c r="Y641">
        <f>YEAR(Table1[[#This Row],[Order_Date]])</f>
        <v>2024</v>
      </c>
    </row>
    <row r="642" spans="1:25" x14ac:dyDescent="0.25">
      <c r="A642" t="s">
        <v>2636</v>
      </c>
      <c r="B642" t="s">
        <v>2637</v>
      </c>
      <c r="C642" t="s">
        <v>2638</v>
      </c>
      <c r="D642" t="s">
        <v>2639</v>
      </c>
      <c r="E642" t="s">
        <v>200</v>
      </c>
      <c r="F642" t="s">
        <v>84</v>
      </c>
      <c r="G642" t="s">
        <v>90</v>
      </c>
      <c r="H642" t="s">
        <v>42</v>
      </c>
      <c r="I642" t="s">
        <v>66</v>
      </c>
      <c r="J642" t="s">
        <v>73</v>
      </c>
      <c r="K642">
        <v>6</v>
      </c>
      <c r="L642">
        <v>992.14</v>
      </c>
      <c r="M642" s="3">
        <v>0</v>
      </c>
      <c r="N642" t="str">
        <f>VLOOKUP(Table1[[#This Row],[Country]],REF_Country!$A$1:$D$11,2,FALSE)</f>
        <v>East Asia</v>
      </c>
      <c r="O642" t="str">
        <f>VLOOKUP(Table1[[#This Row],[Country]],REF_Country!$A$1:$D$11,3,FALSE)</f>
        <v>KR</v>
      </c>
      <c r="P642">
        <f>VLOOKUP(Table1[[#This Row],[Country]],REF_Country!$A$1:$D$11,4,FALSE)</f>
        <v>0.1</v>
      </c>
      <c r="Q642">
        <f>VLOOKUP(Table1[[#This Row],[Category]],REF_Target!$A$1:$E$6,2,FALSE)</f>
        <v>30000</v>
      </c>
      <c r="R642">
        <f>Table1[[#This Row],[Quantity]]*Table1[[#This Row],[Unit_Price]]</f>
        <v>5952.84</v>
      </c>
      <c r="S642">
        <f>Table1[[#This Row],[Gross_Sales]]*Table1[[#This Row],[Discount_Rate]]</f>
        <v>0</v>
      </c>
      <c r="T642">
        <f>Table1[[#This Row],[Gross_Sales]]-Table1[[#This Row],[Discount_Amount]]</f>
        <v>5952.84</v>
      </c>
      <c r="U642">
        <f>VLOOKUP(Table1[[#This Row],[Category]],REF_Cost!$A$1:$B$6,2,FALSE)*Table1[[#This Row],[Quantity]]</f>
        <v>1200</v>
      </c>
      <c r="V642">
        <f>Table1[[#This Row],[Net_Sales]]-Table1[[#This Row],[Total_Cost]]</f>
        <v>4752.84</v>
      </c>
      <c r="W642" t="str">
        <f>TEXT(Table1[[#This Row],[Order_Date]],"mmm")</f>
        <v>Dec</v>
      </c>
      <c r="X642">
        <f>ROUNDUP(MONTH(Table1[[#This Row],[Order_Date]])/3,0)</f>
        <v>4</v>
      </c>
      <c r="Y642">
        <f>YEAR(Table1[[#This Row],[Order_Date]])</f>
        <v>2024</v>
      </c>
    </row>
    <row r="643" spans="1:25" x14ac:dyDescent="0.25">
      <c r="A643" t="s">
        <v>2640</v>
      </c>
      <c r="B643" t="s">
        <v>2641</v>
      </c>
      <c r="C643" t="s">
        <v>2642</v>
      </c>
      <c r="D643" t="s">
        <v>2643</v>
      </c>
      <c r="E643" t="s">
        <v>71</v>
      </c>
      <c r="F643" t="s">
        <v>56</v>
      </c>
      <c r="G643" t="s">
        <v>101</v>
      </c>
      <c r="H643" t="s">
        <v>32</v>
      </c>
      <c r="I643" t="s">
        <v>96</v>
      </c>
      <c r="J643" t="s">
        <v>59</v>
      </c>
      <c r="K643">
        <v>10</v>
      </c>
      <c r="L643">
        <v>827.53</v>
      </c>
      <c r="M643" s="3">
        <v>0.1</v>
      </c>
      <c r="N643" t="str">
        <f>VLOOKUP(Table1[[#This Row],[Country]],REF_Country!$A$1:$D$11,2,FALSE)</f>
        <v>Southeast Asia</v>
      </c>
      <c r="O643" t="str">
        <f>VLOOKUP(Table1[[#This Row],[Country]],REF_Country!$A$1:$D$11,3,FALSE)</f>
        <v>PH</v>
      </c>
      <c r="P643">
        <f>VLOOKUP(Table1[[#This Row],[Country]],REF_Country!$A$1:$D$11,4,FALSE)</f>
        <v>0.12</v>
      </c>
      <c r="Q643">
        <f>VLOOKUP(Table1[[#This Row],[Category]],REF_Target!$A$1:$E$6,2,FALSE)</f>
        <v>50000</v>
      </c>
      <c r="R643">
        <f>Table1[[#This Row],[Quantity]]*Table1[[#This Row],[Unit_Price]]</f>
        <v>8275.2999999999993</v>
      </c>
      <c r="S643">
        <f>Table1[[#This Row],[Gross_Sales]]*Table1[[#This Row],[Discount_Rate]]</f>
        <v>827.53</v>
      </c>
      <c r="T643">
        <f>Table1[[#This Row],[Gross_Sales]]-Table1[[#This Row],[Discount_Amount]]</f>
        <v>7447.7699999999995</v>
      </c>
      <c r="U643">
        <f>VLOOKUP(Table1[[#This Row],[Category]],REF_Cost!$A$1:$B$6,2,FALSE)*Table1[[#This Row],[Quantity]]</f>
        <v>4500</v>
      </c>
      <c r="V643">
        <f>Table1[[#This Row],[Net_Sales]]-Table1[[#This Row],[Total_Cost]]</f>
        <v>2947.7699999999995</v>
      </c>
      <c r="W643" t="str">
        <f>TEXT(Table1[[#This Row],[Order_Date]],"mmm")</f>
        <v>Jan</v>
      </c>
      <c r="X643">
        <f>ROUNDUP(MONTH(Table1[[#This Row],[Order_Date]])/3,0)</f>
        <v>1</v>
      </c>
      <c r="Y643">
        <f>YEAR(Table1[[#This Row],[Order_Date]])</f>
        <v>2024</v>
      </c>
    </row>
    <row r="644" spans="1:25" x14ac:dyDescent="0.25">
      <c r="A644" t="s">
        <v>2644</v>
      </c>
      <c r="B644" t="s">
        <v>2645</v>
      </c>
      <c r="C644" t="s">
        <v>2646</v>
      </c>
      <c r="D644" t="s">
        <v>2647</v>
      </c>
      <c r="E644" t="s">
        <v>64</v>
      </c>
      <c r="F644" t="s">
        <v>30</v>
      </c>
      <c r="G644" t="s">
        <v>31</v>
      </c>
      <c r="H644" t="s">
        <v>72</v>
      </c>
      <c r="I644" t="s">
        <v>51</v>
      </c>
      <c r="J644" t="s">
        <v>59</v>
      </c>
      <c r="K644">
        <v>7</v>
      </c>
      <c r="L644">
        <v>591.92999999999995</v>
      </c>
      <c r="M644" s="3">
        <v>0.05</v>
      </c>
      <c r="N644" t="str">
        <f>VLOOKUP(Table1[[#This Row],[Country]],REF_Country!$A$1:$D$11,2,FALSE)</f>
        <v>Southeast Asia</v>
      </c>
      <c r="O644" t="str">
        <f>VLOOKUP(Table1[[#This Row],[Country]],REF_Country!$A$1:$D$11,3,FALSE)</f>
        <v>ID</v>
      </c>
      <c r="P644">
        <f>VLOOKUP(Table1[[#This Row],[Country]],REF_Country!$A$1:$D$11,4,FALSE)</f>
        <v>0.11</v>
      </c>
      <c r="Q644">
        <f>VLOOKUP(Table1[[#This Row],[Category]],REF_Target!$A$1:$E$6,2,FALSE)</f>
        <v>40000</v>
      </c>
      <c r="R644">
        <f>Table1[[#This Row],[Quantity]]*Table1[[#This Row],[Unit_Price]]</f>
        <v>4143.5099999999993</v>
      </c>
      <c r="S644">
        <f>Table1[[#This Row],[Gross_Sales]]*Table1[[#This Row],[Discount_Rate]]</f>
        <v>207.17549999999997</v>
      </c>
      <c r="T644">
        <f>Table1[[#This Row],[Gross_Sales]]-Table1[[#This Row],[Discount_Amount]]</f>
        <v>3936.3344999999995</v>
      </c>
      <c r="U644">
        <f>VLOOKUP(Table1[[#This Row],[Category]],REF_Cost!$A$1:$B$6,2,FALSE)*Table1[[#This Row],[Quantity]]</f>
        <v>840</v>
      </c>
      <c r="V644">
        <f>Table1[[#This Row],[Net_Sales]]-Table1[[#This Row],[Total_Cost]]</f>
        <v>3096.3344999999995</v>
      </c>
      <c r="W644" t="str">
        <f>TEXT(Table1[[#This Row],[Order_Date]],"mmm")</f>
        <v>May</v>
      </c>
      <c r="X644">
        <f>ROUNDUP(MONTH(Table1[[#This Row],[Order_Date]])/3,0)</f>
        <v>2</v>
      </c>
      <c r="Y644">
        <f>YEAR(Table1[[#This Row],[Order_Date]])</f>
        <v>2024</v>
      </c>
    </row>
    <row r="645" spans="1:25" x14ac:dyDescent="0.25">
      <c r="A645" t="s">
        <v>2648</v>
      </c>
      <c r="B645" t="s">
        <v>2649</v>
      </c>
      <c r="C645" t="s">
        <v>2650</v>
      </c>
      <c r="D645" t="s">
        <v>2651</v>
      </c>
      <c r="E645" t="s">
        <v>29</v>
      </c>
      <c r="F645" t="s">
        <v>40</v>
      </c>
      <c r="G645" t="s">
        <v>106</v>
      </c>
      <c r="H645" t="s">
        <v>72</v>
      </c>
      <c r="I645" t="s">
        <v>96</v>
      </c>
      <c r="J645" t="s">
        <v>34</v>
      </c>
      <c r="K645">
        <v>2</v>
      </c>
      <c r="L645">
        <v>548.17999999999995</v>
      </c>
      <c r="M645" s="3">
        <v>0.05</v>
      </c>
      <c r="N645" t="str">
        <f>VLOOKUP(Table1[[#This Row],[Country]],REF_Country!$A$1:$D$11,2,FALSE)</f>
        <v>Southeast Asia</v>
      </c>
      <c r="O645" t="str">
        <f>VLOOKUP(Table1[[#This Row],[Country]],REF_Country!$A$1:$D$11,3,FALSE)</f>
        <v>VN</v>
      </c>
      <c r="P645">
        <f>VLOOKUP(Table1[[#This Row],[Country]],REF_Country!$A$1:$D$11,4,FALSE)</f>
        <v>0.1</v>
      </c>
      <c r="Q645">
        <f>VLOOKUP(Table1[[#This Row],[Category]],REF_Target!$A$1:$E$6,2,FALSE)</f>
        <v>45000</v>
      </c>
      <c r="R645">
        <f>Table1[[#This Row],[Quantity]]*Table1[[#This Row],[Unit_Price]]</f>
        <v>1096.3599999999999</v>
      </c>
      <c r="S645">
        <f>Table1[[#This Row],[Gross_Sales]]*Table1[[#This Row],[Discount_Rate]]</f>
        <v>54.817999999999998</v>
      </c>
      <c r="T645">
        <f>Table1[[#This Row],[Gross_Sales]]-Table1[[#This Row],[Discount_Amount]]</f>
        <v>1041.5419999999999</v>
      </c>
      <c r="U645">
        <f>VLOOKUP(Table1[[#This Row],[Category]],REF_Cost!$A$1:$B$6,2,FALSE)*Table1[[#This Row],[Quantity]]</f>
        <v>160</v>
      </c>
      <c r="V645">
        <f>Table1[[#This Row],[Net_Sales]]-Table1[[#This Row],[Total_Cost]]</f>
        <v>881.54199999999992</v>
      </c>
      <c r="W645" t="str">
        <f>TEXT(Table1[[#This Row],[Order_Date]],"mmm")</f>
        <v>Aug</v>
      </c>
      <c r="X645">
        <f>ROUNDUP(MONTH(Table1[[#This Row],[Order_Date]])/3,0)</f>
        <v>3</v>
      </c>
      <c r="Y645">
        <f>YEAR(Table1[[#This Row],[Order_Date]])</f>
        <v>2024</v>
      </c>
    </row>
    <row r="646" spans="1:25" x14ac:dyDescent="0.25">
      <c r="A646" t="s">
        <v>2652</v>
      </c>
      <c r="B646" t="s">
        <v>2653</v>
      </c>
      <c r="C646" t="s">
        <v>2654</v>
      </c>
      <c r="D646" t="s">
        <v>2655</v>
      </c>
      <c r="E646" t="s">
        <v>83</v>
      </c>
      <c r="F646" t="s">
        <v>49</v>
      </c>
      <c r="G646" t="s">
        <v>117</v>
      </c>
      <c r="H646" t="s">
        <v>72</v>
      </c>
      <c r="I646" t="s">
        <v>96</v>
      </c>
      <c r="J646" t="s">
        <v>34</v>
      </c>
      <c r="K646">
        <v>6</v>
      </c>
      <c r="L646">
        <v>1138.3900000000001</v>
      </c>
      <c r="M646" s="3">
        <v>0.15</v>
      </c>
      <c r="N646" t="str">
        <f>VLOOKUP(Table1[[#This Row],[Country]],REF_Country!$A$1:$D$11,2,FALSE)</f>
        <v>South Asia</v>
      </c>
      <c r="O646" t="str">
        <f>VLOOKUP(Table1[[#This Row],[Country]],REF_Country!$A$1:$D$11,3,FALSE)</f>
        <v>IN</v>
      </c>
      <c r="P646">
        <f>VLOOKUP(Table1[[#This Row],[Country]],REF_Country!$A$1:$D$11,4,FALSE)</f>
        <v>0.18</v>
      </c>
      <c r="Q646">
        <f>VLOOKUP(Table1[[#This Row],[Category]],REF_Target!$A$1:$E$6,2,FALSE)</f>
        <v>35000</v>
      </c>
      <c r="R646">
        <f>Table1[[#This Row],[Quantity]]*Table1[[#This Row],[Unit_Price]]</f>
        <v>6830.34</v>
      </c>
      <c r="S646">
        <f>Table1[[#This Row],[Gross_Sales]]*Table1[[#This Row],[Discount_Rate]]</f>
        <v>1024.5509999999999</v>
      </c>
      <c r="T646">
        <f>Table1[[#This Row],[Gross_Sales]]-Table1[[#This Row],[Discount_Amount]]</f>
        <v>5805.7890000000007</v>
      </c>
      <c r="U646">
        <f>VLOOKUP(Table1[[#This Row],[Category]],REF_Cost!$A$1:$B$6,2,FALSE)*Table1[[#This Row],[Quantity]]</f>
        <v>900</v>
      </c>
      <c r="V646">
        <f>Table1[[#This Row],[Net_Sales]]-Table1[[#This Row],[Total_Cost]]</f>
        <v>4905.7890000000007</v>
      </c>
      <c r="W646" t="str">
        <f>TEXT(Table1[[#This Row],[Order_Date]],"mmm")</f>
        <v>Aug</v>
      </c>
      <c r="X646">
        <f>ROUNDUP(MONTH(Table1[[#This Row],[Order_Date]])/3,0)</f>
        <v>3</v>
      </c>
      <c r="Y646">
        <f>YEAR(Table1[[#This Row],[Order_Date]])</f>
        <v>2024</v>
      </c>
    </row>
    <row r="647" spans="1:25" x14ac:dyDescent="0.25">
      <c r="A647" t="s">
        <v>2656</v>
      </c>
      <c r="B647" t="s">
        <v>2657</v>
      </c>
      <c r="C647" t="s">
        <v>2658</v>
      </c>
      <c r="D647" t="s">
        <v>2659</v>
      </c>
      <c r="E647" t="s">
        <v>200</v>
      </c>
      <c r="F647" t="s">
        <v>30</v>
      </c>
      <c r="G647" t="s">
        <v>31</v>
      </c>
      <c r="H647" t="s">
        <v>32</v>
      </c>
      <c r="I647" t="s">
        <v>66</v>
      </c>
      <c r="J647" t="s">
        <v>34</v>
      </c>
      <c r="K647">
        <v>9</v>
      </c>
      <c r="L647">
        <v>1397.04</v>
      </c>
      <c r="M647" s="3">
        <v>0.2</v>
      </c>
      <c r="N647" t="str">
        <f>VLOOKUP(Table1[[#This Row],[Country]],REF_Country!$A$1:$D$11,2,FALSE)</f>
        <v>East Asia</v>
      </c>
      <c r="O647" t="str">
        <f>VLOOKUP(Table1[[#This Row],[Country]],REF_Country!$A$1:$D$11,3,FALSE)</f>
        <v>KR</v>
      </c>
      <c r="P647">
        <f>VLOOKUP(Table1[[#This Row],[Country]],REF_Country!$A$1:$D$11,4,FALSE)</f>
        <v>0.1</v>
      </c>
      <c r="Q647">
        <f>VLOOKUP(Table1[[#This Row],[Category]],REF_Target!$A$1:$E$6,2,FALSE)</f>
        <v>40000</v>
      </c>
      <c r="R647">
        <f>Table1[[#This Row],[Quantity]]*Table1[[#This Row],[Unit_Price]]</f>
        <v>12573.36</v>
      </c>
      <c r="S647">
        <f>Table1[[#This Row],[Gross_Sales]]*Table1[[#This Row],[Discount_Rate]]</f>
        <v>2514.6720000000005</v>
      </c>
      <c r="T647">
        <f>Table1[[#This Row],[Gross_Sales]]-Table1[[#This Row],[Discount_Amount]]</f>
        <v>10058.688</v>
      </c>
      <c r="U647">
        <f>VLOOKUP(Table1[[#This Row],[Category]],REF_Cost!$A$1:$B$6,2,FALSE)*Table1[[#This Row],[Quantity]]</f>
        <v>1080</v>
      </c>
      <c r="V647">
        <f>Table1[[#This Row],[Net_Sales]]-Table1[[#This Row],[Total_Cost]]</f>
        <v>8978.6880000000001</v>
      </c>
      <c r="W647" t="str">
        <f>TEXT(Table1[[#This Row],[Order_Date]],"mmm")</f>
        <v>Jan</v>
      </c>
      <c r="X647">
        <f>ROUNDUP(MONTH(Table1[[#This Row],[Order_Date]])/3,0)</f>
        <v>1</v>
      </c>
      <c r="Y647">
        <f>YEAR(Table1[[#This Row],[Order_Date]])</f>
        <v>2024</v>
      </c>
    </row>
    <row r="648" spans="1:25" x14ac:dyDescent="0.25">
      <c r="A648" t="s">
        <v>2660</v>
      </c>
      <c r="B648" t="s">
        <v>2661</v>
      </c>
      <c r="C648" t="s">
        <v>2662</v>
      </c>
      <c r="D648" t="s">
        <v>2663</v>
      </c>
      <c r="E648" t="s">
        <v>48</v>
      </c>
      <c r="F648" t="s">
        <v>30</v>
      </c>
      <c r="G648" t="s">
        <v>65</v>
      </c>
      <c r="H648" t="s">
        <v>58</v>
      </c>
      <c r="I648" t="s">
        <v>33</v>
      </c>
      <c r="J648" t="s">
        <v>126</v>
      </c>
      <c r="K648">
        <v>9</v>
      </c>
      <c r="L648">
        <v>1264.68</v>
      </c>
      <c r="M648" s="3">
        <v>0.1</v>
      </c>
      <c r="N648" t="str">
        <f>VLOOKUP(Table1[[#This Row],[Country]],REF_Country!$A$1:$D$11,2,FALSE)</f>
        <v>Southeast Asia</v>
      </c>
      <c r="O648" t="str">
        <f>VLOOKUP(Table1[[#This Row],[Country]],REF_Country!$A$1:$D$11,3,FALSE)</f>
        <v>SG</v>
      </c>
      <c r="P648">
        <f>VLOOKUP(Table1[[#This Row],[Country]],REF_Country!$A$1:$D$11,4,FALSE)</f>
        <v>7.0000000000000007E-2</v>
      </c>
      <c r="Q648">
        <f>VLOOKUP(Table1[[#This Row],[Category]],REF_Target!$A$1:$E$6,2,FALSE)</f>
        <v>40000</v>
      </c>
      <c r="R648">
        <f>Table1[[#This Row],[Quantity]]*Table1[[#This Row],[Unit_Price]]</f>
        <v>11382.12</v>
      </c>
      <c r="S648">
        <f>Table1[[#This Row],[Gross_Sales]]*Table1[[#This Row],[Discount_Rate]]</f>
        <v>1138.2120000000002</v>
      </c>
      <c r="T648">
        <f>Table1[[#This Row],[Gross_Sales]]-Table1[[#This Row],[Discount_Amount]]</f>
        <v>10243.908000000001</v>
      </c>
      <c r="U648">
        <f>VLOOKUP(Table1[[#This Row],[Category]],REF_Cost!$A$1:$B$6,2,FALSE)*Table1[[#This Row],[Quantity]]</f>
        <v>1080</v>
      </c>
      <c r="V648">
        <f>Table1[[#This Row],[Net_Sales]]-Table1[[#This Row],[Total_Cost]]</f>
        <v>9163.9080000000013</v>
      </c>
      <c r="W648" t="str">
        <f>TEXT(Table1[[#This Row],[Order_Date]],"mmm")</f>
        <v>Feb</v>
      </c>
      <c r="X648">
        <f>ROUNDUP(MONTH(Table1[[#This Row],[Order_Date]])/3,0)</f>
        <v>1</v>
      </c>
      <c r="Y648">
        <f>YEAR(Table1[[#This Row],[Order_Date]])</f>
        <v>2024</v>
      </c>
    </row>
    <row r="649" spans="1:25" x14ac:dyDescent="0.25">
      <c r="A649" t="s">
        <v>2664</v>
      </c>
      <c r="B649" t="s">
        <v>2665</v>
      </c>
      <c r="C649" t="s">
        <v>2666</v>
      </c>
      <c r="D649" t="s">
        <v>2667</v>
      </c>
      <c r="E649" t="s">
        <v>116</v>
      </c>
      <c r="F649" t="s">
        <v>40</v>
      </c>
      <c r="G649" t="s">
        <v>565</v>
      </c>
      <c r="H649" t="s">
        <v>58</v>
      </c>
      <c r="I649" t="s">
        <v>66</v>
      </c>
      <c r="J649" t="s">
        <v>59</v>
      </c>
      <c r="K649">
        <v>8</v>
      </c>
      <c r="L649">
        <v>628.33000000000004</v>
      </c>
      <c r="M649" s="3">
        <v>0.2</v>
      </c>
      <c r="N649" t="str">
        <f>VLOOKUP(Table1[[#This Row],[Country]],REF_Country!$A$1:$D$11,2,FALSE)</f>
        <v>Southeast Asia</v>
      </c>
      <c r="O649" t="str">
        <f>VLOOKUP(Table1[[#This Row],[Country]],REF_Country!$A$1:$D$11,3,FALSE)</f>
        <v>MY</v>
      </c>
      <c r="P649">
        <f>VLOOKUP(Table1[[#This Row],[Country]],REF_Country!$A$1:$D$11,4,FALSE)</f>
        <v>0.06</v>
      </c>
      <c r="Q649">
        <f>VLOOKUP(Table1[[#This Row],[Category]],REF_Target!$A$1:$E$6,2,FALSE)</f>
        <v>45000</v>
      </c>
      <c r="R649">
        <f>Table1[[#This Row],[Quantity]]*Table1[[#This Row],[Unit_Price]]</f>
        <v>5026.6400000000003</v>
      </c>
      <c r="S649">
        <f>Table1[[#This Row],[Gross_Sales]]*Table1[[#This Row],[Discount_Rate]]</f>
        <v>1005.3280000000001</v>
      </c>
      <c r="T649">
        <f>Table1[[#This Row],[Gross_Sales]]-Table1[[#This Row],[Discount_Amount]]</f>
        <v>4021.3120000000004</v>
      </c>
      <c r="U649">
        <f>VLOOKUP(Table1[[#This Row],[Category]],REF_Cost!$A$1:$B$6,2,FALSE)*Table1[[#This Row],[Quantity]]</f>
        <v>640</v>
      </c>
      <c r="V649">
        <f>Table1[[#This Row],[Net_Sales]]-Table1[[#This Row],[Total_Cost]]</f>
        <v>3381.3120000000004</v>
      </c>
      <c r="W649" t="str">
        <f>TEXT(Table1[[#This Row],[Order_Date]],"mmm")</f>
        <v>Feb</v>
      </c>
      <c r="X649">
        <f>ROUNDUP(MONTH(Table1[[#This Row],[Order_Date]])/3,0)</f>
        <v>1</v>
      </c>
      <c r="Y649">
        <f>YEAR(Table1[[#This Row],[Order_Date]])</f>
        <v>2024</v>
      </c>
    </row>
    <row r="650" spans="1:25" x14ac:dyDescent="0.25">
      <c r="A650" t="s">
        <v>2668</v>
      </c>
      <c r="B650" t="s">
        <v>2669</v>
      </c>
      <c r="C650" t="s">
        <v>2670</v>
      </c>
      <c r="D650" t="s">
        <v>2671</v>
      </c>
      <c r="E650" t="s">
        <v>116</v>
      </c>
      <c r="F650" t="s">
        <v>49</v>
      </c>
      <c r="G650" t="s">
        <v>286</v>
      </c>
      <c r="H650" t="s">
        <v>32</v>
      </c>
      <c r="I650" t="s">
        <v>96</v>
      </c>
      <c r="J650" t="s">
        <v>59</v>
      </c>
      <c r="K650">
        <v>7</v>
      </c>
      <c r="L650">
        <v>1182.47</v>
      </c>
      <c r="M650" s="3">
        <v>0</v>
      </c>
      <c r="N650" t="str">
        <f>VLOOKUP(Table1[[#This Row],[Country]],REF_Country!$A$1:$D$11,2,FALSE)</f>
        <v>Southeast Asia</v>
      </c>
      <c r="O650" t="str">
        <f>VLOOKUP(Table1[[#This Row],[Country]],REF_Country!$A$1:$D$11,3,FALSE)</f>
        <v>MY</v>
      </c>
      <c r="P650">
        <f>VLOOKUP(Table1[[#This Row],[Country]],REF_Country!$A$1:$D$11,4,FALSE)</f>
        <v>0.06</v>
      </c>
      <c r="Q650">
        <f>VLOOKUP(Table1[[#This Row],[Category]],REF_Target!$A$1:$E$6,2,FALSE)</f>
        <v>35000</v>
      </c>
      <c r="R650">
        <f>Table1[[#This Row],[Quantity]]*Table1[[#This Row],[Unit_Price]]</f>
        <v>8277.2900000000009</v>
      </c>
      <c r="S650">
        <f>Table1[[#This Row],[Gross_Sales]]*Table1[[#This Row],[Discount_Rate]]</f>
        <v>0</v>
      </c>
      <c r="T650">
        <f>Table1[[#This Row],[Gross_Sales]]-Table1[[#This Row],[Discount_Amount]]</f>
        <v>8277.2900000000009</v>
      </c>
      <c r="U650">
        <f>VLOOKUP(Table1[[#This Row],[Category]],REF_Cost!$A$1:$B$6,2,FALSE)*Table1[[#This Row],[Quantity]]</f>
        <v>1050</v>
      </c>
      <c r="V650">
        <f>Table1[[#This Row],[Net_Sales]]-Table1[[#This Row],[Total_Cost]]</f>
        <v>7227.2900000000009</v>
      </c>
      <c r="W650" t="str">
        <f>TEXT(Table1[[#This Row],[Order_Date]],"mmm")</f>
        <v>Feb</v>
      </c>
      <c r="X650">
        <f>ROUNDUP(MONTH(Table1[[#This Row],[Order_Date]])/3,0)</f>
        <v>1</v>
      </c>
      <c r="Y650">
        <f>YEAR(Table1[[#This Row],[Order_Date]])</f>
        <v>2024</v>
      </c>
    </row>
    <row r="651" spans="1:25" x14ac:dyDescent="0.25">
      <c r="A651" t="s">
        <v>2672</v>
      </c>
      <c r="B651" t="s">
        <v>2673</v>
      </c>
      <c r="C651" t="s">
        <v>2674</v>
      </c>
      <c r="D651" t="s">
        <v>2675</v>
      </c>
      <c r="E651" t="s">
        <v>200</v>
      </c>
      <c r="F651" t="s">
        <v>40</v>
      </c>
      <c r="G651" t="s">
        <v>315</v>
      </c>
      <c r="H651" t="s">
        <v>72</v>
      </c>
      <c r="I651" t="s">
        <v>51</v>
      </c>
      <c r="J651" t="s">
        <v>59</v>
      </c>
      <c r="K651">
        <v>3</v>
      </c>
      <c r="L651">
        <v>521.88</v>
      </c>
      <c r="M651" s="3">
        <v>0</v>
      </c>
      <c r="N651" t="str">
        <f>VLOOKUP(Table1[[#This Row],[Country]],REF_Country!$A$1:$D$11,2,FALSE)</f>
        <v>East Asia</v>
      </c>
      <c r="O651" t="str">
        <f>VLOOKUP(Table1[[#This Row],[Country]],REF_Country!$A$1:$D$11,3,FALSE)</f>
        <v>KR</v>
      </c>
      <c r="P651">
        <f>VLOOKUP(Table1[[#This Row],[Country]],REF_Country!$A$1:$D$11,4,FALSE)</f>
        <v>0.1</v>
      </c>
      <c r="Q651">
        <f>VLOOKUP(Table1[[#This Row],[Category]],REF_Target!$A$1:$E$6,2,FALSE)</f>
        <v>45000</v>
      </c>
      <c r="R651">
        <f>Table1[[#This Row],[Quantity]]*Table1[[#This Row],[Unit_Price]]</f>
        <v>1565.6399999999999</v>
      </c>
      <c r="S651">
        <f>Table1[[#This Row],[Gross_Sales]]*Table1[[#This Row],[Discount_Rate]]</f>
        <v>0</v>
      </c>
      <c r="T651">
        <f>Table1[[#This Row],[Gross_Sales]]-Table1[[#This Row],[Discount_Amount]]</f>
        <v>1565.6399999999999</v>
      </c>
      <c r="U651">
        <f>VLOOKUP(Table1[[#This Row],[Category]],REF_Cost!$A$1:$B$6,2,FALSE)*Table1[[#This Row],[Quantity]]</f>
        <v>240</v>
      </c>
      <c r="V651">
        <f>Table1[[#This Row],[Net_Sales]]-Table1[[#This Row],[Total_Cost]]</f>
        <v>1325.6399999999999</v>
      </c>
      <c r="W651" t="str">
        <f>TEXT(Table1[[#This Row],[Order_Date]],"mmm")</f>
        <v>Oct</v>
      </c>
      <c r="X651">
        <f>ROUNDUP(MONTH(Table1[[#This Row],[Order_Date]])/3,0)</f>
        <v>4</v>
      </c>
      <c r="Y651">
        <f>YEAR(Table1[[#This Row],[Order_Date]])</f>
        <v>2024</v>
      </c>
    </row>
    <row r="652" spans="1:25" x14ac:dyDescent="0.25">
      <c r="A652" t="s">
        <v>2676</v>
      </c>
      <c r="B652" t="s">
        <v>2677</v>
      </c>
      <c r="C652" t="s">
        <v>2678</v>
      </c>
      <c r="D652" t="s">
        <v>2679</v>
      </c>
      <c r="E652" t="s">
        <v>64</v>
      </c>
      <c r="F652" t="s">
        <v>56</v>
      </c>
      <c r="G652" t="s">
        <v>57</v>
      </c>
      <c r="H652" t="s">
        <v>42</v>
      </c>
      <c r="I652" t="s">
        <v>96</v>
      </c>
      <c r="J652" t="s">
        <v>34</v>
      </c>
      <c r="K652">
        <v>3</v>
      </c>
      <c r="L652">
        <v>188.27</v>
      </c>
      <c r="M652" s="3">
        <v>0.2</v>
      </c>
      <c r="N652" t="str">
        <f>VLOOKUP(Table1[[#This Row],[Country]],REF_Country!$A$1:$D$11,2,FALSE)</f>
        <v>Southeast Asia</v>
      </c>
      <c r="O652" t="str">
        <f>VLOOKUP(Table1[[#This Row],[Country]],REF_Country!$A$1:$D$11,3,FALSE)</f>
        <v>ID</v>
      </c>
      <c r="P652">
        <f>VLOOKUP(Table1[[#This Row],[Country]],REF_Country!$A$1:$D$11,4,FALSE)</f>
        <v>0.11</v>
      </c>
      <c r="Q652">
        <f>VLOOKUP(Table1[[#This Row],[Category]],REF_Target!$A$1:$E$6,2,FALSE)</f>
        <v>50000</v>
      </c>
      <c r="R652">
        <f>Table1[[#This Row],[Quantity]]*Table1[[#This Row],[Unit_Price]]</f>
        <v>564.81000000000006</v>
      </c>
      <c r="S652">
        <f>Table1[[#This Row],[Gross_Sales]]*Table1[[#This Row],[Discount_Rate]]</f>
        <v>112.96200000000002</v>
      </c>
      <c r="T652">
        <f>Table1[[#This Row],[Gross_Sales]]-Table1[[#This Row],[Discount_Amount]]</f>
        <v>451.84800000000007</v>
      </c>
      <c r="U652">
        <f>VLOOKUP(Table1[[#This Row],[Category]],REF_Cost!$A$1:$B$6,2,FALSE)*Table1[[#This Row],[Quantity]]</f>
        <v>1350</v>
      </c>
      <c r="V652">
        <f>Table1[[#This Row],[Net_Sales]]-Table1[[#This Row],[Total_Cost]]</f>
        <v>-898.15199999999993</v>
      </c>
      <c r="W652" t="str">
        <f>TEXT(Table1[[#This Row],[Order_Date]],"mmm")</f>
        <v>Feb</v>
      </c>
      <c r="X652">
        <f>ROUNDUP(MONTH(Table1[[#This Row],[Order_Date]])/3,0)</f>
        <v>1</v>
      </c>
      <c r="Y652">
        <f>YEAR(Table1[[#This Row],[Order_Date]])</f>
        <v>2024</v>
      </c>
    </row>
    <row r="653" spans="1:25" x14ac:dyDescent="0.25">
      <c r="A653" t="s">
        <v>2680</v>
      </c>
      <c r="B653" t="s">
        <v>2681</v>
      </c>
      <c r="C653" t="s">
        <v>2682</v>
      </c>
      <c r="D653" t="s">
        <v>2683</v>
      </c>
      <c r="E653" t="s">
        <v>29</v>
      </c>
      <c r="F653" t="s">
        <v>40</v>
      </c>
      <c r="G653" t="s">
        <v>41</v>
      </c>
      <c r="H653" t="s">
        <v>32</v>
      </c>
      <c r="I653" t="s">
        <v>43</v>
      </c>
      <c r="J653" t="s">
        <v>73</v>
      </c>
      <c r="K653">
        <v>7</v>
      </c>
      <c r="L653">
        <v>550.67999999999995</v>
      </c>
      <c r="M653" s="3">
        <v>0.05</v>
      </c>
      <c r="N653" t="str">
        <f>VLOOKUP(Table1[[#This Row],[Country]],REF_Country!$A$1:$D$11,2,FALSE)</f>
        <v>Southeast Asia</v>
      </c>
      <c r="O653" t="str">
        <f>VLOOKUP(Table1[[#This Row],[Country]],REF_Country!$A$1:$D$11,3,FALSE)</f>
        <v>VN</v>
      </c>
      <c r="P653">
        <f>VLOOKUP(Table1[[#This Row],[Country]],REF_Country!$A$1:$D$11,4,FALSE)</f>
        <v>0.1</v>
      </c>
      <c r="Q653">
        <f>VLOOKUP(Table1[[#This Row],[Category]],REF_Target!$A$1:$E$6,2,FALSE)</f>
        <v>45000</v>
      </c>
      <c r="R653">
        <f>Table1[[#This Row],[Quantity]]*Table1[[#This Row],[Unit_Price]]</f>
        <v>3854.7599999999998</v>
      </c>
      <c r="S653">
        <f>Table1[[#This Row],[Gross_Sales]]*Table1[[#This Row],[Discount_Rate]]</f>
        <v>192.738</v>
      </c>
      <c r="T653">
        <f>Table1[[#This Row],[Gross_Sales]]-Table1[[#This Row],[Discount_Amount]]</f>
        <v>3662.0219999999999</v>
      </c>
      <c r="U653">
        <f>VLOOKUP(Table1[[#This Row],[Category]],REF_Cost!$A$1:$B$6,2,FALSE)*Table1[[#This Row],[Quantity]]</f>
        <v>560</v>
      </c>
      <c r="V653">
        <f>Table1[[#This Row],[Net_Sales]]-Table1[[#This Row],[Total_Cost]]</f>
        <v>3102.0219999999999</v>
      </c>
      <c r="W653" t="str">
        <f>TEXT(Table1[[#This Row],[Order_Date]],"mmm")</f>
        <v>Nov</v>
      </c>
      <c r="X653">
        <f>ROUNDUP(MONTH(Table1[[#This Row],[Order_Date]])/3,0)</f>
        <v>4</v>
      </c>
      <c r="Y653">
        <f>YEAR(Table1[[#This Row],[Order_Date]])</f>
        <v>2024</v>
      </c>
    </row>
    <row r="654" spans="1:25" x14ac:dyDescent="0.25">
      <c r="A654" t="s">
        <v>2684</v>
      </c>
      <c r="B654" t="s">
        <v>2685</v>
      </c>
      <c r="C654" t="s">
        <v>2686</v>
      </c>
      <c r="D654" t="s">
        <v>2687</v>
      </c>
      <c r="E654" t="s">
        <v>64</v>
      </c>
      <c r="F654" t="s">
        <v>30</v>
      </c>
      <c r="G654" t="s">
        <v>269</v>
      </c>
      <c r="H654" t="s">
        <v>72</v>
      </c>
      <c r="I654" t="s">
        <v>96</v>
      </c>
      <c r="J654" t="s">
        <v>73</v>
      </c>
      <c r="K654">
        <v>3</v>
      </c>
      <c r="L654">
        <v>325.70999999999998</v>
      </c>
      <c r="M654" s="3">
        <v>0.2</v>
      </c>
      <c r="N654" t="str">
        <f>VLOOKUP(Table1[[#This Row],[Country]],REF_Country!$A$1:$D$11,2,FALSE)</f>
        <v>Southeast Asia</v>
      </c>
      <c r="O654" t="str">
        <f>VLOOKUP(Table1[[#This Row],[Country]],REF_Country!$A$1:$D$11,3,FALSE)</f>
        <v>ID</v>
      </c>
      <c r="P654">
        <f>VLOOKUP(Table1[[#This Row],[Country]],REF_Country!$A$1:$D$11,4,FALSE)</f>
        <v>0.11</v>
      </c>
      <c r="Q654">
        <f>VLOOKUP(Table1[[#This Row],[Category]],REF_Target!$A$1:$E$6,2,FALSE)</f>
        <v>40000</v>
      </c>
      <c r="R654">
        <f>Table1[[#This Row],[Quantity]]*Table1[[#This Row],[Unit_Price]]</f>
        <v>977.12999999999988</v>
      </c>
      <c r="S654">
        <f>Table1[[#This Row],[Gross_Sales]]*Table1[[#This Row],[Discount_Rate]]</f>
        <v>195.42599999999999</v>
      </c>
      <c r="T654">
        <f>Table1[[#This Row],[Gross_Sales]]-Table1[[#This Row],[Discount_Amount]]</f>
        <v>781.70399999999995</v>
      </c>
      <c r="U654">
        <f>VLOOKUP(Table1[[#This Row],[Category]],REF_Cost!$A$1:$B$6,2,FALSE)*Table1[[#This Row],[Quantity]]</f>
        <v>360</v>
      </c>
      <c r="V654">
        <f>Table1[[#This Row],[Net_Sales]]-Table1[[#This Row],[Total_Cost]]</f>
        <v>421.70399999999995</v>
      </c>
      <c r="W654" t="str">
        <f>TEXT(Table1[[#This Row],[Order_Date]],"mmm")</f>
        <v>Apr</v>
      </c>
      <c r="X654">
        <f>ROUNDUP(MONTH(Table1[[#This Row],[Order_Date]])/3,0)</f>
        <v>2</v>
      </c>
      <c r="Y654">
        <f>YEAR(Table1[[#This Row],[Order_Date]])</f>
        <v>2024</v>
      </c>
    </row>
    <row r="655" spans="1:25" x14ac:dyDescent="0.25">
      <c r="A655" t="s">
        <v>2688</v>
      </c>
      <c r="B655" t="s">
        <v>2689</v>
      </c>
      <c r="C655" t="s">
        <v>2690</v>
      </c>
      <c r="D655" t="s">
        <v>2691</v>
      </c>
      <c r="E655" t="s">
        <v>200</v>
      </c>
      <c r="F655" t="s">
        <v>49</v>
      </c>
      <c r="G655" t="s">
        <v>117</v>
      </c>
      <c r="H655" t="s">
        <v>42</v>
      </c>
      <c r="I655" t="s">
        <v>96</v>
      </c>
      <c r="J655" t="s">
        <v>34</v>
      </c>
      <c r="K655">
        <v>3</v>
      </c>
      <c r="L655">
        <v>187.94</v>
      </c>
      <c r="M655" s="3">
        <v>0.2</v>
      </c>
      <c r="N655" t="str">
        <f>VLOOKUP(Table1[[#This Row],[Country]],REF_Country!$A$1:$D$11,2,FALSE)</f>
        <v>East Asia</v>
      </c>
      <c r="O655" t="str">
        <f>VLOOKUP(Table1[[#This Row],[Country]],REF_Country!$A$1:$D$11,3,FALSE)</f>
        <v>KR</v>
      </c>
      <c r="P655">
        <f>VLOOKUP(Table1[[#This Row],[Country]],REF_Country!$A$1:$D$11,4,FALSE)</f>
        <v>0.1</v>
      </c>
      <c r="Q655">
        <f>VLOOKUP(Table1[[#This Row],[Category]],REF_Target!$A$1:$E$6,2,FALSE)</f>
        <v>35000</v>
      </c>
      <c r="R655">
        <f>Table1[[#This Row],[Quantity]]*Table1[[#This Row],[Unit_Price]]</f>
        <v>563.81999999999994</v>
      </c>
      <c r="S655">
        <f>Table1[[#This Row],[Gross_Sales]]*Table1[[#This Row],[Discount_Rate]]</f>
        <v>112.764</v>
      </c>
      <c r="T655">
        <f>Table1[[#This Row],[Gross_Sales]]-Table1[[#This Row],[Discount_Amount]]</f>
        <v>451.05599999999993</v>
      </c>
      <c r="U655">
        <f>VLOOKUP(Table1[[#This Row],[Category]],REF_Cost!$A$1:$B$6,2,FALSE)*Table1[[#This Row],[Quantity]]</f>
        <v>450</v>
      </c>
      <c r="V655">
        <f>Table1[[#This Row],[Net_Sales]]-Table1[[#This Row],[Total_Cost]]</f>
        <v>1.0559999999999263</v>
      </c>
      <c r="W655" t="str">
        <f>TEXT(Table1[[#This Row],[Order_Date]],"mmm")</f>
        <v>Jun</v>
      </c>
      <c r="X655">
        <f>ROUNDUP(MONTH(Table1[[#This Row],[Order_Date]])/3,0)</f>
        <v>2</v>
      </c>
      <c r="Y655">
        <f>YEAR(Table1[[#This Row],[Order_Date]])</f>
        <v>2024</v>
      </c>
    </row>
    <row r="656" spans="1:25" x14ac:dyDescent="0.25">
      <c r="A656" t="s">
        <v>2692</v>
      </c>
      <c r="B656" t="s">
        <v>2693</v>
      </c>
      <c r="C656" t="s">
        <v>2694</v>
      </c>
      <c r="D656" t="s">
        <v>2695</v>
      </c>
      <c r="E656" t="s">
        <v>39</v>
      </c>
      <c r="F656" t="s">
        <v>84</v>
      </c>
      <c r="G656" t="s">
        <v>90</v>
      </c>
      <c r="H656" t="s">
        <v>58</v>
      </c>
      <c r="I656" t="s">
        <v>51</v>
      </c>
      <c r="J656" t="s">
        <v>126</v>
      </c>
      <c r="K656">
        <v>7</v>
      </c>
      <c r="L656">
        <v>1246.73</v>
      </c>
      <c r="M656" s="3">
        <v>0</v>
      </c>
      <c r="N656" t="str">
        <f>VLOOKUP(Table1[[#This Row],[Country]],REF_Country!$A$1:$D$11,2,FALSE)</f>
        <v>Southeast Asia</v>
      </c>
      <c r="O656" t="str">
        <f>VLOOKUP(Table1[[#This Row],[Country]],REF_Country!$A$1:$D$11,3,FALSE)</f>
        <v>TH</v>
      </c>
      <c r="P656">
        <f>VLOOKUP(Table1[[#This Row],[Country]],REF_Country!$A$1:$D$11,4,FALSE)</f>
        <v>7.0000000000000007E-2</v>
      </c>
      <c r="Q656">
        <f>VLOOKUP(Table1[[#This Row],[Category]],REF_Target!$A$1:$E$6,2,FALSE)</f>
        <v>30000</v>
      </c>
      <c r="R656">
        <f>Table1[[#This Row],[Quantity]]*Table1[[#This Row],[Unit_Price]]</f>
        <v>8727.11</v>
      </c>
      <c r="S656">
        <f>Table1[[#This Row],[Gross_Sales]]*Table1[[#This Row],[Discount_Rate]]</f>
        <v>0</v>
      </c>
      <c r="T656">
        <f>Table1[[#This Row],[Gross_Sales]]-Table1[[#This Row],[Discount_Amount]]</f>
        <v>8727.11</v>
      </c>
      <c r="U656">
        <f>VLOOKUP(Table1[[#This Row],[Category]],REF_Cost!$A$1:$B$6,2,FALSE)*Table1[[#This Row],[Quantity]]</f>
        <v>1400</v>
      </c>
      <c r="V656">
        <f>Table1[[#This Row],[Net_Sales]]-Table1[[#This Row],[Total_Cost]]</f>
        <v>7327.1100000000006</v>
      </c>
      <c r="W656" t="str">
        <f>TEXT(Table1[[#This Row],[Order_Date]],"mmm")</f>
        <v>Aug</v>
      </c>
      <c r="X656">
        <f>ROUNDUP(MONTH(Table1[[#This Row],[Order_Date]])/3,0)</f>
        <v>3</v>
      </c>
      <c r="Y656">
        <f>YEAR(Table1[[#This Row],[Order_Date]])</f>
        <v>2024</v>
      </c>
    </row>
    <row r="657" spans="1:25" x14ac:dyDescent="0.25">
      <c r="A657" t="s">
        <v>2696</v>
      </c>
      <c r="B657" t="s">
        <v>2697</v>
      </c>
      <c r="C657" t="s">
        <v>2698</v>
      </c>
      <c r="D657" t="s">
        <v>2699</v>
      </c>
      <c r="E657" t="s">
        <v>200</v>
      </c>
      <c r="F657" t="s">
        <v>40</v>
      </c>
      <c r="G657" t="s">
        <v>41</v>
      </c>
      <c r="H657" t="s">
        <v>42</v>
      </c>
      <c r="I657" t="s">
        <v>96</v>
      </c>
      <c r="J657" t="s">
        <v>34</v>
      </c>
      <c r="K657">
        <v>5</v>
      </c>
      <c r="L657">
        <v>1100.6500000000001</v>
      </c>
      <c r="M657" s="3">
        <v>0</v>
      </c>
      <c r="N657" t="str">
        <f>VLOOKUP(Table1[[#This Row],[Country]],REF_Country!$A$1:$D$11,2,FALSE)</f>
        <v>East Asia</v>
      </c>
      <c r="O657" t="str">
        <f>VLOOKUP(Table1[[#This Row],[Country]],REF_Country!$A$1:$D$11,3,FALSE)</f>
        <v>KR</v>
      </c>
      <c r="P657">
        <f>VLOOKUP(Table1[[#This Row],[Country]],REF_Country!$A$1:$D$11,4,FALSE)</f>
        <v>0.1</v>
      </c>
      <c r="Q657">
        <f>VLOOKUP(Table1[[#This Row],[Category]],REF_Target!$A$1:$E$6,2,FALSE)</f>
        <v>45000</v>
      </c>
      <c r="R657">
        <f>Table1[[#This Row],[Quantity]]*Table1[[#This Row],[Unit_Price]]</f>
        <v>5503.25</v>
      </c>
      <c r="S657">
        <f>Table1[[#This Row],[Gross_Sales]]*Table1[[#This Row],[Discount_Rate]]</f>
        <v>0</v>
      </c>
      <c r="T657">
        <f>Table1[[#This Row],[Gross_Sales]]-Table1[[#This Row],[Discount_Amount]]</f>
        <v>5503.25</v>
      </c>
      <c r="U657">
        <f>VLOOKUP(Table1[[#This Row],[Category]],REF_Cost!$A$1:$B$6,2,FALSE)*Table1[[#This Row],[Quantity]]</f>
        <v>400</v>
      </c>
      <c r="V657">
        <f>Table1[[#This Row],[Net_Sales]]-Table1[[#This Row],[Total_Cost]]</f>
        <v>5103.25</v>
      </c>
      <c r="W657" t="str">
        <f>TEXT(Table1[[#This Row],[Order_Date]],"mmm")</f>
        <v>Aug</v>
      </c>
      <c r="X657">
        <f>ROUNDUP(MONTH(Table1[[#This Row],[Order_Date]])/3,0)</f>
        <v>3</v>
      </c>
      <c r="Y657">
        <f>YEAR(Table1[[#This Row],[Order_Date]])</f>
        <v>2024</v>
      </c>
    </row>
    <row r="658" spans="1:25" x14ac:dyDescent="0.25">
      <c r="A658" t="s">
        <v>2700</v>
      </c>
      <c r="B658" t="s">
        <v>2701</v>
      </c>
      <c r="C658" t="s">
        <v>2702</v>
      </c>
      <c r="D658" t="s">
        <v>2703</v>
      </c>
      <c r="E658" t="s">
        <v>200</v>
      </c>
      <c r="F658" t="s">
        <v>30</v>
      </c>
      <c r="G658" t="s">
        <v>269</v>
      </c>
      <c r="H658" t="s">
        <v>58</v>
      </c>
      <c r="I658" t="s">
        <v>33</v>
      </c>
      <c r="J658" t="s">
        <v>126</v>
      </c>
      <c r="K658">
        <v>7</v>
      </c>
      <c r="L658">
        <v>799.54</v>
      </c>
      <c r="M658" s="3">
        <v>0.15</v>
      </c>
      <c r="N658" t="str">
        <f>VLOOKUP(Table1[[#This Row],[Country]],REF_Country!$A$1:$D$11,2,FALSE)</f>
        <v>East Asia</v>
      </c>
      <c r="O658" t="str">
        <f>VLOOKUP(Table1[[#This Row],[Country]],REF_Country!$A$1:$D$11,3,FALSE)</f>
        <v>KR</v>
      </c>
      <c r="P658">
        <f>VLOOKUP(Table1[[#This Row],[Country]],REF_Country!$A$1:$D$11,4,FALSE)</f>
        <v>0.1</v>
      </c>
      <c r="Q658">
        <f>VLOOKUP(Table1[[#This Row],[Category]],REF_Target!$A$1:$E$6,2,FALSE)</f>
        <v>40000</v>
      </c>
      <c r="R658">
        <f>Table1[[#This Row],[Quantity]]*Table1[[#This Row],[Unit_Price]]</f>
        <v>5596.78</v>
      </c>
      <c r="S658">
        <f>Table1[[#This Row],[Gross_Sales]]*Table1[[#This Row],[Discount_Rate]]</f>
        <v>839.51699999999994</v>
      </c>
      <c r="T658">
        <f>Table1[[#This Row],[Gross_Sales]]-Table1[[#This Row],[Discount_Amount]]</f>
        <v>4757.2629999999999</v>
      </c>
      <c r="U658">
        <f>VLOOKUP(Table1[[#This Row],[Category]],REF_Cost!$A$1:$B$6,2,FALSE)*Table1[[#This Row],[Quantity]]</f>
        <v>840</v>
      </c>
      <c r="V658">
        <f>Table1[[#This Row],[Net_Sales]]-Table1[[#This Row],[Total_Cost]]</f>
        <v>3917.2629999999999</v>
      </c>
      <c r="W658" t="str">
        <f>TEXT(Table1[[#This Row],[Order_Date]],"mmm")</f>
        <v>Oct</v>
      </c>
      <c r="X658">
        <f>ROUNDUP(MONTH(Table1[[#This Row],[Order_Date]])/3,0)</f>
        <v>4</v>
      </c>
      <c r="Y658">
        <f>YEAR(Table1[[#This Row],[Order_Date]])</f>
        <v>2024</v>
      </c>
    </row>
    <row r="659" spans="1:25" x14ac:dyDescent="0.25">
      <c r="A659" t="s">
        <v>2704</v>
      </c>
      <c r="B659" t="s">
        <v>2705</v>
      </c>
      <c r="C659" t="s">
        <v>2706</v>
      </c>
      <c r="D659" t="s">
        <v>2707</v>
      </c>
      <c r="E659" t="s">
        <v>200</v>
      </c>
      <c r="F659" t="s">
        <v>56</v>
      </c>
      <c r="G659" t="s">
        <v>57</v>
      </c>
      <c r="H659" t="s">
        <v>42</v>
      </c>
      <c r="I659" t="s">
        <v>51</v>
      </c>
      <c r="J659" t="s">
        <v>73</v>
      </c>
      <c r="K659">
        <v>6</v>
      </c>
      <c r="L659">
        <v>939.7</v>
      </c>
      <c r="M659" s="3">
        <v>0.1</v>
      </c>
      <c r="N659" t="str">
        <f>VLOOKUP(Table1[[#This Row],[Country]],REF_Country!$A$1:$D$11,2,FALSE)</f>
        <v>East Asia</v>
      </c>
      <c r="O659" t="str">
        <f>VLOOKUP(Table1[[#This Row],[Country]],REF_Country!$A$1:$D$11,3,FALSE)</f>
        <v>KR</v>
      </c>
      <c r="P659">
        <f>VLOOKUP(Table1[[#This Row],[Country]],REF_Country!$A$1:$D$11,4,FALSE)</f>
        <v>0.1</v>
      </c>
      <c r="Q659">
        <f>VLOOKUP(Table1[[#This Row],[Category]],REF_Target!$A$1:$E$6,2,FALSE)</f>
        <v>50000</v>
      </c>
      <c r="R659">
        <f>Table1[[#This Row],[Quantity]]*Table1[[#This Row],[Unit_Price]]</f>
        <v>5638.2000000000007</v>
      </c>
      <c r="S659">
        <f>Table1[[#This Row],[Gross_Sales]]*Table1[[#This Row],[Discount_Rate]]</f>
        <v>563.82000000000005</v>
      </c>
      <c r="T659">
        <f>Table1[[#This Row],[Gross_Sales]]-Table1[[#This Row],[Discount_Amount]]</f>
        <v>5074.380000000001</v>
      </c>
      <c r="U659">
        <f>VLOOKUP(Table1[[#This Row],[Category]],REF_Cost!$A$1:$B$6,2,FALSE)*Table1[[#This Row],[Quantity]]</f>
        <v>2700</v>
      </c>
      <c r="V659">
        <f>Table1[[#This Row],[Net_Sales]]-Table1[[#This Row],[Total_Cost]]</f>
        <v>2374.380000000001</v>
      </c>
      <c r="W659" t="str">
        <f>TEXT(Table1[[#This Row],[Order_Date]],"mmm")</f>
        <v>Nov</v>
      </c>
      <c r="X659">
        <f>ROUNDUP(MONTH(Table1[[#This Row],[Order_Date]])/3,0)</f>
        <v>4</v>
      </c>
      <c r="Y659">
        <f>YEAR(Table1[[#This Row],[Order_Date]])</f>
        <v>2024</v>
      </c>
    </row>
    <row r="660" spans="1:25" x14ac:dyDescent="0.25">
      <c r="A660" t="s">
        <v>2708</v>
      </c>
      <c r="B660" t="s">
        <v>2709</v>
      </c>
      <c r="C660" t="s">
        <v>2710</v>
      </c>
      <c r="D660" t="s">
        <v>2711</v>
      </c>
      <c r="E660" t="s">
        <v>200</v>
      </c>
      <c r="F660" t="s">
        <v>30</v>
      </c>
      <c r="G660" t="s">
        <v>139</v>
      </c>
      <c r="H660" t="s">
        <v>42</v>
      </c>
      <c r="I660" t="s">
        <v>43</v>
      </c>
      <c r="J660" t="s">
        <v>59</v>
      </c>
      <c r="K660">
        <v>6</v>
      </c>
      <c r="L660">
        <v>341.26</v>
      </c>
      <c r="M660" s="3">
        <v>0.15</v>
      </c>
      <c r="N660" t="str">
        <f>VLOOKUP(Table1[[#This Row],[Country]],REF_Country!$A$1:$D$11,2,FALSE)</f>
        <v>East Asia</v>
      </c>
      <c r="O660" t="str">
        <f>VLOOKUP(Table1[[#This Row],[Country]],REF_Country!$A$1:$D$11,3,FALSE)</f>
        <v>KR</v>
      </c>
      <c r="P660">
        <f>VLOOKUP(Table1[[#This Row],[Country]],REF_Country!$A$1:$D$11,4,FALSE)</f>
        <v>0.1</v>
      </c>
      <c r="Q660">
        <f>VLOOKUP(Table1[[#This Row],[Category]],REF_Target!$A$1:$E$6,2,FALSE)</f>
        <v>40000</v>
      </c>
      <c r="R660">
        <f>Table1[[#This Row],[Quantity]]*Table1[[#This Row],[Unit_Price]]</f>
        <v>2047.56</v>
      </c>
      <c r="S660">
        <f>Table1[[#This Row],[Gross_Sales]]*Table1[[#This Row],[Discount_Rate]]</f>
        <v>307.13399999999996</v>
      </c>
      <c r="T660">
        <f>Table1[[#This Row],[Gross_Sales]]-Table1[[#This Row],[Discount_Amount]]</f>
        <v>1740.4259999999999</v>
      </c>
      <c r="U660">
        <f>VLOOKUP(Table1[[#This Row],[Category]],REF_Cost!$A$1:$B$6,2,FALSE)*Table1[[#This Row],[Quantity]]</f>
        <v>720</v>
      </c>
      <c r="V660">
        <f>Table1[[#This Row],[Net_Sales]]-Table1[[#This Row],[Total_Cost]]</f>
        <v>1020.4259999999999</v>
      </c>
      <c r="W660" t="str">
        <f>TEXT(Table1[[#This Row],[Order_Date]],"mmm")</f>
        <v>Apr</v>
      </c>
      <c r="X660">
        <f>ROUNDUP(MONTH(Table1[[#This Row],[Order_Date]])/3,0)</f>
        <v>2</v>
      </c>
      <c r="Y660">
        <f>YEAR(Table1[[#This Row],[Order_Date]])</f>
        <v>2024</v>
      </c>
    </row>
    <row r="661" spans="1:25" x14ac:dyDescent="0.25">
      <c r="A661" t="s">
        <v>2712</v>
      </c>
      <c r="B661" t="s">
        <v>2713</v>
      </c>
      <c r="C661" t="s">
        <v>2714</v>
      </c>
      <c r="D661" t="s">
        <v>2715</v>
      </c>
      <c r="E661" t="s">
        <v>71</v>
      </c>
      <c r="F661" t="s">
        <v>49</v>
      </c>
      <c r="G661" t="s">
        <v>286</v>
      </c>
      <c r="H661" t="s">
        <v>32</v>
      </c>
      <c r="I661" t="s">
        <v>96</v>
      </c>
      <c r="J661" t="s">
        <v>73</v>
      </c>
      <c r="K661">
        <v>5</v>
      </c>
      <c r="L661">
        <v>938.44</v>
      </c>
      <c r="M661" s="3">
        <v>0.2</v>
      </c>
      <c r="N661" t="str">
        <f>VLOOKUP(Table1[[#This Row],[Country]],REF_Country!$A$1:$D$11,2,FALSE)</f>
        <v>Southeast Asia</v>
      </c>
      <c r="O661" t="str">
        <f>VLOOKUP(Table1[[#This Row],[Country]],REF_Country!$A$1:$D$11,3,FALSE)</f>
        <v>PH</v>
      </c>
      <c r="P661">
        <f>VLOOKUP(Table1[[#This Row],[Country]],REF_Country!$A$1:$D$11,4,FALSE)</f>
        <v>0.12</v>
      </c>
      <c r="Q661">
        <f>VLOOKUP(Table1[[#This Row],[Category]],REF_Target!$A$1:$E$6,2,FALSE)</f>
        <v>35000</v>
      </c>
      <c r="R661">
        <f>Table1[[#This Row],[Quantity]]*Table1[[#This Row],[Unit_Price]]</f>
        <v>4692.2000000000007</v>
      </c>
      <c r="S661">
        <f>Table1[[#This Row],[Gross_Sales]]*Table1[[#This Row],[Discount_Rate]]</f>
        <v>938.44000000000017</v>
      </c>
      <c r="T661">
        <f>Table1[[#This Row],[Gross_Sales]]-Table1[[#This Row],[Discount_Amount]]</f>
        <v>3753.7600000000007</v>
      </c>
      <c r="U661">
        <f>VLOOKUP(Table1[[#This Row],[Category]],REF_Cost!$A$1:$B$6,2,FALSE)*Table1[[#This Row],[Quantity]]</f>
        <v>750</v>
      </c>
      <c r="V661">
        <f>Table1[[#This Row],[Net_Sales]]-Table1[[#This Row],[Total_Cost]]</f>
        <v>3003.7600000000007</v>
      </c>
      <c r="W661" t="str">
        <f>TEXT(Table1[[#This Row],[Order_Date]],"mmm")</f>
        <v>Aug</v>
      </c>
      <c r="X661">
        <f>ROUNDUP(MONTH(Table1[[#This Row],[Order_Date]])/3,0)</f>
        <v>3</v>
      </c>
      <c r="Y661">
        <f>YEAR(Table1[[#This Row],[Order_Date]])</f>
        <v>2024</v>
      </c>
    </row>
    <row r="662" spans="1:25" x14ac:dyDescent="0.25">
      <c r="A662" t="s">
        <v>2716</v>
      </c>
      <c r="B662" t="s">
        <v>2717</v>
      </c>
      <c r="C662" t="s">
        <v>2718</v>
      </c>
      <c r="D662" t="s">
        <v>2719</v>
      </c>
      <c r="E662" t="s">
        <v>200</v>
      </c>
      <c r="F662" t="s">
        <v>56</v>
      </c>
      <c r="G662" t="s">
        <v>57</v>
      </c>
      <c r="H662" t="s">
        <v>72</v>
      </c>
      <c r="I662" t="s">
        <v>43</v>
      </c>
      <c r="J662" t="s">
        <v>126</v>
      </c>
      <c r="K662">
        <v>8</v>
      </c>
      <c r="L662">
        <v>1415.44</v>
      </c>
      <c r="M662" s="3">
        <v>0.05</v>
      </c>
      <c r="N662" t="str">
        <f>VLOOKUP(Table1[[#This Row],[Country]],REF_Country!$A$1:$D$11,2,FALSE)</f>
        <v>East Asia</v>
      </c>
      <c r="O662" t="str">
        <f>VLOOKUP(Table1[[#This Row],[Country]],REF_Country!$A$1:$D$11,3,FALSE)</f>
        <v>KR</v>
      </c>
      <c r="P662">
        <f>VLOOKUP(Table1[[#This Row],[Country]],REF_Country!$A$1:$D$11,4,FALSE)</f>
        <v>0.1</v>
      </c>
      <c r="Q662">
        <f>VLOOKUP(Table1[[#This Row],[Category]],REF_Target!$A$1:$E$6,2,FALSE)</f>
        <v>50000</v>
      </c>
      <c r="R662">
        <f>Table1[[#This Row],[Quantity]]*Table1[[#This Row],[Unit_Price]]</f>
        <v>11323.52</v>
      </c>
      <c r="S662">
        <f>Table1[[#This Row],[Gross_Sales]]*Table1[[#This Row],[Discount_Rate]]</f>
        <v>566.17600000000004</v>
      </c>
      <c r="T662">
        <f>Table1[[#This Row],[Gross_Sales]]-Table1[[#This Row],[Discount_Amount]]</f>
        <v>10757.344000000001</v>
      </c>
      <c r="U662">
        <f>VLOOKUP(Table1[[#This Row],[Category]],REF_Cost!$A$1:$B$6,2,FALSE)*Table1[[#This Row],[Quantity]]</f>
        <v>3600</v>
      </c>
      <c r="V662">
        <f>Table1[[#This Row],[Net_Sales]]-Table1[[#This Row],[Total_Cost]]</f>
        <v>7157.344000000001</v>
      </c>
      <c r="W662" t="str">
        <f>TEXT(Table1[[#This Row],[Order_Date]],"mmm")</f>
        <v>Apr</v>
      </c>
      <c r="X662">
        <f>ROUNDUP(MONTH(Table1[[#This Row],[Order_Date]])/3,0)</f>
        <v>2</v>
      </c>
      <c r="Y662">
        <f>YEAR(Table1[[#This Row],[Order_Date]])</f>
        <v>2024</v>
      </c>
    </row>
    <row r="663" spans="1:25" x14ac:dyDescent="0.25">
      <c r="A663" t="s">
        <v>2720</v>
      </c>
      <c r="B663" t="s">
        <v>2721</v>
      </c>
      <c r="C663" t="s">
        <v>2722</v>
      </c>
      <c r="D663" t="s">
        <v>2723</v>
      </c>
      <c r="E663" t="s">
        <v>48</v>
      </c>
      <c r="F663" t="s">
        <v>30</v>
      </c>
      <c r="G663" t="s">
        <v>139</v>
      </c>
      <c r="H663" t="s">
        <v>42</v>
      </c>
      <c r="I663" t="s">
        <v>51</v>
      </c>
      <c r="J663" t="s">
        <v>73</v>
      </c>
      <c r="K663">
        <v>2</v>
      </c>
      <c r="L663">
        <v>62.48</v>
      </c>
      <c r="M663" s="3">
        <v>0.05</v>
      </c>
      <c r="N663" t="str">
        <f>VLOOKUP(Table1[[#This Row],[Country]],REF_Country!$A$1:$D$11,2,FALSE)</f>
        <v>Southeast Asia</v>
      </c>
      <c r="O663" t="str">
        <f>VLOOKUP(Table1[[#This Row],[Country]],REF_Country!$A$1:$D$11,3,FALSE)</f>
        <v>SG</v>
      </c>
      <c r="P663">
        <f>VLOOKUP(Table1[[#This Row],[Country]],REF_Country!$A$1:$D$11,4,FALSE)</f>
        <v>7.0000000000000007E-2</v>
      </c>
      <c r="Q663">
        <f>VLOOKUP(Table1[[#This Row],[Category]],REF_Target!$A$1:$E$6,2,FALSE)</f>
        <v>40000</v>
      </c>
      <c r="R663">
        <f>Table1[[#This Row],[Quantity]]*Table1[[#This Row],[Unit_Price]]</f>
        <v>124.96</v>
      </c>
      <c r="S663">
        <f>Table1[[#This Row],[Gross_Sales]]*Table1[[#This Row],[Discount_Rate]]</f>
        <v>6.2480000000000002</v>
      </c>
      <c r="T663">
        <f>Table1[[#This Row],[Gross_Sales]]-Table1[[#This Row],[Discount_Amount]]</f>
        <v>118.71199999999999</v>
      </c>
      <c r="U663">
        <f>VLOOKUP(Table1[[#This Row],[Category]],REF_Cost!$A$1:$B$6,2,FALSE)*Table1[[#This Row],[Quantity]]</f>
        <v>240</v>
      </c>
      <c r="V663">
        <f>Table1[[#This Row],[Net_Sales]]-Table1[[#This Row],[Total_Cost]]</f>
        <v>-121.28800000000001</v>
      </c>
      <c r="W663" t="str">
        <f>TEXT(Table1[[#This Row],[Order_Date]],"mmm")</f>
        <v>Jul</v>
      </c>
      <c r="X663">
        <f>ROUNDUP(MONTH(Table1[[#This Row],[Order_Date]])/3,0)</f>
        <v>3</v>
      </c>
      <c r="Y663">
        <f>YEAR(Table1[[#This Row],[Order_Date]])</f>
        <v>2024</v>
      </c>
    </row>
    <row r="664" spans="1:25" x14ac:dyDescent="0.25">
      <c r="A664" t="s">
        <v>2724</v>
      </c>
      <c r="B664" t="s">
        <v>2725</v>
      </c>
      <c r="C664" t="s">
        <v>2726</v>
      </c>
      <c r="D664" t="s">
        <v>2727</v>
      </c>
      <c r="E664" t="s">
        <v>29</v>
      </c>
      <c r="F664" t="s">
        <v>84</v>
      </c>
      <c r="G664" t="s">
        <v>412</v>
      </c>
      <c r="H664" t="s">
        <v>72</v>
      </c>
      <c r="I664" t="s">
        <v>33</v>
      </c>
      <c r="J664" t="s">
        <v>126</v>
      </c>
      <c r="K664">
        <v>9</v>
      </c>
      <c r="L664">
        <v>1157.52</v>
      </c>
      <c r="M664" s="3">
        <v>0.05</v>
      </c>
      <c r="N664" t="str">
        <f>VLOOKUP(Table1[[#This Row],[Country]],REF_Country!$A$1:$D$11,2,FALSE)</f>
        <v>Southeast Asia</v>
      </c>
      <c r="O664" t="str">
        <f>VLOOKUP(Table1[[#This Row],[Country]],REF_Country!$A$1:$D$11,3,FALSE)</f>
        <v>VN</v>
      </c>
      <c r="P664">
        <f>VLOOKUP(Table1[[#This Row],[Country]],REF_Country!$A$1:$D$11,4,FALSE)</f>
        <v>0.1</v>
      </c>
      <c r="Q664">
        <f>VLOOKUP(Table1[[#This Row],[Category]],REF_Target!$A$1:$E$6,2,FALSE)</f>
        <v>30000</v>
      </c>
      <c r="R664">
        <f>Table1[[#This Row],[Quantity]]*Table1[[#This Row],[Unit_Price]]</f>
        <v>10417.68</v>
      </c>
      <c r="S664">
        <f>Table1[[#This Row],[Gross_Sales]]*Table1[[#This Row],[Discount_Rate]]</f>
        <v>520.88400000000001</v>
      </c>
      <c r="T664">
        <f>Table1[[#This Row],[Gross_Sales]]-Table1[[#This Row],[Discount_Amount]]</f>
        <v>9896.7960000000003</v>
      </c>
      <c r="U664">
        <f>VLOOKUP(Table1[[#This Row],[Category]],REF_Cost!$A$1:$B$6,2,FALSE)*Table1[[#This Row],[Quantity]]</f>
        <v>1800</v>
      </c>
      <c r="V664">
        <f>Table1[[#This Row],[Net_Sales]]-Table1[[#This Row],[Total_Cost]]</f>
        <v>8096.7960000000003</v>
      </c>
      <c r="W664" t="str">
        <f>TEXT(Table1[[#This Row],[Order_Date]],"mmm")</f>
        <v>Oct</v>
      </c>
      <c r="X664">
        <f>ROUNDUP(MONTH(Table1[[#This Row],[Order_Date]])/3,0)</f>
        <v>4</v>
      </c>
      <c r="Y664">
        <f>YEAR(Table1[[#This Row],[Order_Date]])</f>
        <v>2024</v>
      </c>
    </row>
    <row r="665" spans="1:25" x14ac:dyDescent="0.25">
      <c r="A665" t="s">
        <v>2728</v>
      </c>
      <c r="B665" t="s">
        <v>2729</v>
      </c>
      <c r="C665" t="s">
        <v>1504</v>
      </c>
      <c r="D665" t="s">
        <v>2730</v>
      </c>
      <c r="E665" t="s">
        <v>116</v>
      </c>
      <c r="F665" t="s">
        <v>56</v>
      </c>
      <c r="G665" t="s">
        <v>111</v>
      </c>
      <c r="H665" t="s">
        <v>32</v>
      </c>
      <c r="I665" t="s">
        <v>33</v>
      </c>
      <c r="J665" t="s">
        <v>126</v>
      </c>
      <c r="K665">
        <v>2</v>
      </c>
      <c r="L665">
        <v>920.34</v>
      </c>
      <c r="M665" s="3">
        <v>0.15</v>
      </c>
      <c r="N665" t="str">
        <f>VLOOKUP(Table1[[#This Row],[Country]],REF_Country!$A$1:$D$11,2,FALSE)</f>
        <v>Southeast Asia</v>
      </c>
      <c r="O665" t="str">
        <f>VLOOKUP(Table1[[#This Row],[Country]],REF_Country!$A$1:$D$11,3,FALSE)</f>
        <v>MY</v>
      </c>
      <c r="P665">
        <f>VLOOKUP(Table1[[#This Row],[Country]],REF_Country!$A$1:$D$11,4,FALSE)</f>
        <v>0.06</v>
      </c>
      <c r="Q665">
        <f>VLOOKUP(Table1[[#This Row],[Category]],REF_Target!$A$1:$E$6,2,FALSE)</f>
        <v>50000</v>
      </c>
      <c r="R665">
        <f>Table1[[#This Row],[Quantity]]*Table1[[#This Row],[Unit_Price]]</f>
        <v>1840.68</v>
      </c>
      <c r="S665">
        <f>Table1[[#This Row],[Gross_Sales]]*Table1[[#This Row],[Discount_Rate]]</f>
        <v>276.10199999999998</v>
      </c>
      <c r="T665">
        <f>Table1[[#This Row],[Gross_Sales]]-Table1[[#This Row],[Discount_Amount]]</f>
        <v>1564.578</v>
      </c>
      <c r="U665">
        <f>VLOOKUP(Table1[[#This Row],[Category]],REF_Cost!$A$1:$B$6,2,FALSE)*Table1[[#This Row],[Quantity]]</f>
        <v>900</v>
      </c>
      <c r="V665">
        <f>Table1[[#This Row],[Net_Sales]]-Table1[[#This Row],[Total_Cost]]</f>
        <v>664.57799999999997</v>
      </c>
      <c r="W665" t="str">
        <f>TEXT(Table1[[#This Row],[Order_Date]],"mmm")</f>
        <v>Aug</v>
      </c>
      <c r="X665">
        <f>ROUNDUP(MONTH(Table1[[#This Row],[Order_Date]])/3,0)</f>
        <v>3</v>
      </c>
      <c r="Y665">
        <f>YEAR(Table1[[#This Row],[Order_Date]])</f>
        <v>2024</v>
      </c>
    </row>
    <row r="666" spans="1:25" x14ac:dyDescent="0.25">
      <c r="A666" t="s">
        <v>2731</v>
      </c>
      <c r="B666" t="s">
        <v>2732</v>
      </c>
      <c r="C666" t="s">
        <v>2733</v>
      </c>
      <c r="D666" t="s">
        <v>2734</v>
      </c>
      <c r="E666" t="s">
        <v>39</v>
      </c>
      <c r="F666" t="s">
        <v>84</v>
      </c>
      <c r="G666" t="s">
        <v>85</v>
      </c>
      <c r="H666" t="s">
        <v>42</v>
      </c>
      <c r="I666" t="s">
        <v>51</v>
      </c>
      <c r="J666" t="s">
        <v>73</v>
      </c>
      <c r="K666">
        <v>8</v>
      </c>
      <c r="L666">
        <v>1096.5999999999999</v>
      </c>
      <c r="M666" s="3">
        <v>0.15</v>
      </c>
      <c r="N666" t="str">
        <f>VLOOKUP(Table1[[#This Row],[Country]],REF_Country!$A$1:$D$11,2,FALSE)</f>
        <v>Southeast Asia</v>
      </c>
      <c r="O666" t="str">
        <f>VLOOKUP(Table1[[#This Row],[Country]],REF_Country!$A$1:$D$11,3,FALSE)</f>
        <v>TH</v>
      </c>
      <c r="P666">
        <f>VLOOKUP(Table1[[#This Row],[Country]],REF_Country!$A$1:$D$11,4,FALSE)</f>
        <v>7.0000000000000007E-2</v>
      </c>
      <c r="Q666">
        <f>VLOOKUP(Table1[[#This Row],[Category]],REF_Target!$A$1:$E$6,2,FALSE)</f>
        <v>30000</v>
      </c>
      <c r="R666">
        <f>Table1[[#This Row],[Quantity]]*Table1[[#This Row],[Unit_Price]]</f>
        <v>8772.7999999999993</v>
      </c>
      <c r="S666">
        <f>Table1[[#This Row],[Gross_Sales]]*Table1[[#This Row],[Discount_Rate]]</f>
        <v>1315.9199999999998</v>
      </c>
      <c r="T666">
        <f>Table1[[#This Row],[Gross_Sales]]-Table1[[#This Row],[Discount_Amount]]</f>
        <v>7456.8799999999992</v>
      </c>
      <c r="U666">
        <f>VLOOKUP(Table1[[#This Row],[Category]],REF_Cost!$A$1:$B$6,2,FALSE)*Table1[[#This Row],[Quantity]]</f>
        <v>1600</v>
      </c>
      <c r="V666">
        <f>Table1[[#This Row],[Net_Sales]]-Table1[[#This Row],[Total_Cost]]</f>
        <v>5856.8799999999992</v>
      </c>
      <c r="W666" t="str">
        <f>TEXT(Table1[[#This Row],[Order_Date]],"mmm")</f>
        <v>Nov</v>
      </c>
      <c r="X666">
        <f>ROUNDUP(MONTH(Table1[[#This Row],[Order_Date]])/3,0)</f>
        <v>4</v>
      </c>
      <c r="Y666">
        <f>YEAR(Table1[[#This Row],[Order_Date]])</f>
        <v>2024</v>
      </c>
    </row>
    <row r="667" spans="1:25" x14ac:dyDescent="0.25">
      <c r="A667" t="s">
        <v>2735</v>
      </c>
      <c r="B667" t="s">
        <v>2736</v>
      </c>
      <c r="C667" t="s">
        <v>2737</v>
      </c>
      <c r="D667" t="s">
        <v>2738</v>
      </c>
      <c r="E667" t="s">
        <v>48</v>
      </c>
      <c r="F667" t="s">
        <v>56</v>
      </c>
      <c r="G667" t="s">
        <v>95</v>
      </c>
      <c r="H667" t="s">
        <v>72</v>
      </c>
      <c r="I667" t="s">
        <v>96</v>
      </c>
      <c r="J667" t="s">
        <v>59</v>
      </c>
      <c r="K667">
        <v>7</v>
      </c>
      <c r="L667">
        <v>667.08</v>
      </c>
      <c r="M667" s="3">
        <v>0</v>
      </c>
      <c r="N667" t="str">
        <f>VLOOKUP(Table1[[#This Row],[Country]],REF_Country!$A$1:$D$11,2,FALSE)</f>
        <v>Southeast Asia</v>
      </c>
      <c r="O667" t="str">
        <f>VLOOKUP(Table1[[#This Row],[Country]],REF_Country!$A$1:$D$11,3,FALSE)</f>
        <v>SG</v>
      </c>
      <c r="P667">
        <f>VLOOKUP(Table1[[#This Row],[Country]],REF_Country!$A$1:$D$11,4,FALSE)</f>
        <v>7.0000000000000007E-2</v>
      </c>
      <c r="Q667">
        <f>VLOOKUP(Table1[[#This Row],[Category]],REF_Target!$A$1:$E$6,2,FALSE)</f>
        <v>50000</v>
      </c>
      <c r="R667">
        <f>Table1[[#This Row],[Quantity]]*Table1[[#This Row],[Unit_Price]]</f>
        <v>4669.5600000000004</v>
      </c>
      <c r="S667">
        <f>Table1[[#This Row],[Gross_Sales]]*Table1[[#This Row],[Discount_Rate]]</f>
        <v>0</v>
      </c>
      <c r="T667">
        <f>Table1[[#This Row],[Gross_Sales]]-Table1[[#This Row],[Discount_Amount]]</f>
        <v>4669.5600000000004</v>
      </c>
      <c r="U667">
        <f>VLOOKUP(Table1[[#This Row],[Category]],REF_Cost!$A$1:$B$6,2,FALSE)*Table1[[#This Row],[Quantity]]</f>
        <v>3150</v>
      </c>
      <c r="V667">
        <f>Table1[[#This Row],[Net_Sales]]-Table1[[#This Row],[Total_Cost]]</f>
        <v>1519.5600000000004</v>
      </c>
      <c r="W667" t="str">
        <f>TEXT(Table1[[#This Row],[Order_Date]],"mmm")</f>
        <v>Jul</v>
      </c>
      <c r="X667">
        <f>ROUNDUP(MONTH(Table1[[#This Row],[Order_Date]])/3,0)</f>
        <v>3</v>
      </c>
      <c r="Y667">
        <f>YEAR(Table1[[#This Row],[Order_Date]])</f>
        <v>2024</v>
      </c>
    </row>
    <row r="668" spans="1:25" x14ac:dyDescent="0.25">
      <c r="A668" t="s">
        <v>2739</v>
      </c>
      <c r="B668" t="s">
        <v>2740</v>
      </c>
      <c r="C668" t="s">
        <v>2741</v>
      </c>
      <c r="D668" t="s">
        <v>2742</v>
      </c>
      <c r="E668" t="s">
        <v>29</v>
      </c>
      <c r="F668" t="s">
        <v>84</v>
      </c>
      <c r="G668" t="s">
        <v>264</v>
      </c>
      <c r="H668" t="s">
        <v>42</v>
      </c>
      <c r="I668" t="s">
        <v>43</v>
      </c>
      <c r="J668" t="s">
        <v>73</v>
      </c>
      <c r="K668">
        <v>4</v>
      </c>
      <c r="L668">
        <v>550.55999999999995</v>
      </c>
      <c r="M668" s="3">
        <v>0</v>
      </c>
      <c r="N668" t="str">
        <f>VLOOKUP(Table1[[#This Row],[Country]],REF_Country!$A$1:$D$11,2,FALSE)</f>
        <v>Southeast Asia</v>
      </c>
      <c r="O668" t="str">
        <f>VLOOKUP(Table1[[#This Row],[Country]],REF_Country!$A$1:$D$11,3,FALSE)</f>
        <v>VN</v>
      </c>
      <c r="P668">
        <f>VLOOKUP(Table1[[#This Row],[Country]],REF_Country!$A$1:$D$11,4,FALSE)</f>
        <v>0.1</v>
      </c>
      <c r="Q668">
        <f>VLOOKUP(Table1[[#This Row],[Category]],REF_Target!$A$1:$E$6,2,FALSE)</f>
        <v>30000</v>
      </c>
      <c r="R668">
        <f>Table1[[#This Row],[Quantity]]*Table1[[#This Row],[Unit_Price]]</f>
        <v>2202.2399999999998</v>
      </c>
      <c r="S668">
        <f>Table1[[#This Row],[Gross_Sales]]*Table1[[#This Row],[Discount_Rate]]</f>
        <v>0</v>
      </c>
      <c r="T668">
        <f>Table1[[#This Row],[Gross_Sales]]-Table1[[#This Row],[Discount_Amount]]</f>
        <v>2202.2399999999998</v>
      </c>
      <c r="U668">
        <f>VLOOKUP(Table1[[#This Row],[Category]],REF_Cost!$A$1:$B$6,2,FALSE)*Table1[[#This Row],[Quantity]]</f>
        <v>800</v>
      </c>
      <c r="V668">
        <f>Table1[[#This Row],[Net_Sales]]-Table1[[#This Row],[Total_Cost]]</f>
        <v>1402.2399999999998</v>
      </c>
      <c r="W668" t="str">
        <f>TEXT(Table1[[#This Row],[Order_Date]],"mmm")</f>
        <v>Sep</v>
      </c>
      <c r="X668">
        <f>ROUNDUP(MONTH(Table1[[#This Row],[Order_Date]])/3,0)</f>
        <v>3</v>
      </c>
      <c r="Y668">
        <f>YEAR(Table1[[#This Row],[Order_Date]])</f>
        <v>2024</v>
      </c>
    </row>
    <row r="669" spans="1:25" x14ac:dyDescent="0.25">
      <c r="A669" t="s">
        <v>2743</v>
      </c>
      <c r="B669" t="s">
        <v>2744</v>
      </c>
      <c r="C669" t="s">
        <v>2745</v>
      </c>
      <c r="D669" t="s">
        <v>2746</v>
      </c>
      <c r="E669" t="s">
        <v>200</v>
      </c>
      <c r="F669" t="s">
        <v>40</v>
      </c>
      <c r="G669" t="s">
        <v>315</v>
      </c>
      <c r="H669" t="s">
        <v>32</v>
      </c>
      <c r="I669" t="s">
        <v>33</v>
      </c>
      <c r="J669" t="s">
        <v>126</v>
      </c>
      <c r="K669">
        <v>8</v>
      </c>
      <c r="L669">
        <v>1416.45</v>
      </c>
      <c r="M669" s="3">
        <v>0</v>
      </c>
      <c r="N669" t="str">
        <f>VLOOKUP(Table1[[#This Row],[Country]],REF_Country!$A$1:$D$11,2,FALSE)</f>
        <v>East Asia</v>
      </c>
      <c r="O669" t="str">
        <f>VLOOKUP(Table1[[#This Row],[Country]],REF_Country!$A$1:$D$11,3,FALSE)</f>
        <v>KR</v>
      </c>
      <c r="P669">
        <f>VLOOKUP(Table1[[#This Row],[Country]],REF_Country!$A$1:$D$11,4,FALSE)</f>
        <v>0.1</v>
      </c>
      <c r="Q669">
        <f>VLOOKUP(Table1[[#This Row],[Category]],REF_Target!$A$1:$E$6,2,FALSE)</f>
        <v>45000</v>
      </c>
      <c r="R669">
        <f>Table1[[#This Row],[Quantity]]*Table1[[#This Row],[Unit_Price]]</f>
        <v>11331.6</v>
      </c>
      <c r="S669">
        <f>Table1[[#This Row],[Gross_Sales]]*Table1[[#This Row],[Discount_Rate]]</f>
        <v>0</v>
      </c>
      <c r="T669">
        <f>Table1[[#This Row],[Gross_Sales]]-Table1[[#This Row],[Discount_Amount]]</f>
        <v>11331.6</v>
      </c>
      <c r="U669">
        <f>VLOOKUP(Table1[[#This Row],[Category]],REF_Cost!$A$1:$B$6,2,FALSE)*Table1[[#This Row],[Quantity]]</f>
        <v>640</v>
      </c>
      <c r="V669">
        <f>Table1[[#This Row],[Net_Sales]]-Table1[[#This Row],[Total_Cost]]</f>
        <v>10691.6</v>
      </c>
      <c r="W669" t="str">
        <f>TEXT(Table1[[#This Row],[Order_Date]],"mmm")</f>
        <v>Jul</v>
      </c>
      <c r="X669">
        <f>ROUNDUP(MONTH(Table1[[#This Row],[Order_Date]])/3,0)</f>
        <v>3</v>
      </c>
      <c r="Y669">
        <f>YEAR(Table1[[#This Row],[Order_Date]])</f>
        <v>2024</v>
      </c>
    </row>
    <row r="670" spans="1:25" x14ac:dyDescent="0.25">
      <c r="A670" t="s">
        <v>2747</v>
      </c>
      <c r="B670" t="s">
        <v>2748</v>
      </c>
      <c r="C670" t="s">
        <v>2749</v>
      </c>
      <c r="D670" t="s">
        <v>2750</v>
      </c>
      <c r="E670" t="s">
        <v>48</v>
      </c>
      <c r="F670" t="s">
        <v>49</v>
      </c>
      <c r="G670" t="s">
        <v>117</v>
      </c>
      <c r="H670" t="s">
        <v>72</v>
      </c>
      <c r="I670" t="s">
        <v>33</v>
      </c>
      <c r="J670" t="s">
        <v>126</v>
      </c>
      <c r="K670">
        <v>1</v>
      </c>
      <c r="L670">
        <v>599</v>
      </c>
      <c r="M670" s="3">
        <v>0.2</v>
      </c>
      <c r="N670" t="str">
        <f>VLOOKUP(Table1[[#This Row],[Country]],REF_Country!$A$1:$D$11,2,FALSE)</f>
        <v>Southeast Asia</v>
      </c>
      <c r="O670" t="str">
        <f>VLOOKUP(Table1[[#This Row],[Country]],REF_Country!$A$1:$D$11,3,FALSE)</f>
        <v>SG</v>
      </c>
      <c r="P670">
        <f>VLOOKUP(Table1[[#This Row],[Country]],REF_Country!$A$1:$D$11,4,FALSE)</f>
        <v>7.0000000000000007E-2</v>
      </c>
      <c r="Q670">
        <f>VLOOKUP(Table1[[#This Row],[Category]],REF_Target!$A$1:$E$6,2,FALSE)</f>
        <v>35000</v>
      </c>
      <c r="R670">
        <f>Table1[[#This Row],[Quantity]]*Table1[[#This Row],[Unit_Price]]</f>
        <v>599</v>
      </c>
      <c r="S670">
        <f>Table1[[#This Row],[Gross_Sales]]*Table1[[#This Row],[Discount_Rate]]</f>
        <v>119.80000000000001</v>
      </c>
      <c r="T670">
        <f>Table1[[#This Row],[Gross_Sales]]-Table1[[#This Row],[Discount_Amount]]</f>
        <v>479.2</v>
      </c>
      <c r="U670">
        <f>VLOOKUP(Table1[[#This Row],[Category]],REF_Cost!$A$1:$B$6,2,FALSE)*Table1[[#This Row],[Quantity]]</f>
        <v>150</v>
      </c>
      <c r="V670">
        <f>Table1[[#This Row],[Net_Sales]]-Table1[[#This Row],[Total_Cost]]</f>
        <v>329.2</v>
      </c>
      <c r="W670" t="str">
        <f>TEXT(Table1[[#This Row],[Order_Date]],"mmm")</f>
        <v>Jun</v>
      </c>
      <c r="X670">
        <f>ROUNDUP(MONTH(Table1[[#This Row],[Order_Date]])/3,0)</f>
        <v>2</v>
      </c>
      <c r="Y670">
        <f>YEAR(Table1[[#This Row],[Order_Date]])</f>
        <v>2024</v>
      </c>
    </row>
    <row r="671" spans="1:25" x14ac:dyDescent="0.25">
      <c r="A671" t="s">
        <v>2751</v>
      </c>
      <c r="B671" t="s">
        <v>2752</v>
      </c>
      <c r="C671" t="s">
        <v>2753</v>
      </c>
      <c r="D671" t="s">
        <v>2754</v>
      </c>
      <c r="E671" t="s">
        <v>149</v>
      </c>
      <c r="F671" t="s">
        <v>49</v>
      </c>
      <c r="G671" t="s">
        <v>259</v>
      </c>
      <c r="H671" t="s">
        <v>32</v>
      </c>
      <c r="I671" t="s">
        <v>66</v>
      </c>
      <c r="J671" t="s">
        <v>73</v>
      </c>
      <c r="K671">
        <v>6</v>
      </c>
      <c r="L671">
        <v>1312.22</v>
      </c>
      <c r="M671" s="3">
        <v>0.05</v>
      </c>
      <c r="N671" t="str">
        <f>VLOOKUP(Table1[[#This Row],[Country]],REF_Country!$A$1:$D$11,2,FALSE)</f>
        <v>East Asia</v>
      </c>
      <c r="O671" t="str">
        <f>VLOOKUP(Table1[[#This Row],[Country]],REF_Country!$A$1:$D$11,3,FALSE)</f>
        <v>JP</v>
      </c>
      <c r="P671">
        <f>VLOOKUP(Table1[[#This Row],[Country]],REF_Country!$A$1:$D$11,4,FALSE)</f>
        <v>0.1</v>
      </c>
      <c r="Q671">
        <f>VLOOKUP(Table1[[#This Row],[Category]],REF_Target!$A$1:$E$6,2,FALSE)</f>
        <v>35000</v>
      </c>
      <c r="R671">
        <f>Table1[[#This Row],[Quantity]]*Table1[[#This Row],[Unit_Price]]</f>
        <v>7873.32</v>
      </c>
      <c r="S671">
        <f>Table1[[#This Row],[Gross_Sales]]*Table1[[#This Row],[Discount_Rate]]</f>
        <v>393.666</v>
      </c>
      <c r="T671">
        <f>Table1[[#This Row],[Gross_Sales]]-Table1[[#This Row],[Discount_Amount]]</f>
        <v>7479.6539999999995</v>
      </c>
      <c r="U671">
        <f>VLOOKUP(Table1[[#This Row],[Category]],REF_Cost!$A$1:$B$6,2,FALSE)*Table1[[#This Row],[Quantity]]</f>
        <v>900</v>
      </c>
      <c r="V671">
        <f>Table1[[#This Row],[Net_Sales]]-Table1[[#This Row],[Total_Cost]]</f>
        <v>6579.6539999999995</v>
      </c>
      <c r="W671" t="str">
        <f>TEXT(Table1[[#This Row],[Order_Date]],"mmm")</f>
        <v>Dec</v>
      </c>
      <c r="X671">
        <f>ROUNDUP(MONTH(Table1[[#This Row],[Order_Date]])/3,0)</f>
        <v>4</v>
      </c>
      <c r="Y671">
        <f>YEAR(Table1[[#This Row],[Order_Date]])</f>
        <v>2024</v>
      </c>
    </row>
    <row r="672" spans="1:25" x14ac:dyDescent="0.25">
      <c r="A672" t="s">
        <v>2755</v>
      </c>
      <c r="B672" t="s">
        <v>2756</v>
      </c>
      <c r="C672" t="s">
        <v>572</v>
      </c>
      <c r="D672" t="s">
        <v>2757</v>
      </c>
      <c r="E672" t="s">
        <v>78</v>
      </c>
      <c r="F672" t="s">
        <v>40</v>
      </c>
      <c r="G672" t="s">
        <v>41</v>
      </c>
      <c r="H672" t="s">
        <v>42</v>
      </c>
      <c r="I672" t="s">
        <v>43</v>
      </c>
      <c r="J672" t="s">
        <v>59</v>
      </c>
      <c r="K672">
        <v>6</v>
      </c>
      <c r="L672">
        <v>983.28</v>
      </c>
      <c r="M672" s="3">
        <v>0.2</v>
      </c>
      <c r="N672" t="str">
        <f>VLOOKUP(Table1[[#This Row],[Country]],REF_Country!$A$1:$D$11,2,FALSE)</f>
        <v>Oceania</v>
      </c>
      <c r="O672" t="str">
        <f>VLOOKUP(Table1[[#This Row],[Country]],REF_Country!$A$1:$D$11,3,FALSE)</f>
        <v>AU</v>
      </c>
      <c r="P672">
        <f>VLOOKUP(Table1[[#This Row],[Country]],REF_Country!$A$1:$D$11,4,FALSE)</f>
        <v>0.1</v>
      </c>
      <c r="Q672">
        <f>VLOOKUP(Table1[[#This Row],[Category]],REF_Target!$A$1:$E$6,2,FALSE)</f>
        <v>45000</v>
      </c>
      <c r="R672">
        <f>Table1[[#This Row],[Quantity]]*Table1[[#This Row],[Unit_Price]]</f>
        <v>5899.68</v>
      </c>
      <c r="S672">
        <f>Table1[[#This Row],[Gross_Sales]]*Table1[[#This Row],[Discount_Rate]]</f>
        <v>1179.9360000000001</v>
      </c>
      <c r="T672">
        <f>Table1[[#This Row],[Gross_Sales]]-Table1[[#This Row],[Discount_Amount]]</f>
        <v>4719.7440000000006</v>
      </c>
      <c r="U672">
        <f>VLOOKUP(Table1[[#This Row],[Category]],REF_Cost!$A$1:$B$6,2,FALSE)*Table1[[#This Row],[Quantity]]</f>
        <v>480</v>
      </c>
      <c r="V672">
        <f>Table1[[#This Row],[Net_Sales]]-Table1[[#This Row],[Total_Cost]]</f>
        <v>4239.7440000000006</v>
      </c>
      <c r="W672" t="str">
        <f>TEXT(Table1[[#This Row],[Order_Date]],"mmm")</f>
        <v>Aug</v>
      </c>
      <c r="X672">
        <f>ROUNDUP(MONTH(Table1[[#This Row],[Order_Date]])/3,0)</f>
        <v>3</v>
      </c>
      <c r="Y672">
        <f>YEAR(Table1[[#This Row],[Order_Date]])</f>
        <v>2024</v>
      </c>
    </row>
    <row r="673" spans="1:25" x14ac:dyDescent="0.25">
      <c r="A673" t="s">
        <v>2758</v>
      </c>
      <c r="B673" t="s">
        <v>2759</v>
      </c>
      <c r="C673" t="s">
        <v>2760</v>
      </c>
      <c r="D673" t="s">
        <v>2761</v>
      </c>
      <c r="E673" t="s">
        <v>149</v>
      </c>
      <c r="F673" t="s">
        <v>30</v>
      </c>
      <c r="G673" t="s">
        <v>139</v>
      </c>
      <c r="H673" t="s">
        <v>32</v>
      </c>
      <c r="I673" t="s">
        <v>33</v>
      </c>
      <c r="J673" t="s">
        <v>59</v>
      </c>
      <c r="K673">
        <v>5</v>
      </c>
      <c r="L673">
        <v>1488.01</v>
      </c>
      <c r="M673" s="3">
        <v>0</v>
      </c>
      <c r="N673" t="str">
        <f>VLOOKUP(Table1[[#This Row],[Country]],REF_Country!$A$1:$D$11,2,FALSE)</f>
        <v>East Asia</v>
      </c>
      <c r="O673" t="str">
        <f>VLOOKUP(Table1[[#This Row],[Country]],REF_Country!$A$1:$D$11,3,FALSE)</f>
        <v>JP</v>
      </c>
      <c r="P673">
        <f>VLOOKUP(Table1[[#This Row],[Country]],REF_Country!$A$1:$D$11,4,FALSE)</f>
        <v>0.1</v>
      </c>
      <c r="Q673">
        <f>VLOOKUP(Table1[[#This Row],[Category]],REF_Target!$A$1:$E$6,2,FALSE)</f>
        <v>40000</v>
      </c>
      <c r="R673">
        <f>Table1[[#This Row],[Quantity]]*Table1[[#This Row],[Unit_Price]]</f>
        <v>7440.05</v>
      </c>
      <c r="S673">
        <f>Table1[[#This Row],[Gross_Sales]]*Table1[[#This Row],[Discount_Rate]]</f>
        <v>0</v>
      </c>
      <c r="T673">
        <f>Table1[[#This Row],[Gross_Sales]]-Table1[[#This Row],[Discount_Amount]]</f>
        <v>7440.05</v>
      </c>
      <c r="U673">
        <f>VLOOKUP(Table1[[#This Row],[Category]],REF_Cost!$A$1:$B$6,2,FALSE)*Table1[[#This Row],[Quantity]]</f>
        <v>600</v>
      </c>
      <c r="V673">
        <f>Table1[[#This Row],[Net_Sales]]-Table1[[#This Row],[Total_Cost]]</f>
        <v>6840.05</v>
      </c>
      <c r="W673" t="str">
        <f>TEXT(Table1[[#This Row],[Order_Date]],"mmm")</f>
        <v>Jan</v>
      </c>
      <c r="X673">
        <f>ROUNDUP(MONTH(Table1[[#This Row],[Order_Date]])/3,0)</f>
        <v>1</v>
      </c>
      <c r="Y673">
        <f>YEAR(Table1[[#This Row],[Order_Date]])</f>
        <v>2024</v>
      </c>
    </row>
    <row r="674" spans="1:25" x14ac:dyDescent="0.25">
      <c r="A674" t="s">
        <v>2762</v>
      </c>
      <c r="B674" t="s">
        <v>2763</v>
      </c>
      <c r="C674" t="s">
        <v>2764</v>
      </c>
      <c r="D674" t="s">
        <v>2765</v>
      </c>
      <c r="E674" t="s">
        <v>64</v>
      </c>
      <c r="F674" t="s">
        <v>56</v>
      </c>
      <c r="G674" t="s">
        <v>111</v>
      </c>
      <c r="H674" t="s">
        <v>42</v>
      </c>
      <c r="I674" t="s">
        <v>33</v>
      </c>
      <c r="J674" t="s">
        <v>126</v>
      </c>
      <c r="K674">
        <v>4</v>
      </c>
      <c r="L674">
        <v>894.87</v>
      </c>
      <c r="M674" s="3">
        <v>0.05</v>
      </c>
      <c r="N674" t="str">
        <f>VLOOKUP(Table1[[#This Row],[Country]],REF_Country!$A$1:$D$11,2,FALSE)</f>
        <v>Southeast Asia</v>
      </c>
      <c r="O674" t="str">
        <f>VLOOKUP(Table1[[#This Row],[Country]],REF_Country!$A$1:$D$11,3,FALSE)</f>
        <v>ID</v>
      </c>
      <c r="P674">
        <f>VLOOKUP(Table1[[#This Row],[Country]],REF_Country!$A$1:$D$11,4,FALSE)</f>
        <v>0.11</v>
      </c>
      <c r="Q674">
        <f>VLOOKUP(Table1[[#This Row],[Category]],REF_Target!$A$1:$E$6,2,FALSE)</f>
        <v>50000</v>
      </c>
      <c r="R674">
        <f>Table1[[#This Row],[Quantity]]*Table1[[#This Row],[Unit_Price]]</f>
        <v>3579.48</v>
      </c>
      <c r="S674">
        <f>Table1[[#This Row],[Gross_Sales]]*Table1[[#This Row],[Discount_Rate]]</f>
        <v>178.97400000000002</v>
      </c>
      <c r="T674">
        <f>Table1[[#This Row],[Gross_Sales]]-Table1[[#This Row],[Discount_Amount]]</f>
        <v>3400.5059999999999</v>
      </c>
      <c r="U674">
        <f>VLOOKUP(Table1[[#This Row],[Category]],REF_Cost!$A$1:$B$6,2,FALSE)*Table1[[#This Row],[Quantity]]</f>
        <v>1800</v>
      </c>
      <c r="V674">
        <f>Table1[[#This Row],[Net_Sales]]-Table1[[#This Row],[Total_Cost]]</f>
        <v>1600.5059999999999</v>
      </c>
      <c r="W674" t="str">
        <f>TEXT(Table1[[#This Row],[Order_Date]],"mmm")</f>
        <v>Jun</v>
      </c>
      <c r="X674">
        <f>ROUNDUP(MONTH(Table1[[#This Row],[Order_Date]])/3,0)</f>
        <v>2</v>
      </c>
      <c r="Y674">
        <f>YEAR(Table1[[#This Row],[Order_Date]])</f>
        <v>2024</v>
      </c>
    </row>
    <row r="675" spans="1:25" x14ac:dyDescent="0.25">
      <c r="A675" t="s">
        <v>2766</v>
      </c>
      <c r="B675" t="s">
        <v>2767</v>
      </c>
      <c r="C675" t="s">
        <v>2188</v>
      </c>
      <c r="D675" t="s">
        <v>2768</v>
      </c>
      <c r="E675" t="s">
        <v>78</v>
      </c>
      <c r="F675" t="s">
        <v>84</v>
      </c>
      <c r="G675" t="s">
        <v>205</v>
      </c>
      <c r="H675" t="s">
        <v>58</v>
      </c>
      <c r="I675" t="s">
        <v>33</v>
      </c>
      <c r="J675" t="s">
        <v>126</v>
      </c>
      <c r="K675">
        <v>2</v>
      </c>
      <c r="L675">
        <v>85.88</v>
      </c>
      <c r="M675" s="3">
        <v>0.1</v>
      </c>
      <c r="N675" t="str">
        <f>VLOOKUP(Table1[[#This Row],[Country]],REF_Country!$A$1:$D$11,2,FALSE)</f>
        <v>Oceania</v>
      </c>
      <c r="O675" t="str">
        <f>VLOOKUP(Table1[[#This Row],[Country]],REF_Country!$A$1:$D$11,3,FALSE)</f>
        <v>AU</v>
      </c>
      <c r="P675">
        <f>VLOOKUP(Table1[[#This Row],[Country]],REF_Country!$A$1:$D$11,4,FALSE)</f>
        <v>0.1</v>
      </c>
      <c r="Q675">
        <f>VLOOKUP(Table1[[#This Row],[Category]],REF_Target!$A$1:$E$6,2,FALSE)</f>
        <v>30000</v>
      </c>
      <c r="R675">
        <f>Table1[[#This Row],[Quantity]]*Table1[[#This Row],[Unit_Price]]</f>
        <v>171.76</v>
      </c>
      <c r="S675">
        <f>Table1[[#This Row],[Gross_Sales]]*Table1[[#This Row],[Discount_Rate]]</f>
        <v>17.175999999999998</v>
      </c>
      <c r="T675">
        <f>Table1[[#This Row],[Gross_Sales]]-Table1[[#This Row],[Discount_Amount]]</f>
        <v>154.584</v>
      </c>
      <c r="U675">
        <f>VLOOKUP(Table1[[#This Row],[Category]],REF_Cost!$A$1:$B$6,2,FALSE)*Table1[[#This Row],[Quantity]]</f>
        <v>400</v>
      </c>
      <c r="V675">
        <f>Table1[[#This Row],[Net_Sales]]-Table1[[#This Row],[Total_Cost]]</f>
        <v>-245.416</v>
      </c>
      <c r="W675" t="str">
        <f>TEXT(Table1[[#This Row],[Order_Date]],"mmm")</f>
        <v>Jul</v>
      </c>
      <c r="X675">
        <f>ROUNDUP(MONTH(Table1[[#This Row],[Order_Date]])/3,0)</f>
        <v>3</v>
      </c>
      <c r="Y675">
        <f>YEAR(Table1[[#This Row],[Order_Date]])</f>
        <v>2024</v>
      </c>
    </row>
    <row r="676" spans="1:25" x14ac:dyDescent="0.25">
      <c r="A676" t="s">
        <v>2769</v>
      </c>
      <c r="B676" t="s">
        <v>2770</v>
      </c>
      <c r="C676" t="s">
        <v>2771</v>
      </c>
      <c r="D676" t="s">
        <v>2772</v>
      </c>
      <c r="E676" t="s">
        <v>83</v>
      </c>
      <c r="F676" t="s">
        <v>40</v>
      </c>
      <c r="G676" t="s">
        <v>41</v>
      </c>
      <c r="H676" t="s">
        <v>58</v>
      </c>
      <c r="I676" t="s">
        <v>66</v>
      </c>
      <c r="J676" t="s">
        <v>73</v>
      </c>
      <c r="K676">
        <v>4</v>
      </c>
      <c r="L676">
        <v>1269.08</v>
      </c>
      <c r="M676" s="3">
        <v>0.05</v>
      </c>
      <c r="N676" t="str">
        <f>VLOOKUP(Table1[[#This Row],[Country]],REF_Country!$A$1:$D$11,2,FALSE)</f>
        <v>South Asia</v>
      </c>
      <c r="O676" t="str">
        <f>VLOOKUP(Table1[[#This Row],[Country]],REF_Country!$A$1:$D$11,3,FALSE)</f>
        <v>IN</v>
      </c>
      <c r="P676">
        <f>VLOOKUP(Table1[[#This Row],[Country]],REF_Country!$A$1:$D$11,4,FALSE)</f>
        <v>0.18</v>
      </c>
      <c r="Q676">
        <f>VLOOKUP(Table1[[#This Row],[Category]],REF_Target!$A$1:$E$6,2,FALSE)</f>
        <v>45000</v>
      </c>
      <c r="R676">
        <f>Table1[[#This Row],[Quantity]]*Table1[[#This Row],[Unit_Price]]</f>
        <v>5076.32</v>
      </c>
      <c r="S676">
        <f>Table1[[#This Row],[Gross_Sales]]*Table1[[#This Row],[Discount_Rate]]</f>
        <v>253.816</v>
      </c>
      <c r="T676">
        <f>Table1[[#This Row],[Gross_Sales]]-Table1[[#This Row],[Discount_Amount]]</f>
        <v>4822.5039999999999</v>
      </c>
      <c r="U676">
        <f>VLOOKUP(Table1[[#This Row],[Category]],REF_Cost!$A$1:$B$6,2,FALSE)*Table1[[#This Row],[Quantity]]</f>
        <v>320</v>
      </c>
      <c r="V676">
        <f>Table1[[#This Row],[Net_Sales]]-Table1[[#This Row],[Total_Cost]]</f>
        <v>4502.5039999999999</v>
      </c>
      <c r="W676" t="str">
        <f>TEXT(Table1[[#This Row],[Order_Date]],"mmm")</f>
        <v>Jun</v>
      </c>
      <c r="X676">
        <f>ROUNDUP(MONTH(Table1[[#This Row],[Order_Date]])/3,0)</f>
        <v>2</v>
      </c>
      <c r="Y676">
        <f>YEAR(Table1[[#This Row],[Order_Date]])</f>
        <v>2024</v>
      </c>
    </row>
    <row r="677" spans="1:25" x14ac:dyDescent="0.25">
      <c r="A677" t="s">
        <v>2773</v>
      </c>
      <c r="B677" t="s">
        <v>2774</v>
      </c>
      <c r="C677" t="s">
        <v>2775</v>
      </c>
      <c r="D677" t="s">
        <v>2776</v>
      </c>
      <c r="E677" t="s">
        <v>116</v>
      </c>
      <c r="F677" t="s">
        <v>84</v>
      </c>
      <c r="G677" t="s">
        <v>90</v>
      </c>
      <c r="H677" t="s">
        <v>32</v>
      </c>
      <c r="I677" t="s">
        <v>43</v>
      </c>
      <c r="J677" t="s">
        <v>34</v>
      </c>
      <c r="K677">
        <v>6</v>
      </c>
      <c r="L677">
        <v>879.82</v>
      </c>
      <c r="M677" s="3">
        <v>0.1</v>
      </c>
      <c r="N677" t="str">
        <f>VLOOKUP(Table1[[#This Row],[Country]],REF_Country!$A$1:$D$11,2,FALSE)</f>
        <v>Southeast Asia</v>
      </c>
      <c r="O677" t="str">
        <f>VLOOKUP(Table1[[#This Row],[Country]],REF_Country!$A$1:$D$11,3,FALSE)</f>
        <v>MY</v>
      </c>
      <c r="P677">
        <f>VLOOKUP(Table1[[#This Row],[Country]],REF_Country!$A$1:$D$11,4,FALSE)</f>
        <v>0.06</v>
      </c>
      <c r="Q677">
        <f>VLOOKUP(Table1[[#This Row],[Category]],REF_Target!$A$1:$E$6,2,FALSE)</f>
        <v>30000</v>
      </c>
      <c r="R677">
        <f>Table1[[#This Row],[Quantity]]*Table1[[#This Row],[Unit_Price]]</f>
        <v>5278.92</v>
      </c>
      <c r="S677">
        <f>Table1[[#This Row],[Gross_Sales]]*Table1[[#This Row],[Discount_Rate]]</f>
        <v>527.89200000000005</v>
      </c>
      <c r="T677">
        <f>Table1[[#This Row],[Gross_Sales]]-Table1[[#This Row],[Discount_Amount]]</f>
        <v>4751.0280000000002</v>
      </c>
      <c r="U677">
        <f>VLOOKUP(Table1[[#This Row],[Category]],REF_Cost!$A$1:$B$6,2,FALSE)*Table1[[#This Row],[Quantity]]</f>
        <v>1200</v>
      </c>
      <c r="V677">
        <f>Table1[[#This Row],[Net_Sales]]-Table1[[#This Row],[Total_Cost]]</f>
        <v>3551.0280000000002</v>
      </c>
      <c r="W677" t="str">
        <f>TEXT(Table1[[#This Row],[Order_Date]],"mmm")</f>
        <v>Sep</v>
      </c>
      <c r="X677">
        <f>ROUNDUP(MONTH(Table1[[#This Row],[Order_Date]])/3,0)</f>
        <v>3</v>
      </c>
      <c r="Y677">
        <f>YEAR(Table1[[#This Row],[Order_Date]])</f>
        <v>2024</v>
      </c>
    </row>
    <row r="678" spans="1:25" x14ac:dyDescent="0.25">
      <c r="A678" t="s">
        <v>2777</v>
      </c>
      <c r="B678" t="s">
        <v>2778</v>
      </c>
      <c r="C678" t="s">
        <v>2779</v>
      </c>
      <c r="D678" t="s">
        <v>2780</v>
      </c>
      <c r="E678" t="s">
        <v>149</v>
      </c>
      <c r="F678" t="s">
        <v>30</v>
      </c>
      <c r="G678" t="s">
        <v>195</v>
      </c>
      <c r="H678" t="s">
        <v>42</v>
      </c>
      <c r="I678" t="s">
        <v>33</v>
      </c>
      <c r="J678" t="s">
        <v>34</v>
      </c>
      <c r="K678">
        <v>2</v>
      </c>
      <c r="L678">
        <v>333.95</v>
      </c>
      <c r="M678" s="3">
        <v>0.05</v>
      </c>
      <c r="N678" t="str">
        <f>VLOOKUP(Table1[[#This Row],[Country]],REF_Country!$A$1:$D$11,2,FALSE)</f>
        <v>East Asia</v>
      </c>
      <c r="O678" t="str">
        <f>VLOOKUP(Table1[[#This Row],[Country]],REF_Country!$A$1:$D$11,3,FALSE)</f>
        <v>JP</v>
      </c>
      <c r="P678">
        <f>VLOOKUP(Table1[[#This Row],[Country]],REF_Country!$A$1:$D$11,4,FALSE)</f>
        <v>0.1</v>
      </c>
      <c r="Q678">
        <f>VLOOKUP(Table1[[#This Row],[Category]],REF_Target!$A$1:$E$6,2,FALSE)</f>
        <v>40000</v>
      </c>
      <c r="R678">
        <f>Table1[[#This Row],[Quantity]]*Table1[[#This Row],[Unit_Price]]</f>
        <v>667.9</v>
      </c>
      <c r="S678">
        <f>Table1[[#This Row],[Gross_Sales]]*Table1[[#This Row],[Discount_Rate]]</f>
        <v>33.395000000000003</v>
      </c>
      <c r="T678">
        <f>Table1[[#This Row],[Gross_Sales]]-Table1[[#This Row],[Discount_Amount]]</f>
        <v>634.505</v>
      </c>
      <c r="U678">
        <f>VLOOKUP(Table1[[#This Row],[Category]],REF_Cost!$A$1:$B$6,2,FALSE)*Table1[[#This Row],[Quantity]]</f>
        <v>240</v>
      </c>
      <c r="V678">
        <f>Table1[[#This Row],[Net_Sales]]-Table1[[#This Row],[Total_Cost]]</f>
        <v>394.505</v>
      </c>
      <c r="W678" t="str">
        <f>TEXT(Table1[[#This Row],[Order_Date]],"mmm")</f>
        <v>Feb</v>
      </c>
      <c r="X678">
        <f>ROUNDUP(MONTH(Table1[[#This Row],[Order_Date]])/3,0)</f>
        <v>1</v>
      </c>
      <c r="Y678">
        <f>YEAR(Table1[[#This Row],[Order_Date]])</f>
        <v>2024</v>
      </c>
    </row>
    <row r="679" spans="1:25" x14ac:dyDescent="0.25">
      <c r="A679" t="s">
        <v>2781</v>
      </c>
      <c r="B679" t="s">
        <v>2782</v>
      </c>
      <c r="C679" t="s">
        <v>2783</v>
      </c>
      <c r="D679" t="s">
        <v>2784</v>
      </c>
      <c r="E679" t="s">
        <v>149</v>
      </c>
      <c r="F679" t="s">
        <v>49</v>
      </c>
      <c r="G679" t="s">
        <v>226</v>
      </c>
      <c r="H679" t="s">
        <v>72</v>
      </c>
      <c r="I679" t="s">
        <v>33</v>
      </c>
      <c r="J679" t="s">
        <v>73</v>
      </c>
      <c r="K679">
        <v>7</v>
      </c>
      <c r="L679">
        <v>1101.5999999999999</v>
      </c>
      <c r="M679" s="3">
        <v>0</v>
      </c>
      <c r="N679" t="str">
        <f>VLOOKUP(Table1[[#This Row],[Country]],REF_Country!$A$1:$D$11,2,FALSE)</f>
        <v>East Asia</v>
      </c>
      <c r="O679" t="str">
        <f>VLOOKUP(Table1[[#This Row],[Country]],REF_Country!$A$1:$D$11,3,FALSE)</f>
        <v>JP</v>
      </c>
      <c r="P679">
        <f>VLOOKUP(Table1[[#This Row],[Country]],REF_Country!$A$1:$D$11,4,FALSE)</f>
        <v>0.1</v>
      </c>
      <c r="Q679">
        <f>VLOOKUP(Table1[[#This Row],[Category]],REF_Target!$A$1:$E$6,2,FALSE)</f>
        <v>35000</v>
      </c>
      <c r="R679">
        <f>Table1[[#This Row],[Quantity]]*Table1[[#This Row],[Unit_Price]]</f>
        <v>7711.1999999999989</v>
      </c>
      <c r="S679">
        <f>Table1[[#This Row],[Gross_Sales]]*Table1[[#This Row],[Discount_Rate]]</f>
        <v>0</v>
      </c>
      <c r="T679">
        <f>Table1[[#This Row],[Gross_Sales]]-Table1[[#This Row],[Discount_Amount]]</f>
        <v>7711.1999999999989</v>
      </c>
      <c r="U679">
        <f>VLOOKUP(Table1[[#This Row],[Category]],REF_Cost!$A$1:$B$6,2,FALSE)*Table1[[#This Row],[Quantity]]</f>
        <v>1050</v>
      </c>
      <c r="V679">
        <f>Table1[[#This Row],[Net_Sales]]-Table1[[#This Row],[Total_Cost]]</f>
        <v>6661.1999999999989</v>
      </c>
      <c r="W679" t="str">
        <f>TEXT(Table1[[#This Row],[Order_Date]],"mmm")</f>
        <v>Oct</v>
      </c>
      <c r="X679">
        <f>ROUNDUP(MONTH(Table1[[#This Row],[Order_Date]])/3,0)</f>
        <v>4</v>
      </c>
      <c r="Y679">
        <f>YEAR(Table1[[#This Row],[Order_Date]])</f>
        <v>2024</v>
      </c>
    </row>
    <row r="680" spans="1:25" x14ac:dyDescent="0.25">
      <c r="A680" t="s">
        <v>2785</v>
      </c>
      <c r="B680" t="s">
        <v>2786</v>
      </c>
      <c r="C680" t="s">
        <v>2787</v>
      </c>
      <c r="D680" t="s">
        <v>2788</v>
      </c>
      <c r="E680" t="s">
        <v>78</v>
      </c>
      <c r="F680" t="s">
        <v>40</v>
      </c>
      <c r="G680" t="s">
        <v>144</v>
      </c>
      <c r="H680" t="s">
        <v>32</v>
      </c>
      <c r="I680" t="s">
        <v>43</v>
      </c>
      <c r="J680" t="s">
        <v>59</v>
      </c>
      <c r="K680">
        <v>8</v>
      </c>
      <c r="L680">
        <v>1046.29</v>
      </c>
      <c r="M680" s="3">
        <v>0.1</v>
      </c>
      <c r="N680" t="str">
        <f>VLOOKUP(Table1[[#This Row],[Country]],REF_Country!$A$1:$D$11,2,FALSE)</f>
        <v>Oceania</v>
      </c>
      <c r="O680" t="str">
        <f>VLOOKUP(Table1[[#This Row],[Country]],REF_Country!$A$1:$D$11,3,FALSE)</f>
        <v>AU</v>
      </c>
      <c r="P680">
        <f>VLOOKUP(Table1[[#This Row],[Country]],REF_Country!$A$1:$D$11,4,FALSE)</f>
        <v>0.1</v>
      </c>
      <c r="Q680">
        <f>VLOOKUP(Table1[[#This Row],[Category]],REF_Target!$A$1:$E$6,2,FALSE)</f>
        <v>45000</v>
      </c>
      <c r="R680">
        <f>Table1[[#This Row],[Quantity]]*Table1[[#This Row],[Unit_Price]]</f>
        <v>8370.32</v>
      </c>
      <c r="S680">
        <f>Table1[[#This Row],[Gross_Sales]]*Table1[[#This Row],[Discount_Rate]]</f>
        <v>837.03200000000004</v>
      </c>
      <c r="T680">
        <f>Table1[[#This Row],[Gross_Sales]]-Table1[[#This Row],[Discount_Amount]]</f>
        <v>7533.2879999999996</v>
      </c>
      <c r="U680">
        <f>VLOOKUP(Table1[[#This Row],[Category]],REF_Cost!$A$1:$B$6,2,FALSE)*Table1[[#This Row],[Quantity]]</f>
        <v>640</v>
      </c>
      <c r="V680">
        <f>Table1[[#This Row],[Net_Sales]]-Table1[[#This Row],[Total_Cost]]</f>
        <v>6893.2879999999996</v>
      </c>
      <c r="W680" t="str">
        <f>TEXT(Table1[[#This Row],[Order_Date]],"mmm")</f>
        <v>Dec</v>
      </c>
      <c r="X680">
        <f>ROUNDUP(MONTH(Table1[[#This Row],[Order_Date]])/3,0)</f>
        <v>4</v>
      </c>
      <c r="Y680">
        <f>YEAR(Table1[[#This Row],[Order_Date]])</f>
        <v>2024</v>
      </c>
    </row>
    <row r="681" spans="1:25" x14ac:dyDescent="0.25">
      <c r="A681" t="s">
        <v>2789</v>
      </c>
      <c r="B681" t="s">
        <v>2790</v>
      </c>
      <c r="C681" t="s">
        <v>2791</v>
      </c>
      <c r="D681" t="s">
        <v>2792</v>
      </c>
      <c r="E681" t="s">
        <v>116</v>
      </c>
      <c r="F681" t="s">
        <v>84</v>
      </c>
      <c r="G681" t="s">
        <v>90</v>
      </c>
      <c r="H681" t="s">
        <v>32</v>
      </c>
      <c r="I681" t="s">
        <v>66</v>
      </c>
      <c r="J681" t="s">
        <v>59</v>
      </c>
      <c r="K681">
        <v>9</v>
      </c>
      <c r="L681">
        <v>445.04</v>
      </c>
      <c r="M681" s="3">
        <v>0</v>
      </c>
      <c r="N681" t="str">
        <f>VLOOKUP(Table1[[#This Row],[Country]],REF_Country!$A$1:$D$11,2,FALSE)</f>
        <v>Southeast Asia</v>
      </c>
      <c r="O681" t="str">
        <f>VLOOKUP(Table1[[#This Row],[Country]],REF_Country!$A$1:$D$11,3,FALSE)</f>
        <v>MY</v>
      </c>
      <c r="P681">
        <f>VLOOKUP(Table1[[#This Row],[Country]],REF_Country!$A$1:$D$11,4,FALSE)</f>
        <v>0.06</v>
      </c>
      <c r="Q681">
        <f>VLOOKUP(Table1[[#This Row],[Category]],REF_Target!$A$1:$E$6,2,FALSE)</f>
        <v>30000</v>
      </c>
      <c r="R681">
        <f>Table1[[#This Row],[Quantity]]*Table1[[#This Row],[Unit_Price]]</f>
        <v>4005.36</v>
      </c>
      <c r="S681">
        <f>Table1[[#This Row],[Gross_Sales]]*Table1[[#This Row],[Discount_Rate]]</f>
        <v>0</v>
      </c>
      <c r="T681">
        <f>Table1[[#This Row],[Gross_Sales]]-Table1[[#This Row],[Discount_Amount]]</f>
        <v>4005.36</v>
      </c>
      <c r="U681">
        <f>VLOOKUP(Table1[[#This Row],[Category]],REF_Cost!$A$1:$B$6,2,FALSE)*Table1[[#This Row],[Quantity]]</f>
        <v>1800</v>
      </c>
      <c r="V681">
        <f>Table1[[#This Row],[Net_Sales]]-Table1[[#This Row],[Total_Cost]]</f>
        <v>2205.36</v>
      </c>
      <c r="W681" t="str">
        <f>TEXT(Table1[[#This Row],[Order_Date]],"mmm")</f>
        <v>Nov</v>
      </c>
      <c r="X681">
        <f>ROUNDUP(MONTH(Table1[[#This Row],[Order_Date]])/3,0)</f>
        <v>4</v>
      </c>
      <c r="Y681">
        <f>YEAR(Table1[[#This Row],[Order_Date]])</f>
        <v>2024</v>
      </c>
    </row>
    <row r="682" spans="1:25" x14ac:dyDescent="0.25">
      <c r="A682" t="s">
        <v>2793</v>
      </c>
      <c r="B682" t="s">
        <v>2794</v>
      </c>
      <c r="C682" t="s">
        <v>2795</v>
      </c>
      <c r="D682" t="s">
        <v>2796</v>
      </c>
      <c r="E682" t="s">
        <v>64</v>
      </c>
      <c r="F682" t="s">
        <v>30</v>
      </c>
      <c r="G682" t="s">
        <v>31</v>
      </c>
      <c r="H682" t="s">
        <v>58</v>
      </c>
      <c r="I682" t="s">
        <v>66</v>
      </c>
      <c r="J682" t="s">
        <v>73</v>
      </c>
      <c r="K682">
        <v>7</v>
      </c>
      <c r="L682">
        <v>1178.93</v>
      </c>
      <c r="M682" s="3">
        <v>0</v>
      </c>
      <c r="N682" t="str">
        <f>VLOOKUP(Table1[[#This Row],[Country]],REF_Country!$A$1:$D$11,2,FALSE)</f>
        <v>Southeast Asia</v>
      </c>
      <c r="O682" t="str">
        <f>VLOOKUP(Table1[[#This Row],[Country]],REF_Country!$A$1:$D$11,3,FALSE)</f>
        <v>ID</v>
      </c>
      <c r="P682">
        <f>VLOOKUP(Table1[[#This Row],[Country]],REF_Country!$A$1:$D$11,4,FALSE)</f>
        <v>0.11</v>
      </c>
      <c r="Q682">
        <f>VLOOKUP(Table1[[#This Row],[Category]],REF_Target!$A$1:$E$6,2,FALSE)</f>
        <v>40000</v>
      </c>
      <c r="R682">
        <f>Table1[[#This Row],[Quantity]]*Table1[[#This Row],[Unit_Price]]</f>
        <v>8252.51</v>
      </c>
      <c r="S682">
        <f>Table1[[#This Row],[Gross_Sales]]*Table1[[#This Row],[Discount_Rate]]</f>
        <v>0</v>
      </c>
      <c r="T682">
        <f>Table1[[#This Row],[Gross_Sales]]-Table1[[#This Row],[Discount_Amount]]</f>
        <v>8252.51</v>
      </c>
      <c r="U682">
        <f>VLOOKUP(Table1[[#This Row],[Category]],REF_Cost!$A$1:$B$6,2,FALSE)*Table1[[#This Row],[Quantity]]</f>
        <v>840</v>
      </c>
      <c r="V682">
        <f>Table1[[#This Row],[Net_Sales]]-Table1[[#This Row],[Total_Cost]]</f>
        <v>7412.51</v>
      </c>
      <c r="W682" t="str">
        <f>TEXT(Table1[[#This Row],[Order_Date]],"mmm")</f>
        <v>Jun</v>
      </c>
      <c r="X682">
        <f>ROUNDUP(MONTH(Table1[[#This Row],[Order_Date]])/3,0)</f>
        <v>2</v>
      </c>
      <c r="Y682">
        <f>YEAR(Table1[[#This Row],[Order_Date]])</f>
        <v>2024</v>
      </c>
    </row>
    <row r="683" spans="1:25" x14ac:dyDescent="0.25">
      <c r="A683" t="s">
        <v>2797</v>
      </c>
      <c r="B683" t="s">
        <v>2798</v>
      </c>
      <c r="C683" t="s">
        <v>2799</v>
      </c>
      <c r="D683" t="s">
        <v>2800</v>
      </c>
      <c r="E683" t="s">
        <v>78</v>
      </c>
      <c r="F683" t="s">
        <v>84</v>
      </c>
      <c r="G683" t="s">
        <v>205</v>
      </c>
      <c r="H683" t="s">
        <v>58</v>
      </c>
      <c r="I683" t="s">
        <v>33</v>
      </c>
      <c r="J683" t="s">
        <v>34</v>
      </c>
      <c r="K683">
        <v>7</v>
      </c>
      <c r="L683">
        <v>1307.58</v>
      </c>
      <c r="M683" s="3">
        <v>0.1</v>
      </c>
      <c r="N683" t="str">
        <f>VLOOKUP(Table1[[#This Row],[Country]],REF_Country!$A$1:$D$11,2,FALSE)</f>
        <v>Oceania</v>
      </c>
      <c r="O683" t="str">
        <f>VLOOKUP(Table1[[#This Row],[Country]],REF_Country!$A$1:$D$11,3,FALSE)</f>
        <v>AU</v>
      </c>
      <c r="P683">
        <f>VLOOKUP(Table1[[#This Row],[Country]],REF_Country!$A$1:$D$11,4,FALSE)</f>
        <v>0.1</v>
      </c>
      <c r="Q683">
        <f>VLOOKUP(Table1[[#This Row],[Category]],REF_Target!$A$1:$E$6,2,FALSE)</f>
        <v>30000</v>
      </c>
      <c r="R683">
        <f>Table1[[#This Row],[Quantity]]*Table1[[#This Row],[Unit_Price]]</f>
        <v>9153.06</v>
      </c>
      <c r="S683">
        <f>Table1[[#This Row],[Gross_Sales]]*Table1[[#This Row],[Discount_Rate]]</f>
        <v>915.30600000000004</v>
      </c>
      <c r="T683">
        <f>Table1[[#This Row],[Gross_Sales]]-Table1[[#This Row],[Discount_Amount]]</f>
        <v>8237.753999999999</v>
      </c>
      <c r="U683">
        <f>VLOOKUP(Table1[[#This Row],[Category]],REF_Cost!$A$1:$B$6,2,FALSE)*Table1[[#This Row],[Quantity]]</f>
        <v>1400</v>
      </c>
      <c r="V683">
        <f>Table1[[#This Row],[Net_Sales]]-Table1[[#This Row],[Total_Cost]]</f>
        <v>6837.753999999999</v>
      </c>
      <c r="W683" t="str">
        <f>TEXT(Table1[[#This Row],[Order_Date]],"mmm")</f>
        <v>Sep</v>
      </c>
      <c r="X683">
        <f>ROUNDUP(MONTH(Table1[[#This Row],[Order_Date]])/3,0)</f>
        <v>3</v>
      </c>
      <c r="Y683">
        <f>YEAR(Table1[[#This Row],[Order_Date]])</f>
        <v>2024</v>
      </c>
    </row>
    <row r="684" spans="1:25" x14ac:dyDescent="0.25">
      <c r="A684" t="s">
        <v>2801</v>
      </c>
      <c r="B684" t="s">
        <v>2802</v>
      </c>
      <c r="C684" t="s">
        <v>2803</v>
      </c>
      <c r="D684" t="s">
        <v>2804</v>
      </c>
      <c r="E684" t="s">
        <v>83</v>
      </c>
      <c r="F684" t="s">
        <v>30</v>
      </c>
      <c r="G684" t="s">
        <v>31</v>
      </c>
      <c r="H684" t="s">
        <v>42</v>
      </c>
      <c r="I684" t="s">
        <v>43</v>
      </c>
      <c r="J684" t="s">
        <v>59</v>
      </c>
      <c r="K684">
        <v>8</v>
      </c>
      <c r="L684">
        <v>764.57</v>
      </c>
      <c r="M684" s="3">
        <v>0.1</v>
      </c>
      <c r="N684" t="str">
        <f>VLOOKUP(Table1[[#This Row],[Country]],REF_Country!$A$1:$D$11,2,FALSE)</f>
        <v>South Asia</v>
      </c>
      <c r="O684" t="str">
        <f>VLOOKUP(Table1[[#This Row],[Country]],REF_Country!$A$1:$D$11,3,FALSE)</f>
        <v>IN</v>
      </c>
      <c r="P684">
        <f>VLOOKUP(Table1[[#This Row],[Country]],REF_Country!$A$1:$D$11,4,FALSE)</f>
        <v>0.18</v>
      </c>
      <c r="Q684">
        <f>VLOOKUP(Table1[[#This Row],[Category]],REF_Target!$A$1:$E$6,2,FALSE)</f>
        <v>40000</v>
      </c>
      <c r="R684">
        <f>Table1[[#This Row],[Quantity]]*Table1[[#This Row],[Unit_Price]]</f>
        <v>6116.56</v>
      </c>
      <c r="S684">
        <f>Table1[[#This Row],[Gross_Sales]]*Table1[[#This Row],[Discount_Rate]]</f>
        <v>611.65600000000006</v>
      </c>
      <c r="T684">
        <f>Table1[[#This Row],[Gross_Sales]]-Table1[[#This Row],[Discount_Amount]]</f>
        <v>5504.9040000000005</v>
      </c>
      <c r="U684">
        <f>VLOOKUP(Table1[[#This Row],[Category]],REF_Cost!$A$1:$B$6,2,FALSE)*Table1[[#This Row],[Quantity]]</f>
        <v>960</v>
      </c>
      <c r="V684">
        <f>Table1[[#This Row],[Net_Sales]]-Table1[[#This Row],[Total_Cost]]</f>
        <v>4544.9040000000005</v>
      </c>
      <c r="W684" t="str">
        <f>TEXT(Table1[[#This Row],[Order_Date]],"mmm")</f>
        <v>Jul</v>
      </c>
      <c r="X684">
        <f>ROUNDUP(MONTH(Table1[[#This Row],[Order_Date]])/3,0)</f>
        <v>3</v>
      </c>
      <c r="Y684">
        <f>YEAR(Table1[[#This Row],[Order_Date]])</f>
        <v>2024</v>
      </c>
    </row>
    <row r="685" spans="1:25" x14ac:dyDescent="0.25">
      <c r="A685" t="s">
        <v>2805</v>
      </c>
      <c r="B685" t="s">
        <v>2806</v>
      </c>
      <c r="C685" t="s">
        <v>2807</v>
      </c>
      <c r="D685" t="s">
        <v>2808</v>
      </c>
      <c r="E685" t="s">
        <v>149</v>
      </c>
      <c r="F685" t="s">
        <v>49</v>
      </c>
      <c r="G685" t="s">
        <v>286</v>
      </c>
      <c r="H685" t="s">
        <v>32</v>
      </c>
      <c r="I685" t="s">
        <v>96</v>
      </c>
      <c r="J685" t="s">
        <v>59</v>
      </c>
      <c r="K685">
        <v>6</v>
      </c>
      <c r="L685">
        <v>1351.86</v>
      </c>
      <c r="M685" s="3">
        <v>0.15</v>
      </c>
      <c r="N685" t="str">
        <f>VLOOKUP(Table1[[#This Row],[Country]],REF_Country!$A$1:$D$11,2,FALSE)</f>
        <v>East Asia</v>
      </c>
      <c r="O685" t="str">
        <f>VLOOKUP(Table1[[#This Row],[Country]],REF_Country!$A$1:$D$11,3,FALSE)</f>
        <v>JP</v>
      </c>
      <c r="P685">
        <f>VLOOKUP(Table1[[#This Row],[Country]],REF_Country!$A$1:$D$11,4,FALSE)</f>
        <v>0.1</v>
      </c>
      <c r="Q685">
        <f>VLOOKUP(Table1[[#This Row],[Category]],REF_Target!$A$1:$E$6,2,FALSE)</f>
        <v>35000</v>
      </c>
      <c r="R685">
        <f>Table1[[#This Row],[Quantity]]*Table1[[#This Row],[Unit_Price]]</f>
        <v>8111.16</v>
      </c>
      <c r="S685">
        <f>Table1[[#This Row],[Gross_Sales]]*Table1[[#This Row],[Discount_Rate]]</f>
        <v>1216.674</v>
      </c>
      <c r="T685">
        <f>Table1[[#This Row],[Gross_Sales]]-Table1[[#This Row],[Discount_Amount]]</f>
        <v>6894.4859999999999</v>
      </c>
      <c r="U685">
        <f>VLOOKUP(Table1[[#This Row],[Category]],REF_Cost!$A$1:$B$6,2,FALSE)*Table1[[#This Row],[Quantity]]</f>
        <v>900</v>
      </c>
      <c r="V685">
        <f>Table1[[#This Row],[Net_Sales]]-Table1[[#This Row],[Total_Cost]]</f>
        <v>5994.4859999999999</v>
      </c>
      <c r="W685" t="str">
        <f>TEXT(Table1[[#This Row],[Order_Date]],"mmm")</f>
        <v>Nov</v>
      </c>
      <c r="X685">
        <f>ROUNDUP(MONTH(Table1[[#This Row],[Order_Date]])/3,0)</f>
        <v>4</v>
      </c>
      <c r="Y685">
        <f>YEAR(Table1[[#This Row],[Order_Date]])</f>
        <v>2024</v>
      </c>
    </row>
    <row r="686" spans="1:25" x14ac:dyDescent="0.25">
      <c r="A686" t="s">
        <v>2809</v>
      </c>
      <c r="B686" t="s">
        <v>2810</v>
      </c>
      <c r="C686" t="s">
        <v>2811</v>
      </c>
      <c r="D686" t="s">
        <v>2812</v>
      </c>
      <c r="E686" t="s">
        <v>64</v>
      </c>
      <c r="F686" t="s">
        <v>40</v>
      </c>
      <c r="G686" t="s">
        <v>315</v>
      </c>
      <c r="H686" t="s">
        <v>32</v>
      </c>
      <c r="I686" t="s">
        <v>43</v>
      </c>
      <c r="J686" t="s">
        <v>126</v>
      </c>
      <c r="K686">
        <v>2</v>
      </c>
      <c r="L686">
        <v>848.15</v>
      </c>
      <c r="M686" s="3">
        <v>0.2</v>
      </c>
      <c r="N686" t="str">
        <f>VLOOKUP(Table1[[#This Row],[Country]],REF_Country!$A$1:$D$11,2,FALSE)</f>
        <v>Southeast Asia</v>
      </c>
      <c r="O686" t="str">
        <f>VLOOKUP(Table1[[#This Row],[Country]],REF_Country!$A$1:$D$11,3,FALSE)</f>
        <v>ID</v>
      </c>
      <c r="P686">
        <f>VLOOKUP(Table1[[#This Row],[Country]],REF_Country!$A$1:$D$11,4,FALSE)</f>
        <v>0.11</v>
      </c>
      <c r="Q686">
        <f>VLOOKUP(Table1[[#This Row],[Category]],REF_Target!$A$1:$E$6,2,FALSE)</f>
        <v>45000</v>
      </c>
      <c r="R686">
        <f>Table1[[#This Row],[Quantity]]*Table1[[#This Row],[Unit_Price]]</f>
        <v>1696.3</v>
      </c>
      <c r="S686">
        <f>Table1[[#This Row],[Gross_Sales]]*Table1[[#This Row],[Discount_Rate]]</f>
        <v>339.26</v>
      </c>
      <c r="T686">
        <f>Table1[[#This Row],[Gross_Sales]]-Table1[[#This Row],[Discount_Amount]]</f>
        <v>1357.04</v>
      </c>
      <c r="U686">
        <f>VLOOKUP(Table1[[#This Row],[Category]],REF_Cost!$A$1:$B$6,2,FALSE)*Table1[[#This Row],[Quantity]]</f>
        <v>160</v>
      </c>
      <c r="V686">
        <f>Table1[[#This Row],[Net_Sales]]-Table1[[#This Row],[Total_Cost]]</f>
        <v>1197.04</v>
      </c>
      <c r="W686" t="str">
        <f>TEXT(Table1[[#This Row],[Order_Date]],"mmm")</f>
        <v>Feb</v>
      </c>
      <c r="X686">
        <f>ROUNDUP(MONTH(Table1[[#This Row],[Order_Date]])/3,0)</f>
        <v>1</v>
      </c>
      <c r="Y686">
        <f>YEAR(Table1[[#This Row],[Order_Date]])</f>
        <v>2024</v>
      </c>
    </row>
    <row r="687" spans="1:25" x14ac:dyDescent="0.25">
      <c r="A687" t="s">
        <v>2813</v>
      </c>
      <c r="B687" t="s">
        <v>2814</v>
      </c>
      <c r="C687" t="s">
        <v>2815</v>
      </c>
      <c r="D687" t="s">
        <v>2816</v>
      </c>
      <c r="E687" t="s">
        <v>200</v>
      </c>
      <c r="F687" t="s">
        <v>40</v>
      </c>
      <c r="G687" t="s">
        <v>144</v>
      </c>
      <c r="H687" t="s">
        <v>32</v>
      </c>
      <c r="I687" t="s">
        <v>66</v>
      </c>
      <c r="J687" t="s">
        <v>73</v>
      </c>
      <c r="K687">
        <v>9</v>
      </c>
      <c r="L687">
        <v>193.62</v>
      </c>
      <c r="M687" s="3">
        <v>0</v>
      </c>
      <c r="N687" t="str">
        <f>VLOOKUP(Table1[[#This Row],[Country]],REF_Country!$A$1:$D$11,2,FALSE)</f>
        <v>East Asia</v>
      </c>
      <c r="O687" t="str">
        <f>VLOOKUP(Table1[[#This Row],[Country]],REF_Country!$A$1:$D$11,3,FALSE)</f>
        <v>KR</v>
      </c>
      <c r="P687">
        <f>VLOOKUP(Table1[[#This Row],[Country]],REF_Country!$A$1:$D$11,4,FALSE)</f>
        <v>0.1</v>
      </c>
      <c r="Q687">
        <f>VLOOKUP(Table1[[#This Row],[Category]],REF_Target!$A$1:$E$6,2,FALSE)</f>
        <v>45000</v>
      </c>
      <c r="R687">
        <f>Table1[[#This Row],[Quantity]]*Table1[[#This Row],[Unit_Price]]</f>
        <v>1742.58</v>
      </c>
      <c r="S687">
        <f>Table1[[#This Row],[Gross_Sales]]*Table1[[#This Row],[Discount_Rate]]</f>
        <v>0</v>
      </c>
      <c r="T687">
        <f>Table1[[#This Row],[Gross_Sales]]-Table1[[#This Row],[Discount_Amount]]</f>
        <v>1742.58</v>
      </c>
      <c r="U687">
        <f>VLOOKUP(Table1[[#This Row],[Category]],REF_Cost!$A$1:$B$6,2,FALSE)*Table1[[#This Row],[Quantity]]</f>
        <v>720</v>
      </c>
      <c r="V687">
        <f>Table1[[#This Row],[Net_Sales]]-Table1[[#This Row],[Total_Cost]]</f>
        <v>1022.5799999999999</v>
      </c>
      <c r="W687" t="str">
        <f>TEXT(Table1[[#This Row],[Order_Date]],"mmm")</f>
        <v>Sep</v>
      </c>
      <c r="X687">
        <f>ROUNDUP(MONTH(Table1[[#This Row],[Order_Date]])/3,0)</f>
        <v>3</v>
      </c>
      <c r="Y687">
        <f>YEAR(Table1[[#This Row],[Order_Date]])</f>
        <v>2024</v>
      </c>
    </row>
    <row r="688" spans="1:25" x14ac:dyDescent="0.25">
      <c r="A688" t="s">
        <v>2817</v>
      </c>
      <c r="B688" t="s">
        <v>2818</v>
      </c>
      <c r="C688" t="s">
        <v>2819</v>
      </c>
      <c r="D688" t="s">
        <v>2820</v>
      </c>
      <c r="E688" t="s">
        <v>116</v>
      </c>
      <c r="F688" t="s">
        <v>40</v>
      </c>
      <c r="G688" t="s">
        <v>41</v>
      </c>
      <c r="H688" t="s">
        <v>42</v>
      </c>
      <c r="I688" t="s">
        <v>51</v>
      </c>
      <c r="J688" t="s">
        <v>59</v>
      </c>
      <c r="K688">
        <v>10</v>
      </c>
      <c r="L688">
        <v>490.84</v>
      </c>
      <c r="M688" s="3">
        <v>0</v>
      </c>
      <c r="N688" t="str">
        <f>VLOOKUP(Table1[[#This Row],[Country]],REF_Country!$A$1:$D$11,2,FALSE)</f>
        <v>Southeast Asia</v>
      </c>
      <c r="O688" t="str">
        <f>VLOOKUP(Table1[[#This Row],[Country]],REF_Country!$A$1:$D$11,3,FALSE)</f>
        <v>MY</v>
      </c>
      <c r="P688">
        <f>VLOOKUP(Table1[[#This Row],[Country]],REF_Country!$A$1:$D$11,4,FALSE)</f>
        <v>0.06</v>
      </c>
      <c r="Q688">
        <f>VLOOKUP(Table1[[#This Row],[Category]],REF_Target!$A$1:$E$6,2,FALSE)</f>
        <v>45000</v>
      </c>
      <c r="R688">
        <f>Table1[[#This Row],[Quantity]]*Table1[[#This Row],[Unit_Price]]</f>
        <v>4908.3999999999996</v>
      </c>
      <c r="S688">
        <f>Table1[[#This Row],[Gross_Sales]]*Table1[[#This Row],[Discount_Rate]]</f>
        <v>0</v>
      </c>
      <c r="T688">
        <f>Table1[[#This Row],[Gross_Sales]]-Table1[[#This Row],[Discount_Amount]]</f>
        <v>4908.3999999999996</v>
      </c>
      <c r="U688">
        <f>VLOOKUP(Table1[[#This Row],[Category]],REF_Cost!$A$1:$B$6,2,FALSE)*Table1[[#This Row],[Quantity]]</f>
        <v>800</v>
      </c>
      <c r="V688">
        <f>Table1[[#This Row],[Net_Sales]]-Table1[[#This Row],[Total_Cost]]</f>
        <v>4108.3999999999996</v>
      </c>
      <c r="W688" t="str">
        <f>TEXT(Table1[[#This Row],[Order_Date]],"mmm")</f>
        <v>Dec</v>
      </c>
      <c r="X688">
        <f>ROUNDUP(MONTH(Table1[[#This Row],[Order_Date]])/3,0)</f>
        <v>4</v>
      </c>
      <c r="Y688">
        <f>YEAR(Table1[[#This Row],[Order_Date]])</f>
        <v>2024</v>
      </c>
    </row>
    <row r="689" spans="1:25" x14ac:dyDescent="0.25">
      <c r="A689" t="s">
        <v>2821</v>
      </c>
      <c r="B689" t="s">
        <v>2822</v>
      </c>
      <c r="C689" t="s">
        <v>2823</v>
      </c>
      <c r="D689" t="s">
        <v>2824</v>
      </c>
      <c r="E689" t="s">
        <v>78</v>
      </c>
      <c r="F689" t="s">
        <v>84</v>
      </c>
      <c r="G689" t="s">
        <v>264</v>
      </c>
      <c r="H689" t="s">
        <v>72</v>
      </c>
      <c r="I689" t="s">
        <v>66</v>
      </c>
      <c r="J689" t="s">
        <v>73</v>
      </c>
      <c r="K689">
        <v>2</v>
      </c>
      <c r="L689">
        <v>396.91</v>
      </c>
      <c r="M689" s="3">
        <v>0</v>
      </c>
      <c r="N689" t="str">
        <f>VLOOKUP(Table1[[#This Row],[Country]],REF_Country!$A$1:$D$11,2,FALSE)</f>
        <v>Oceania</v>
      </c>
      <c r="O689" t="str">
        <f>VLOOKUP(Table1[[#This Row],[Country]],REF_Country!$A$1:$D$11,3,FALSE)</f>
        <v>AU</v>
      </c>
      <c r="P689">
        <f>VLOOKUP(Table1[[#This Row],[Country]],REF_Country!$A$1:$D$11,4,FALSE)</f>
        <v>0.1</v>
      </c>
      <c r="Q689">
        <f>VLOOKUP(Table1[[#This Row],[Category]],REF_Target!$A$1:$E$6,2,FALSE)</f>
        <v>30000</v>
      </c>
      <c r="R689">
        <f>Table1[[#This Row],[Quantity]]*Table1[[#This Row],[Unit_Price]]</f>
        <v>793.82</v>
      </c>
      <c r="S689">
        <f>Table1[[#This Row],[Gross_Sales]]*Table1[[#This Row],[Discount_Rate]]</f>
        <v>0</v>
      </c>
      <c r="T689">
        <f>Table1[[#This Row],[Gross_Sales]]-Table1[[#This Row],[Discount_Amount]]</f>
        <v>793.82</v>
      </c>
      <c r="U689">
        <f>VLOOKUP(Table1[[#This Row],[Category]],REF_Cost!$A$1:$B$6,2,FALSE)*Table1[[#This Row],[Quantity]]</f>
        <v>400</v>
      </c>
      <c r="V689">
        <f>Table1[[#This Row],[Net_Sales]]-Table1[[#This Row],[Total_Cost]]</f>
        <v>393.82000000000005</v>
      </c>
      <c r="W689" t="str">
        <f>TEXT(Table1[[#This Row],[Order_Date]],"mmm")</f>
        <v>Apr</v>
      </c>
      <c r="X689">
        <f>ROUNDUP(MONTH(Table1[[#This Row],[Order_Date]])/3,0)</f>
        <v>2</v>
      </c>
      <c r="Y689">
        <f>YEAR(Table1[[#This Row],[Order_Date]])</f>
        <v>2024</v>
      </c>
    </row>
    <row r="690" spans="1:25" x14ac:dyDescent="0.25">
      <c r="A690" t="s">
        <v>2825</v>
      </c>
      <c r="B690" t="s">
        <v>2826</v>
      </c>
      <c r="C690" t="s">
        <v>2827</v>
      </c>
      <c r="D690" t="s">
        <v>2828</v>
      </c>
      <c r="E690" t="s">
        <v>29</v>
      </c>
      <c r="F690" t="s">
        <v>49</v>
      </c>
      <c r="G690" t="s">
        <v>286</v>
      </c>
      <c r="H690" t="s">
        <v>32</v>
      </c>
      <c r="I690" t="s">
        <v>51</v>
      </c>
      <c r="J690" t="s">
        <v>59</v>
      </c>
      <c r="K690">
        <v>6</v>
      </c>
      <c r="L690">
        <v>102.49</v>
      </c>
      <c r="M690" s="3">
        <v>0</v>
      </c>
      <c r="N690" t="str">
        <f>VLOOKUP(Table1[[#This Row],[Country]],REF_Country!$A$1:$D$11,2,FALSE)</f>
        <v>Southeast Asia</v>
      </c>
      <c r="O690" t="str">
        <f>VLOOKUP(Table1[[#This Row],[Country]],REF_Country!$A$1:$D$11,3,FALSE)</f>
        <v>VN</v>
      </c>
      <c r="P690">
        <f>VLOOKUP(Table1[[#This Row],[Country]],REF_Country!$A$1:$D$11,4,FALSE)</f>
        <v>0.1</v>
      </c>
      <c r="Q690">
        <f>VLOOKUP(Table1[[#This Row],[Category]],REF_Target!$A$1:$E$6,2,FALSE)</f>
        <v>35000</v>
      </c>
      <c r="R690">
        <f>Table1[[#This Row],[Quantity]]*Table1[[#This Row],[Unit_Price]]</f>
        <v>614.93999999999994</v>
      </c>
      <c r="S690">
        <f>Table1[[#This Row],[Gross_Sales]]*Table1[[#This Row],[Discount_Rate]]</f>
        <v>0</v>
      </c>
      <c r="T690">
        <f>Table1[[#This Row],[Gross_Sales]]-Table1[[#This Row],[Discount_Amount]]</f>
        <v>614.93999999999994</v>
      </c>
      <c r="U690">
        <f>VLOOKUP(Table1[[#This Row],[Category]],REF_Cost!$A$1:$B$6,2,FALSE)*Table1[[#This Row],[Quantity]]</f>
        <v>900</v>
      </c>
      <c r="V690">
        <f>Table1[[#This Row],[Net_Sales]]-Table1[[#This Row],[Total_Cost]]</f>
        <v>-285.06000000000006</v>
      </c>
      <c r="W690" t="str">
        <f>TEXT(Table1[[#This Row],[Order_Date]],"mmm")</f>
        <v>May</v>
      </c>
      <c r="X690">
        <f>ROUNDUP(MONTH(Table1[[#This Row],[Order_Date]])/3,0)</f>
        <v>2</v>
      </c>
      <c r="Y690">
        <f>YEAR(Table1[[#This Row],[Order_Date]])</f>
        <v>2024</v>
      </c>
    </row>
    <row r="691" spans="1:25" x14ac:dyDescent="0.25">
      <c r="A691" t="s">
        <v>2829</v>
      </c>
      <c r="B691" t="s">
        <v>2830</v>
      </c>
      <c r="C691" t="s">
        <v>2831</v>
      </c>
      <c r="D691" t="s">
        <v>2832</v>
      </c>
      <c r="E691" t="s">
        <v>149</v>
      </c>
      <c r="F691" t="s">
        <v>84</v>
      </c>
      <c r="G691" t="s">
        <v>412</v>
      </c>
      <c r="H691" t="s">
        <v>72</v>
      </c>
      <c r="I691" t="s">
        <v>43</v>
      </c>
      <c r="J691" t="s">
        <v>73</v>
      </c>
      <c r="K691">
        <v>2</v>
      </c>
      <c r="L691">
        <v>572.64</v>
      </c>
      <c r="M691" s="3">
        <v>0</v>
      </c>
      <c r="N691" t="str">
        <f>VLOOKUP(Table1[[#This Row],[Country]],REF_Country!$A$1:$D$11,2,FALSE)</f>
        <v>East Asia</v>
      </c>
      <c r="O691" t="str">
        <f>VLOOKUP(Table1[[#This Row],[Country]],REF_Country!$A$1:$D$11,3,FALSE)</f>
        <v>JP</v>
      </c>
      <c r="P691">
        <f>VLOOKUP(Table1[[#This Row],[Country]],REF_Country!$A$1:$D$11,4,FALSE)</f>
        <v>0.1</v>
      </c>
      <c r="Q691">
        <f>VLOOKUP(Table1[[#This Row],[Category]],REF_Target!$A$1:$E$6,2,FALSE)</f>
        <v>30000</v>
      </c>
      <c r="R691">
        <f>Table1[[#This Row],[Quantity]]*Table1[[#This Row],[Unit_Price]]</f>
        <v>1145.28</v>
      </c>
      <c r="S691">
        <f>Table1[[#This Row],[Gross_Sales]]*Table1[[#This Row],[Discount_Rate]]</f>
        <v>0</v>
      </c>
      <c r="T691">
        <f>Table1[[#This Row],[Gross_Sales]]-Table1[[#This Row],[Discount_Amount]]</f>
        <v>1145.28</v>
      </c>
      <c r="U691">
        <f>VLOOKUP(Table1[[#This Row],[Category]],REF_Cost!$A$1:$B$6,2,FALSE)*Table1[[#This Row],[Quantity]]</f>
        <v>400</v>
      </c>
      <c r="V691">
        <f>Table1[[#This Row],[Net_Sales]]-Table1[[#This Row],[Total_Cost]]</f>
        <v>745.28</v>
      </c>
      <c r="W691" t="str">
        <f>TEXT(Table1[[#This Row],[Order_Date]],"mmm")</f>
        <v>Feb</v>
      </c>
      <c r="X691">
        <f>ROUNDUP(MONTH(Table1[[#This Row],[Order_Date]])/3,0)</f>
        <v>1</v>
      </c>
      <c r="Y691">
        <f>YEAR(Table1[[#This Row],[Order_Date]])</f>
        <v>2024</v>
      </c>
    </row>
    <row r="692" spans="1:25" x14ac:dyDescent="0.25">
      <c r="A692" t="s">
        <v>2833</v>
      </c>
      <c r="B692" t="s">
        <v>2834</v>
      </c>
      <c r="C692" t="s">
        <v>2835</v>
      </c>
      <c r="D692" t="s">
        <v>2836</v>
      </c>
      <c r="E692" t="s">
        <v>116</v>
      </c>
      <c r="F692" t="s">
        <v>84</v>
      </c>
      <c r="G692" t="s">
        <v>205</v>
      </c>
      <c r="H692" t="s">
        <v>32</v>
      </c>
      <c r="I692" t="s">
        <v>96</v>
      </c>
      <c r="J692" t="s">
        <v>126</v>
      </c>
      <c r="K692">
        <v>9</v>
      </c>
      <c r="L692">
        <v>487.73</v>
      </c>
      <c r="M692" s="3">
        <v>0.1</v>
      </c>
      <c r="N692" t="str">
        <f>VLOOKUP(Table1[[#This Row],[Country]],REF_Country!$A$1:$D$11,2,FALSE)</f>
        <v>Southeast Asia</v>
      </c>
      <c r="O692" t="str">
        <f>VLOOKUP(Table1[[#This Row],[Country]],REF_Country!$A$1:$D$11,3,FALSE)</f>
        <v>MY</v>
      </c>
      <c r="P692">
        <f>VLOOKUP(Table1[[#This Row],[Country]],REF_Country!$A$1:$D$11,4,FALSE)</f>
        <v>0.06</v>
      </c>
      <c r="Q692">
        <f>VLOOKUP(Table1[[#This Row],[Category]],REF_Target!$A$1:$E$6,2,FALSE)</f>
        <v>30000</v>
      </c>
      <c r="R692">
        <f>Table1[[#This Row],[Quantity]]*Table1[[#This Row],[Unit_Price]]</f>
        <v>4389.57</v>
      </c>
      <c r="S692">
        <f>Table1[[#This Row],[Gross_Sales]]*Table1[[#This Row],[Discount_Rate]]</f>
        <v>438.95699999999999</v>
      </c>
      <c r="T692">
        <f>Table1[[#This Row],[Gross_Sales]]-Table1[[#This Row],[Discount_Amount]]</f>
        <v>3950.6129999999998</v>
      </c>
      <c r="U692">
        <f>VLOOKUP(Table1[[#This Row],[Category]],REF_Cost!$A$1:$B$6,2,FALSE)*Table1[[#This Row],[Quantity]]</f>
        <v>1800</v>
      </c>
      <c r="V692">
        <f>Table1[[#This Row],[Net_Sales]]-Table1[[#This Row],[Total_Cost]]</f>
        <v>2150.6129999999998</v>
      </c>
      <c r="W692" t="str">
        <f>TEXT(Table1[[#This Row],[Order_Date]],"mmm")</f>
        <v>Sep</v>
      </c>
      <c r="X692">
        <f>ROUNDUP(MONTH(Table1[[#This Row],[Order_Date]])/3,0)</f>
        <v>3</v>
      </c>
      <c r="Y692">
        <f>YEAR(Table1[[#This Row],[Order_Date]])</f>
        <v>2024</v>
      </c>
    </row>
    <row r="693" spans="1:25" x14ac:dyDescent="0.25">
      <c r="A693" t="s">
        <v>2837</v>
      </c>
      <c r="B693" t="s">
        <v>2838</v>
      </c>
      <c r="C693" t="s">
        <v>2839</v>
      </c>
      <c r="D693" t="s">
        <v>2840</v>
      </c>
      <c r="E693" t="s">
        <v>64</v>
      </c>
      <c r="F693" t="s">
        <v>84</v>
      </c>
      <c r="G693" t="s">
        <v>90</v>
      </c>
      <c r="H693" t="s">
        <v>72</v>
      </c>
      <c r="I693" t="s">
        <v>66</v>
      </c>
      <c r="J693" t="s">
        <v>34</v>
      </c>
      <c r="K693">
        <v>2</v>
      </c>
      <c r="L693">
        <v>1445.76</v>
      </c>
      <c r="M693" s="3">
        <v>0</v>
      </c>
      <c r="N693" t="str">
        <f>VLOOKUP(Table1[[#This Row],[Country]],REF_Country!$A$1:$D$11,2,FALSE)</f>
        <v>Southeast Asia</v>
      </c>
      <c r="O693" t="str">
        <f>VLOOKUP(Table1[[#This Row],[Country]],REF_Country!$A$1:$D$11,3,FALSE)</f>
        <v>ID</v>
      </c>
      <c r="P693">
        <f>VLOOKUP(Table1[[#This Row],[Country]],REF_Country!$A$1:$D$11,4,FALSE)</f>
        <v>0.11</v>
      </c>
      <c r="Q693">
        <f>VLOOKUP(Table1[[#This Row],[Category]],REF_Target!$A$1:$E$6,2,FALSE)</f>
        <v>30000</v>
      </c>
      <c r="R693">
        <f>Table1[[#This Row],[Quantity]]*Table1[[#This Row],[Unit_Price]]</f>
        <v>2891.52</v>
      </c>
      <c r="S693">
        <f>Table1[[#This Row],[Gross_Sales]]*Table1[[#This Row],[Discount_Rate]]</f>
        <v>0</v>
      </c>
      <c r="T693">
        <f>Table1[[#This Row],[Gross_Sales]]-Table1[[#This Row],[Discount_Amount]]</f>
        <v>2891.52</v>
      </c>
      <c r="U693">
        <f>VLOOKUP(Table1[[#This Row],[Category]],REF_Cost!$A$1:$B$6,2,FALSE)*Table1[[#This Row],[Quantity]]</f>
        <v>400</v>
      </c>
      <c r="V693">
        <f>Table1[[#This Row],[Net_Sales]]-Table1[[#This Row],[Total_Cost]]</f>
        <v>2491.52</v>
      </c>
      <c r="W693" t="str">
        <f>TEXT(Table1[[#This Row],[Order_Date]],"mmm")</f>
        <v>Nov</v>
      </c>
      <c r="X693">
        <f>ROUNDUP(MONTH(Table1[[#This Row],[Order_Date]])/3,0)</f>
        <v>4</v>
      </c>
      <c r="Y693">
        <f>YEAR(Table1[[#This Row],[Order_Date]])</f>
        <v>2024</v>
      </c>
    </row>
    <row r="694" spans="1:25" x14ac:dyDescent="0.25">
      <c r="A694" t="s">
        <v>2841</v>
      </c>
      <c r="B694" t="s">
        <v>2842</v>
      </c>
      <c r="C694" t="s">
        <v>2843</v>
      </c>
      <c r="D694" t="s">
        <v>2844</v>
      </c>
      <c r="E694" t="s">
        <v>39</v>
      </c>
      <c r="F694" t="s">
        <v>30</v>
      </c>
      <c r="G694" t="s">
        <v>65</v>
      </c>
      <c r="H694" t="s">
        <v>42</v>
      </c>
      <c r="I694" t="s">
        <v>33</v>
      </c>
      <c r="J694" t="s">
        <v>34</v>
      </c>
      <c r="K694">
        <v>3</v>
      </c>
      <c r="L694">
        <v>817.55</v>
      </c>
      <c r="M694" s="3">
        <v>0</v>
      </c>
      <c r="N694" t="str">
        <f>VLOOKUP(Table1[[#This Row],[Country]],REF_Country!$A$1:$D$11,2,FALSE)</f>
        <v>Southeast Asia</v>
      </c>
      <c r="O694" t="str">
        <f>VLOOKUP(Table1[[#This Row],[Country]],REF_Country!$A$1:$D$11,3,FALSE)</f>
        <v>TH</v>
      </c>
      <c r="P694">
        <f>VLOOKUP(Table1[[#This Row],[Country]],REF_Country!$A$1:$D$11,4,FALSE)</f>
        <v>7.0000000000000007E-2</v>
      </c>
      <c r="Q694">
        <f>VLOOKUP(Table1[[#This Row],[Category]],REF_Target!$A$1:$E$6,2,FALSE)</f>
        <v>40000</v>
      </c>
      <c r="R694">
        <f>Table1[[#This Row],[Quantity]]*Table1[[#This Row],[Unit_Price]]</f>
        <v>2452.6499999999996</v>
      </c>
      <c r="S694">
        <f>Table1[[#This Row],[Gross_Sales]]*Table1[[#This Row],[Discount_Rate]]</f>
        <v>0</v>
      </c>
      <c r="T694">
        <f>Table1[[#This Row],[Gross_Sales]]-Table1[[#This Row],[Discount_Amount]]</f>
        <v>2452.6499999999996</v>
      </c>
      <c r="U694">
        <f>VLOOKUP(Table1[[#This Row],[Category]],REF_Cost!$A$1:$B$6,2,FALSE)*Table1[[#This Row],[Quantity]]</f>
        <v>360</v>
      </c>
      <c r="V694">
        <f>Table1[[#This Row],[Net_Sales]]-Table1[[#This Row],[Total_Cost]]</f>
        <v>2092.6499999999996</v>
      </c>
      <c r="W694" t="str">
        <f>TEXT(Table1[[#This Row],[Order_Date]],"mmm")</f>
        <v>Feb</v>
      </c>
      <c r="X694">
        <f>ROUNDUP(MONTH(Table1[[#This Row],[Order_Date]])/3,0)</f>
        <v>1</v>
      </c>
      <c r="Y694">
        <f>YEAR(Table1[[#This Row],[Order_Date]])</f>
        <v>2024</v>
      </c>
    </row>
    <row r="695" spans="1:25" x14ac:dyDescent="0.25">
      <c r="A695" t="s">
        <v>2845</v>
      </c>
      <c r="B695" t="s">
        <v>2846</v>
      </c>
      <c r="C695" t="s">
        <v>2847</v>
      </c>
      <c r="D695" t="s">
        <v>2848</v>
      </c>
      <c r="E695" t="s">
        <v>83</v>
      </c>
      <c r="F695" t="s">
        <v>84</v>
      </c>
      <c r="G695" t="s">
        <v>85</v>
      </c>
      <c r="H695" t="s">
        <v>58</v>
      </c>
      <c r="I695" t="s">
        <v>96</v>
      </c>
      <c r="J695" t="s">
        <v>59</v>
      </c>
      <c r="K695">
        <v>8</v>
      </c>
      <c r="L695">
        <v>15.81</v>
      </c>
      <c r="M695" s="3">
        <v>0.05</v>
      </c>
      <c r="N695" t="str">
        <f>VLOOKUP(Table1[[#This Row],[Country]],REF_Country!$A$1:$D$11,2,FALSE)</f>
        <v>South Asia</v>
      </c>
      <c r="O695" t="str">
        <f>VLOOKUP(Table1[[#This Row],[Country]],REF_Country!$A$1:$D$11,3,FALSE)</f>
        <v>IN</v>
      </c>
      <c r="P695">
        <f>VLOOKUP(Table1[[#This Row],[Country]],REF_Country!$A$1:$D$11,4,FALSE)</f>
        <v>0.18</v>
      </c>
      <c r="Q695">
        <f>VLOOKUP(Table1[[#This Row],[Category]],REF_Target!$A$1:$E$6,2,FALSE)</f>
        <v>30000</v>
      </c>
      <c r="R695">
        <f>Table1[[#This Row],[Quantity]]*Table1[[#This Row],[Unit_Price]]</f>
        <v>126.48</v>
      </c>
      <c r="S695">
        <f>Table1[[#This Row],[Gross_Sales]]*Table1[[#This Row],[Discount_Rate]]</f>
        <v>6.3240000000000007</v>
      </c>
      <c r="T695">
        <f>Table1[[#This Row],[Gross_Sales]]-Table1[[#This Row],[Discount_Amount]]</f>
        <v>120.15600000000001</v>
      </c>
      <c r="U695">
        <f>VLOOKUP(Table1[[#This Row],[Category]],REF_Cost!$A$1:$B$6,2,FALSE)*Table1[[#This Row],[Quantity]]</f>
        <v>1600</v>
      </c>
      <c r="V695">
        <f>Table1[[#This Row],[Net_Sales]]-Table1[[#This Row],[Total_Cost]]</f>
        <v>-1479.8440000000001</v>
      </c>
      <c r="W695" t="str">
        <f>TEXT(Table1[[#This Row],[Order_Date]],"mmm")</f>
        <v>Jan</v>
      </c>
      <c r="X695">
        <f>ROUNDUP(MONTH(Table1[[#This Row],[Order_Date]])/3,0)</f>
        <v>1</v>
      </c>
      <c r="Y695">
        <f>YEAR(Table1[[#This Row],[Order_Date]])</f>
        <v>2024</v>
      </c>
    </row>
    <row r="696" spans="1:25" x14ac:dyDescent="0.25">
      <c r="A696" t="s">
        <v>2849</v>
      </c>
      <c r="B696" t="s">
        <v>2850</v>
      </c>
      <c r="C696" t="s">
        <v>2851</v>
      </c>
      <c r="D696" t="s">
        <v>2852</v>
      </c>
      <c r="E696" t="s">
        <v>78</v>
      </c>
      <c r="F696" t="s">
        <v>84</v>
      </c>
      <c r="G696" t="s">
        <v>205</v>
      </c>
      <c r="H696" t="s">
        <v>32</v>
      </c>
      <c r="I696" t="s">
        <v>66</v>
      </c>
      <c r="J696" t="s">
        <v>126</v>
      </c>
      <c r="K696">
        <v>9</v>
      </c>
      <c r="L696">
        <v>254.7</v>
      </c>
      <c r="M696" s="3">
        <v>0.15</v>
      </c>
      <c r="N696" t="str">
        <f>VLOOKUP(Table1[[#This Row],[Country]],REF_Country!$A$1:$D$11,2,FALSE)</f>
        <v>Oceania</v>
      </c>
      <c r="O696" t="str">
        <f>VLOOKUP(Table1[[#This Row],[Country]],REF_Country!$A$1:$D$11,3,FALSE)</f>
        <v>AU</v>
      </c>
      <c r="P696">
        <f>VLOOKUP(Table1[[#This Row],[Country]],REF_Country!$A$1:$D$11,4,FALSE)</f>
        <v>0.1</v>
      </c>
      <c r="Q696">
        <f>VLOOKUP(Table1[[#This Row],[Category]],REF_Target!$A$1:$E$6,2,FALSE)</f>
        <v>30000</v>
      </c>
      <c r="R696">
        <f>Table1[[#This Row],[Quantity]]*Table1[[#This Row],[Unit_Price]]</f>
        <v>2292.2999999999997</v>
      </c>
      <c r="S696">
        <f>Table1[[#This Row],[Gross_Sales]]*Table1[[#This Row],[Discount_Rate]]</f>
        <v>343.84499999999997</v>
      </c>
      <c r="T696">
        <f>Table1[[#This Row],[Gross_Sales]]-Table1[[#This Row],[Discount_Amount]]</f>
        <v>1948.4549999999997</v>
      </c>
      <c r="U696">
        <f>VLOOKUP(Table1[[#This Row],[Category]],REF_Cost!$A$1:$B$6,2,FALSE)*Table1[[#This Row],[Quantity]]</f>
        <v>1800</v>
      </c>
      <c r="V696">
        <f>Table1[[#This Row],[Net_Sales]]-Table1[[#This Row],[Total_Cost]]</f>
        <v>148.4549999999997</v>
      </c>
      <c r="W696" t="str">
        <f>TEXT(Table1[[#This Row],[Order_Date]],"mmm")</f>
        <v>Apr</v>
      </c>
      <c r="X696">
        <f>ROUNDUP(MONTH(Table1[[#This Row],[Order_Date]])/3,0)</f>
        <v>2</v>
      </c>
      <c r="Y696">
        <f>YEAR(Table1[[#This Row],[Order_Date]])</f>
        <v>2024</v>
      </c>
    </row>
    <row r="697" spans="1:25" x14ac:dyDescent="0.25">
      <c r="A697" t="s">
        <v>2853</v>
      </c>
      <c r="B697" t="s">
        <v>2854</v>
      </c>
      <c r="C697" t="s">
        <v>2855</v>
      </c>
      <c r="D697" t="s">
        <v>2856</v>
      </c>
      <c r="E697" t="s">
        <v>48</v>
      </c>
      <c r="F697" t="s">
        <v>40</v>
      </c>
      <c r="G697" t="s">
        <v>315</v>
      </c>
      <c r="H697" t="s">
        <v>58</v>
      </c>
      <c r="I697" t="s">
        <v>66</v>
      </c>
      <c r="J697" t="s">
        <v>59</v>
      </c>
      <c r="K697">
        <v>4</v>
      </c>
      <c r="L697">
        <v>1319.24</v>
      </c>
      <c r="M697" s="3">
        <v>0.15</v>
      </c>
      <c r="N697" t="str">
        <f>VLOOKUP(Table1[[#This Row],[Country]],REF_Country!$A$1:$D$11,2,FALSE)</f>
        <v>Southeast Asia</v>
      </c>
      <c r="O697" t="str">
        <f>VLOOKUP(Table1[[#This Row],[Country]],REF_Country!$A$1:$D$11,3,FALSE)</f>
        <v>SG</v>
      </c>
      <c r="P697">
        <f>VLOOKUP(Table1[[#This Row],[Country]],REF_Country!$A$1:$D$11,4,FALSE)</f>
        <v>7.0000000000000007E-2</v>
      </c>
      <c r="Q697">
        <f>VLOOKUP(Table1[[#This Row],[Category]],REF_Target!$A$1:$E$6,2,FALSE)</f>
        <v>45000</v>
      </c>
      <c r="R697">
        <f>Table1[[#This Row],[Quantity]]*Table1[[#This Row],[Unit_Price]]</f>
        <v>5276.96</v>
      </c>
      <c r="S697">
        <f>Table1[[#This Row],[Gross_Sales]]*Table1[[#This Row],[Discount_Rate]]</f>
        <v>791.54399999999998</v>
      </c>
      <c r="T697">
        <f>Table1[[#This Row],[Gross_Sales]]-Table1[[#This Row],[Discount_Amount]]</f>
        <v>4485.4160000000002</v>
      </c>
      <c r="U697">
        <f>VLOOKUP(Table1[[#This Row],[Category]],REF_Cost!$A$1:$B$6,2,FALSE)*Table1[[#This Row],[Quantity]]</f>
        <v>320</v>
      </c>
      <c r="V697">
        <f>Table1[[#This Row],[Net_Sales]]-Table1[[#This Row],[Total_Cost]]</f>
        <v>4165.4160000000002</v>
      </c>
      <c r="W697" t="str">
        <f>TEXT(Table1[[#This Row],[Order_Date]],"mmm")</f>
        <v>Dec</v>
      </c>
      <c r="X697">
        <f>ROUNDUP(MONTH(Table1[[#This Row],[Order_Date]])/3,0)</f>
        <v>4</v>
      </c>
      <c r="Y697">
        <f>YEAR(Table1[[#This Row],[Order_Date]])</f>
        <v>2024</v>
      </c>
    </row>
    <row r="698" spans="1:25" x14ac:dyDescent="0.25">
      <c r="A698" t="s">
        <v>2857</v>
      </c>
      <c r="B698" t="s">
        <v>2858</v>
      </c>
      <c r="C698" t="s">
        <v>2859</v>
      </c>
      <c r="D698" t="s">
        <v>2860</v>
      </c>
      <c r="E698" t="s">
        <v>71</v>
      </c>
      <c r="F698" t="s">
        <v>84</v>
      </c>
      <c r="G698" t="s">
        <v>85</v>
      </c>
      <c r="H698" t="s">
        <v>32</v>
      </c>
      <c r="I698" t="s">
        <v>43</v>
      </c>
      <c r="J698" t="s">
        <v>126</v>
      </c>
      <c r="K698">
        <v>10</v>
      </c>
      <c r="L698">
        <v>697.8</v>
      </c>
      <c r="M698" s="3">
        <v>0.05</v>
      </c>
      <c r="N698" t="str">
        <f>VLOOKUP(Table1[[#This Row],[Country]],REF_Country!$A$1:$D$11,2,FALSE)</f>
        <v>Southeast Asia</v>
      </c>
      <c r="O698" t="str">
        <f>VLOOKUP(Table1[[#This Row],[Country]],REF_Country!$A$1:$D$11,3,FALSE)</f>
        <v>PH</v>
      </c>
      <c r="P698">
        <f>VLOOKUP(Table1[[#This Row],[Country]],REF_Country!$A$1:$D$11,4,FALSE)</f>
        <v>0.12</v>
      </c>
      <c r="Q698">
        <f>VLOOKUP(Table1[[#This Row],[Category]],REF_Target!$A$1:$E$6,2,FALSE)</f>
        <v>30000</v>
      </c>
      <c r="R698">
        <f>Table1[[#This Row],[Quantity]]*Table1[[#This Row],[Unit_Price]]</f>
        <v>6978</v>
      </c>
      <c r="S698">
        <f>Table1[[#This Row],[Gross_Sales]]*Table1[[#This Row],[Discount_Rate]]</f>
        <v>348.90000000000003</v>
      </c>
      <c r="T698">
        <f>Table1[[#This Row],[Gross_Sales]]-Table1[[#This Row],[Discount_Amount]]</f>
        <v>6629.1</v>
      </c>
      <c r="U698">
        <f>VLOOKUP(Table1[[#This Row],[Category]],REF_Cost!$A$1:$B$6,2,FALSE)*Table1[[#This Row],[Quantity]]</f>
        <v>2000</v>
      </c>
      <c r="V698">
        <f>Table1[[#This Row],[Net_Sales]]-Table1[[#This Row],[Total_Cost]]</f>
        <v>4629.1000000000004</v>
      </c>
      <c r="W698" t="str">
        <f>TEXT(Table1[[#This Row],[Order_Date]],"mmm")</f>
        <v>May</v>
      </c>
      <c r="X698">
        <f>ROUNDUP(MONTH(Table1[[#This Row],[Order_Date]])/3,0)</f>
        <v>2</v>
      </c>
      <c r="Y698">
        <f>YEAR(Table1[[#This Row],[Order_Date]])</f>
        <v>2024</v>
      </c>
    </row>
    <row r="699" spans="1:25" x14ac:dyDescent="0.25">
      <c r="A699" t="s">
        <v>2861</v>
      </c>
      <c r="B699" t="s">
        <v>2862</v>
      </c>
      <c r="C699" t="s">
        <v>2863</v>
      </c>
      <c r="D699" t="s">
        <v>2864</v>
      </c>
      <c r="E699" t="s">
        <v>64</v>
      </c>
      <c r="F699" t="s">
        <v>30</v>
      </c>
      <c r="G699" t="s">
        <v>195</v>
      </c>
      <c r="H699" t="s">
        <v>32</v>
      </c>
      <c r="I699" t="s">
        <v>51</v>
      </c>
      <c r="J699" t="s">
        <v>126</v>
      </c>
      <c r="K699">
        <v>8</v>
      </c>
      <c r="L699">
        <v>840.35</v>
      </c>
      <c r="M699" s="3">
        <v>0.1</v>
      </c>
      <c r="N699" t="str">
        <f>VLOOKUP(Table1[[#This Row],[Country]],REF_Country!$A$1:$D$11,2,FALSE)</f>
        <v>Southeast Asia</v>
      </c>
      <c r="O699" t="str">
        <f>VLOOKUP(Table1[[#This Row],[Country]],REF_Country!$A$1:$D$11,3,FALSE)</f>
        <v>ID</v>
      </c>
      <c r="P699">
        <f>VLOOKUP(Table1[[#This Row],[Country]],REF_Country!$A$1:$D$11,4,FALSE)</f>
        <v>0.11</v>
      </c>
      <c r="Q699">
        <f>VLOOKUP(Table1[[#This Row],[Category]],REF_Target!$A$1:$E$6,2,FALSE)</f>
        <v>40000</v>
      </c>
      <c r="R699">
        <f>Table1[[#This Row],[Quantity]]*Table1[[#This Row],[Unit_Price]]</f>
        <v>6722.8</v>
      </c>
      <c r="S699">
        <f>Table1[[#This Row],[Gross_Sales]]*Table1[[#This Row],[Discount_Rate]]</f>
        <v>672.28000000000009</v>
      </c>
      <c r="T699">
        <f>Table1[[#This Row],[Gross_Sales]]-Table1[[#This Row],[Discount_Amount]]</f>
        <v>6050.52</v>
      </c>
      <c r="U699">
        <f>VLOOKUP(Table1[[#This Row],[Category]],REF_Cost!$A$1:$B$6,2,FALSE)*Table1[[#This Row],[Quantity]]</f>
        <v>960</v>
      </c>
      <c r="V699">
        <f>Table1[[#This Row],[Net_Sales]]-Table1[[#This Row],[Total_Cost]]</f>
        <v>5090.5200000000004</v>
      </c>
      <c r="W699" t="str">
        <f>TEXT(Table1[[#This Row],[Order_Date]],"mmm")</f>
        <v>Aug</v>
      </c>
      <c r="X699">
        <f>ROUNDUP(MONTH(Table1[[#This Row],[Order_Date]])/3,0)</f>
        <v>3</v>
      </c>
      <c r="Y699">
        <f>YEAR(Table1[[#This Row],[Order_Date]])</f>
        <v>2024</v>
      </c>
    </row>
    <row r="700" spans="1:25" x14ac:dyDescent="0.25">
      <c r="A700" t="s">
        <v>2865</v>
      </c>
      <c r="B700" t="s">
        <v>2866</v>
      </c>
      <c r="C700" t="s">
        <v>2867</v>
      </c>
      <c r="D700" t="s">
        <v>2868</v>
      </c>
      <c r="E700" t="s">
        <v>71</v>
      </c>
      <c r="F700" t="s">
        <v>49</v>
      </c>
      <c r="G700" t="s">
        <v>259</v>
      </c>
      <c r="H700" t="s">
        <v>32</v>
      </c>
      <c r="I700" t="s">
        <v>51</v>
      </c>
      <c r="J700" t="s">
        <v>34</v>
      </c>
      <c r="K700">
        <v>3</v>
      </c>
      <c r="L700">
        <v>546.58000000000004</v>
      </c>
      <c r="M700" s="3">
        <v>0.2</v>
      </c>
      <c r="N700" t="str">
        <f>VLOOKUP(Table1[[#This Row],[Country]],REF_Country!$A$1:$D$11,2,FALSE)</f>
        <v>Southeast Asia</v>
      </c>
      <c r="O700" t="str">
        <f>VLOOKUP(Table1[[#This Row],[Country]],REF_Country!$A$1:$D$11,3,FALSE)</f>
        <v>PH</v>
      </c>
      <c r="P700">
        <f>VLOOKUP(Table1[[#This Row],[Country]],REF_Country!$A$1:$D$11,4,FALSE)</f>
        <v>0.12</v>
      </c>
      <c r="Q700">
        <f>VLOOKUP(Table1[[#This Row],[Category]],REF_Target!$A$1:$E$6,2,FALSE)</f>
        <v>35000</v>
      </c>
      <c r="R700">
        <f>Table1[[#This Row],[Quantity]]*Table1[[#This Row],[Unit_Price]]</f>
        <v>1639.7400000000002</v>
      </c>
      <c r="S700">
        <f>Table1[[#This Row],[Gross_Sales]]*Table1[[#This Row],[Discount_Rate]]</f>
        <v>327.94800000000009</v>
      </c>
      <c r="T700">
        <f>Table1[[#This Row],[Gross_Sales]]-Table1[[#This Row],[Discount_Amount]]</f>
        <v>1311.7920000000001</v>
      </c>
      <c r="U700">
        <f>VLOOKUP(Table1[[#This Row],[Category]],REF_Cost!$A$1:$B$6,2,FALSE)*Table1[[#This Row],[Quantity]]</f>
        <v>450</v>
      </c>
      <c r="V700">
        <f>Table1[[#This Row],[Net_Sales]]-Table1[[#This Row],[Total_Cost]]</f>
        <v>861.79200000000014</v>
      </c>
      <c r="W700" t="str">
        <f>TEXT(Table1[[#This Row],[Order_Date]],"mmm")</f>
        <v>Aug</v>
      </c>
      <c r="X700">
        <f>ROUNDUP(MONTH(Table1[[#This Row],[Order_Date]])/3,0)</f>
        <v>3</v>
      </c>
      <c r="Y700">
        <f>YEAR(Table1[[#This Row],[Order_Date]])</f>
        <v>2024</v>
      </c>
    </row>
    <row r="701" spans="1:25" x14ac:dyDescent="0.25">
      <c r="A701" t="s">
        <v>2869</v>
      </c>
      <c r="B701" t="s">
        <v>2870</v>
      </c>
      <c r="C701" t="s">
        <v>2871</v>
      </c>
      <c r="D701" t="s">
        <v>2872</v>
      </c>
      <c r="E701" t="s">
        <v>39</v>
      </c>
      <c r="F701" t="s">
        <v>56</v>
      </c>
      <c r="G701" t="s">
        <v>190</v>
      </c>
      <c r="H701" t="s">
        <v>32</v>
      </c>
      <c r="I701" t="s">
        <v>33</v>
      </c>
      <c r="J701" t="s">
        <v>59</v>
      </c>
      <c r="K701">
        <v>6</v>
      </c>
      <c r="L701">
        <v>1025.6199999999999</v>
      </c>
      <c r="M701" s="3">
        <v>0</v>
      </c>
      <c r="N701" t="str">
        <f>VLOOKUP(Table1[[#This Row],[Country]],REF_Country!$A$1:$D$11,2,FALSE)</f>
        <v>Southeast Asia</v>
      </c>
      <c r="O701" t="str">
        <f>VLOOKUP(Table1[[#This Row],[Country]],REF_Country!$A$1:$D$11,3,FALSE)</f>
        <v>TH</v>
      </c>
      <c r="P701">
        <f>VLOOKUP(Table1[[#This Row],[Country]],REF_Country!$A$1:$D$11,4,FALSE)</f>
        <v>7.0000000000000007E-2</v>
      </c>
      <c r="Q701">
        <f>VLOOKUP(Table1[[#This Row],[Category]],REF_Target!$A$1:$E$6,2,FALSE)</f>
        <v>50000</v>
      </c>
      <c r="R701">
        <f>Table1[[#This Row],[Quantity]]*Table1[[#This Row],[Unit_Price]]</f>
        <v>6153.7199999999993</v>
      </c>
      <c r="S701">
        <f>Table1[[#This Row],[Gross_Sales]]*Table1[[#This Row],[Discount_Rate]]</f>
        <v>0</v>
      </c>
      <c r="T701">
        <f>Table1[[#This Row],[Gross_Sales]]-Table1[[#This Row],[Discount_Amount]]</f>
        <v>6153.7199999999993</v>
      </c>
      <c r="U701">
        <f>VLOOKUP(Table1[[#This Row],[Category]],REF_Cost!$A$1:$B$6,2,FALSE)*Table1[[#This Row],[Quantity]]</f>
        <v>2700</v>
      </c>
      <c r="V701">
        <f>Table1[[#This Row],[Net_Sales]]-Table1[[#This Row],[Total_Cost]]</f>
        <v>3453.7199999999993</v>
      </c>
      <c r="W701" t="str">
        <f>TEXT(Table1[[#This Row],[Order_Date]],"mmm")</f>
        <v>Apr</v>
      </c>
      <c r="X701">
        <f>ROUNDUP(MONTH(Table1[[#This Row],[Order_Date]])/3,0)</f>
        <v>2</v>
      </c>
      <c r="Y701">
        <f>YEAR(Table1[[#This Row],[Order_Date]])</f>
        <v>2024</v>
      </c>
    </row>
    <row r="702" spans="1:25" x14ac:dyDescent="0.25">
      <c r="A702" t="s">
        <v>2873</v>
      </c>
      <c r="B702" t="s">
        <v>2874</v>
      </c>
      <c r="C702" t="s">
        <v>2875</v>
      </c>
      <c r="D702" t="s">
        <v>2876</v>
      </c>
      <c r="E702" t="s">
        <v>64</v>
      </c>
      <c r="F702" t="s">
        <v>84</v>
      </c>
      <c r="G702" t="s">
        <v>264</v>
      </c>
      <c r="H702" t="s">
        <v>32</v>
      </c>
      <c r="I702" t="s">
        <v>43</v>
      </c>
      <c r="J702" t="s">
        <v>34</v>
      </c>
      <c r="K702">
        <v>10</v>
      </c>
      <c r="L702">
        <v>1358.19</v>
      </c>
      <c r="M702" s="3">
        <v>0</v>
      </c>
      <c r="N702" t="str">
        <f>VLOOKUP(Table1[[#This Row],[Country]],REF_Country!$A$1:$D$11,2,FALSE)</f>
        <v>Southeast Asia</v>
      </c>
      <c r="O702" t="str">
        <f>VLOOKUP(Table1[[#This Row],[Country]],REF_Country!$A$1:$D$11,3,FALSE)</f>
        <v>ID</v>
      </c>
      <c r="P702">
        <f>VLOOKUP(Table1[[#This Row],[Country]],REF_Country!$A$1:$D$11,4,FALSE)</f>
        <v>0.11</v>
      </c>
      <c r="Q702">
        <f>VLOOKUP(Table1[[#This Row],[Category]],REF_Target!$A$1:$E$6,2,FALSE)</f>
        <v>30000</v>
      </c>
      <c r="R702">
        <f>Table1[[#This Row],[Quantity]]*Table1[[#This Row],[Unit_Price]]</f>
        <v>13581.900000000001</v>
      </c>
      <c r="S702">
        <f>Table1[[#This Row],[Gross_Sales]]*Table1[[#This Row],[Discount_Rate]]</f>
        <v>0</v>
      </c>
      <c r="T702">
        <f>Table1[[#This Row],[Gross_Sales]]-Table1[[#This Row],[Discount_Amount]]</f>
        <v>13581.900000000001</v>
      </c>
      <c r="U702">
        <f>VLOOKUP(Table1[[#This Row],[Category]],REF_Cost!$A$1:$B$6,2,FALSE)*Table1[[#This Row],[Quantity]]</f>
        <v>2000</v>
      </c>
      <c r="V702">
        <f>Table1[[#This Row],[Net_Sales]]-Table1[[#This Row],[Total_Cost]]</f>
        <v>11581.900000000001</v>
      </c>
      <c r="W702" t="str">
        <f>TEXT(Table1[[#This Row],[Order_Date]],"mmm")</f>
        <v>Apr</v>
      </c>
      <c r="X702">
        <f>ROUNDUP(MONTH(Table1[[#This Row],[Order_Date]])/3,0)</f>
        <v>2</v>
      </c>
      <c r="Y702">
        <f>YEAR(Table1[[#This Row],[Order_Date]])</f>
        <v>2024</v>
      </c>
    </row>
    <row r="703" spans="1:25" x14ac:dyDescent="0.25">
      <c r="A703" t="s">
        <v>2877</v>
      </c>
      <c r="B703" t="s">
        <v>2878</v>
      </c>
      <c r="C703" t="s">
        <v>2879</v>
      </c>
      <c r="D703" t="s">
        <v>2880</v>
      </c>
      <c r="E703" t="s">
        <v>200</v>
      </c>
      <c r="F703" t="s">
        <v>30</v>
      </c>
      <c r="G703" t="s">
        <v>139</v>
      </c>
      <c r="H703" t="s">
        <v>72</v>
      </c>
      <c r="I703" t="s">
        <v>51</v>
      </c>
      <c r="J703" t="s">
        <v>73</v>
      </c>
      <c r="K703">
        <v>10</v>
      </c>
      <c r="L703">
        <v>302.75</v>
      </c>
      <c r="M703" s="3">
        <v>0.2</v>
      </c>
      <c r="N703" t="str">
        <f>VLOOKUP(Table1[[#This Row],[Country]],REF_Country!$A$1:$D$11,2,FALSE)</f>
        <v>East Asia</v>
      </c>
      <c r="O703" t="str">
        <f>VLOOKUP(Table1[[#This Row],[Country]],REF_Country!$A$1:$D$11,3,FALSE)</f>
        <v>KR</v>
      </c>
      <c r="P703">
        <f>VLOOKUP(Table1[[#This Row],[Country]],REF_Country!$A$1:$D$11,4,FALSE)</f>
        <v>0.1</v>
      </c>
      <c r="Q703">
        <f>VLOOKUP(Table1[[#This Row],[Category]],REF_Target!$A$1:$E$6,2,FALSE)</f>
        <v>40000</v>
      </c>
      <c r="R703">
        <f>Table1[[#This Row],[Quantity]]*Table1[[#This Row],[Unit_Price]]</f>
        <v>3027.5</v>
      </c>
      <c r="S703">
        <f>Table1[[#This Row],[Gross_Sales]]*Table1[[#This Row],[Discount_Rate]]</f>
        <v>605.5</v>
      </c>
      <c r="T703">
        <f>Table1[[#This Row],[Gross_Sales]]-Table1[[#This Row],[Discount_Amount]]</f>
        <v>2422</v>
      </c>
      <c r="U703">
        <f>VLOOKUP(Table1[[#This Row],[Category]],REF_Cost!$A$1:$B$6,2,FALSE)*Table1[[#This Row],[Quantity]]</f>
        <v>1200</v>
      </c>
      <c r="V703">
        <f>Table1[[#This Row],[Net_Sales]]-Table1[[#This Row],[Total_Cost]]</f>
        <v>1222</v>
      </c>
      <c r="W703" t="str">
        <f>TEXT(Table1[[#This Row],[Order_Date]],"mmm")</f>
        <v>May</v>
      </c>
      <c r="X703">
        <f>ROUNDUP(MONTH(Table1[[#This Row],[Order_Date]])/3,0)</f>
        <v>2</v>
      </c>
      <c r="Y703">
        <f>YEAR(Table1[[#This Row],[Order_Date]])</f>
        <v>2024</v>
      </c>
    </row>
    <row r="704" spans="1:25" x14ac:dyDescent="0.25">
      <c r="A704" t="s">
        <v>2881</v>
      </c>
      <c r="B704" t="s">
        <v>2882</v>
      </c>
      <c r="C704" t="s">
        <v>2883</v>
      </c>
      <c r="D704" t="s">
        <v>2884</v>
      </c>
      <c r="E704" t="s">
        <v>83</v>
      </c>
      <c r="F704" t="s">
        <v>30</v>
      </c>
      <c r="G704" t="s">
        <v>139</v>
      </c>
      <c r="H704" t="s">
        <v>32</v>
      </c>
      <c r="I704" t="s">
        <v>33</v>
      </c>
      <c r="J704" t="s">
        <v>59</v>
      </c>
      <c r="K704">
        <v>5</v>
      </c>
      <c r="L704">
        <v>1097.4100000000001</v>
      </c>
      <c r="M704" s="3">
        <v>0</v>
      </c>
      <c r="N704" t="str">
        <f>VLOOKUP(Table1[[#This Row],[Country]],REF_Country!$A$1:$D$11,2,FALSE)</f>
        <v>South Asia</v>
      </c>
      <c r="O704" t="str">
        <f>VLOOKUP(Table1[[#This Row],[Country]],REF_Country!$A$1:$D$11,3,FALSE)</f>
        <v>IN</v>
      </c>
      <c r="P704">
        <f>VLOOKUP(Table1[[#This Row],[Country]],REF_Country!$A$1:$D$11,4,FALSE)</f>
        <v>0.18</v>
      </c>
      <c r="Q704">
        <f>VLOOKUP(Table1[[#This Row],[Category]],REF_Target!$A$1:$E$6,2,FALSE)</f>
        <v>40000</v>
      </c>
      <c r="R704">
        <f>Table1[[#This Row],[Quantity]]*Table1[[#This Row],[Unit_Price]]</f>
        <v>5487.05</v>
      </c>
      <c r="S704">
        <f>Table1[[#This Row],[Gross_Sales]]*Table1[[#This Row],[Discount_Rate]]</f>
        <v>0</v>
      </c>
      <c r="T704">
        <f>Table1[[#This Row],[Gross_Sales]]-Table1[[#This Row],[Discount_Amount]]</f>
        <v>5487.05</v>
      </c>
      <c r="U704">
        <f>VLOOKUP(Table1[[#This Row],[Category]],REF_Cost!$A$1:$B$6,2,FALSE)*Table1[[#This Row],[Quantity]]</f>
        <v>600</v>
      </c>
      <c r="V704">
        <f>Table1[[#This Row],[Net_Sales]]-Table1[[#This Row],[Total_Cost]]</f>
        <v>4887.05</v>
      </c>
      <c r="W704" t="str">
        <f>TEXT(Table1[[#This Row],[Order_Date]],"mmm")</f>
        <v>Mar</v>
      </c>
      <c r="X704">
        <f>ROUNDUP(MONTH(Table1[[#This Row],[Order_Date]])/3,0)</f>
        <v>1</v>
      </c>
      <c r="Y704">
        <f>YEAR(Table1[[#This Row],[Order_Date]])</f>
        <v>2024</v>
      </c>
    </row>
    <row r="705" spans="1:25" x14ac:dyDescent="0.25">
      <c r="A705" t="s">
        <v>2885</v>
      </c>
      <c r="B705" t="s">
        <v>2886</v>
      </c>
      <c r="C705" t="s">
        <v>2887</v>
      </c>
      <c r="D705" t="s">
        <v>2888</v>
      </c>
      <c r="E705" t="s">
        <v>149</v>
      </c>
      <c r="F705" t="s">
        <v>56</v>
      </c>
      <c r="G705" t="s">
        <v>190</v>
      </c>
      <c r="H705" t="s">
        <v>32</v>
      </c>
      <c r="I705" t="s">
        <v>33</v>
      </c>
      <c r="J705" t="s">
        <v>34</v>
      </c>
      <c r="K705">
        <v>7</v>
      </c>
      <c r="L705">
        <v>657.33</v>
      </c>
      <c r="M705" s="3">
        <v>0.05</v>
      </c>
      <c r="N705" t="str">
        <f>VLOOKUP(Table1[[#This Row],[Country]],REF_Country!$A$1:$D$11,2,FALSE)</f>
        <v>East Asia</v>
      </c>
      <c r="O705" t="str">
        <f>VLOOKUP(Table1[[#This Row],[Country]],REF_Country!$A$1:$D$11,3,FALSE)</f>
        <v>JP</v>
      </c>
      <c r="P705">
        <f>VLOOKUP(Table1[[#This Row],[Country]],REF_Country!$A$1:$D$11,4,FALSE)</f>
        <v>0.1</v>
      </c>
      <c r="Q705">
        <f>VLOOKUP(Table1[[#This Row],[Category]],REF_Target!$A$1:$E$6,2,FALSE)</f>
        <v>50000</v>
      </c>
      <c r="R705">
        <f>Table1[[#This Row],[Quantity]]*Table1[[#This Row],[Unit_Price]]</f>
        <v>4601.3100000000004</v>
      </c>
      <c r="S705">
        <f>Table1[[#This Row],[Gross_Sales]]*Table1[[#This Row],[Discount_Rate]]</f>
        <v>230.06550000000004</v>
      </c>
      <c r="T705">
        <f>Table1[[#This Row],[Gross_Sales]]-Table1[[#This Row],[Discount_Amount]]</f>
        <v>4371.2445000000007</v>
      </c>
      <c r="U705">
        <f>VLOOKUP(Table1[[#This Row],[Category]],REF_Cost!$A$1:$B$6,2,FALSE)*Table1[[#This Row],[Quantity]]</f>
        <v>3150</v>
      </c>
      <c r="V705">
        <f>Table1[[#This Row],[Net_Sales]]-Table1[[#This Row],[Total_Cost]]</f>
        <v>1221.2445000000007</v>
      </c>
      <c r="W705" t="str">
        <f>TEXT(Table1[[#This Row],[Order_Date]],"mmm")</f>
        <v>Oct</v>
      </c>
      <c r="X705">
        <f>ROUNDUP(MONTH(Table1[[#This Row],[Order_Date]])/3,0)</f>
        <v>4</v>
      </c>
      <c r="Y705">
        <f>YEAR(Table1[[#This Row],[Order_Date]])</f>
        <v>2024</v>
      </c>
    </row>
    <row r="706" spans="1:25" x14ac:dyDescent="0.25">
      <c r="A706" t="s">
        <v>2889</v>
      </c>
      <c r="B706" t="s">
        <v>2890</v>
      </c>
      <c r="C706" t="s">
        <v>2891</v>
      </c>
      <c r="D706" t="s">
        <v>2892</v>
      </c>
      <c r="E706" t="s">
        <v>64</v>
      </c>
      <c r="F706" t="s">
        <v>30</v>
      </c>
      <c r="G706" t="s">
        <v>269</v>
      </c>
      <c r="H706" t="s">
        <v>42</v>
      </c>
      <c r="I706" t="s">
        <v>66</v>
      </c>
      <c r="J706" t="s">
        <v>126</v>
      </c>
      <c r="K706">
        <v>7</v>
      </c>
      <c r="L706">
        <v>427.73</v>
      </c>
      <c r="M706" s="3">
        <v>0.15</v>
      </c>
      <c r="N706" t="str">
        <f>VLOOKUP(Table1[[#This Row],[Country]],REF_Country!$A$1:$D$11,2,FALSE)</f>
        <v>Southeast Asia</v>
      </c>
      <c r="O706" t="str">
        <f>VLOOKUP(Table1[[#This Row],[Country]],REF_Country!$A$1:$D$11,3,FALSE)</f>
        <v>ID</v>
      </c>
      <c r="P706">
        <f>VLOOKUP(Table1[[#This Row],[Country]],REF_Country!$A$1:$D$11,4,FALSE)</f>
        <v>0.11</v>
      </c>
      <c r="Q706">
        <f>VLOOKUP(Table1[[#This Row],[Category]],REF_Target!$A$1:$E$6,2,FALSE)</f>
        <v>40000</v>
      </c>
      <c r="R706">
        <f>Table1[[#This Row],[Quantity]]*Table1[[#This Row],[Unit_Price]]</f>
        <v>2994.11</v>
      </c>
      <c r="S706">
        <f>Table1[[#This Row],[Gross_Sales]]*Table1[[#This Row],[Discount_Rate]]</f>
        <v>449.11650000000003</v>
      </c>
      <c r="T706">
        <f>Table1[[#This Row],[Gross_Sales]]-Table1[[#This Row],[Discount_Amount]]</f>
        <v>2544.9935</v>
      </c>
      <c r="U706">
        <f>VLOOKUP(Table1[[#This Row],[Category]],REF_Cost!$A$1:$B$6,2,FALSE)*Table1[[#This Row],[Quantity]]</f>
        <v>840</v>
      </c>
      <c r="V706">
        <f>Table1[[#This Row],[Net_Sales]]-Table1[[#This Row],[Total_Cost]]</f>
        <v>1704.9935</v>
      </c>
      <c r="W706" t="str">
        <f>TEXT(Table1[[#This Row],[Order_Date]],"mmm")</f>
        <v>Jul</v>
      </c>
      <c r="X706">
        <f>ROUNDUP(MONTH(Table1[[#This Row],[Order_Date]])/3,0)</f>
        <v>3</v>
      </c>
      <c r="Y706">
        <f>YEAR(Table1[[#This Row],[Order_Date]])</f>
        <v>2024</v>
      </c>
    </row>
    <row r="707" spans="1:25" x14ac:dyDescent="0.25">
      <c r="A707" t="s">
        <v>2893</v>
      </c>
      <c r="B707" t="s">
        <v>2894</v>
      </c>
      <c r="C707" t="s">
        <v>2895</v>
      </c>
      <c r="D707" t="s">
        <v>2896</v>
      </c>
      <c r="E707" t="s">
        <v>83</v>
      </c>
      <c r="F707" t="s">
        <v>56</v>
      </c>
      <c r="G707" t="s">
        <v>95</v>
      </c>
      <c r="H707" t="s">
        <v>72</v>
      </c>
      <c r="I707" t="s">
        <v>43</v>
      </c>
      <c r="J707" t="s">
        <v>73</v>
      </c>
      <c r="K707">
        <v>7</v>
      </c>
      <c r="L707">
        <v>1467.47</v>
      </c>
      <c r="M707" s="3">
        <v>0</v>
      </c>
      <c r="N707" t="str">
        <f>VLOOKUP(Table1[[#This Row],[Country]],REF_Country!$A$1:$D$11,2,FALSE)</f>
        <v>South Asia</v>
      </c>
      <c r="O707" t="str">
        <f>VLOOKUP(Table1[[#This Row],[Country]],REF_Country!$A$1:$D$11,3,FALSE)</f>
        <v>IN</v>
      </c>
      <c r="P707">
        <f>VLOOKUP(Table1[[#This Row],[Country]],REF_Country!$A$1:$D$11,4,FALSE)</f>
        <v>0.18</v>
      </c>
      <c r="Q707">
        <f>VLOOKUP(Table1[[#This Row],[Category]],REF_Target!$A$1:$E$6,2,FALSE)</f>
        <v>50000</v>
      </c>
      <c r="R707">
        <f>Table1[[#This Row],[Quantity]]*Table1[[#This Row],[Unit_Price]]</f>
        <v>10272.290000000001</v>
      </c>
      <c r="S707">
        <f>Table1[[#This Row],[Gross_Sales]]*Table1[[#This Row],[Discount_Rate]]</f>
        <v>0</v>
      </c>
      <c r="T707">
        <f>Table1[[#This Row],[Gross_Sales]]-Table1[[#This Row],[Discount_Amount]]</f>
        <v>10272.290000000001</v>
      </c>
      <c r="U707">
        <f>VLOOKUP(Table1[[#This Row],[Category]],REF_Cost!$A$1:$B$6,2,FALSE)*Table1[[#This Row],[Quantity]]</f>
        <v>3150</v>
      </c>
      <c r="V707">
        <f>Table1[[#This Row],[Net_Sales]]-Table1[[#This Row],[Total_Cost]]</f>
        <v>7122.2900000000009</v>
      </c>
      <c r="W707" t="str">
        <f>TEXT(Table1[[#This Row],[Order_Date]],"mmm")</f>
        <v>Apr</v>
      </c>
      <c r="X707">
        <f>ROUNDUP(MONTH(Table1[[#This Row],[Order_Date]])/3,0)</f>
        <v>2</v>
      </c>
      <c r="Y707">
        <f>YEAR(Table1[[#This Row],[Order_Date]])</f>
        <v>2024</v>
      </c>
    </row>
    <row r="708" spans="1:25" x14ac:dyDescent="0.25">
      <c r="A708" t="s">
        <v>2897</v>
      </c>
      <c r="B708" t="s">
        <v>2898</v>
      </c>
      <c r="C708" t="s">
        <v>2899</v>
      </c>
      <c r="D708" t="s">
        <v>2900</v>
      </c>
      <c r="E708" t="s">
        <v>116</v>
      </c>
      <c r="F708" t="s">
        <v>56</v>
      </c>
      <c r="G708" t="s">
        <v>57</v>
      </c>
      <c r="H708" t="s">
        <v>58</v>
      </c>
      <c r="I708" t="s">
        <v>66</v>
      </c>
      <c r="J708" t="s">
        <v>73</v>
      </c>
      <c r="K708">
        <v>1</v>
      </c>
      <c r="L708">
        <v>656.44</v>
      </c>
      <c r="M708" s="3">
        <v>0.15</v>
      </c>
      <c r="N708" t="str">
        <f>VLOOKUP(Table1[[#This Row],[Country]],REF_Country!$A$1:$D$11,2,FALSE)</f>
        <v>Southeast Asia</v>
      </c>
      <c r="O708" t="str">
        <f>VLOOKUP(Table1[[#This Row],[Country]],REF_Country!$A$1:$D$11,3,FALSE)</f>
        <v>MY</v>
      </c>
      <c r="P708">
        <f>VLOOKUP(Table1[[#This Row],[Country]],REF_Country!$A$1:$D$11,4,FALSE)</f>
        <v>0.06</v>
      </c>
      <c r="Q708">
        <f>VLOOKUP(Table1[[#This Row],[Category]],REF_Target!$A$1:$E$6,2,FALSE)</f>
        <v>50000</v>
      </c>
      <c r="R708">
        <f>Table1[[#This Row],[Quantity]]*Table1[[#This Row],[Unit_Price]]</f>
        <v>656.44</v>
      </c>
      <c r="S708">
        <f>Table1[[#This Row],[Gross_Sales]]*Table1[[#This Row],[Discount_Rate]]</f>
        <v>98.466000000000008</v>
      </c>
      <c r="T708">
        <f>Table1[[#This Row],[Gross_Sales]]-Table1[[#This Row],[Discount_Amount]]</f>
        <v>557.97400000000005</v>
      </c>
      <c r="U708">
        <f>VLOOKUP(Table1[[#This Row],[Category]],REF_Cost!$A$1:$B$6,2,FALSE)*Table1[[#This Row],[Quantity]]</f>
        <v>450</v>
      </c>
      <c r="V708">
        <f>Table1[[#This Row],[Net_Sales]]-Table1[[#This Row],[Total_Cost]]</f>
        <v>107.97400000000005</v>
      </c>
      <c r="W708" t="str">
        <f>TEXT(Table1[[#This Row],[Order_Date]],"mmm")</f>
        <v>Jun</v>
      </c>
      <c r="X708">
        <f>ROUNDUP(MONTH(Table1[[#This Row],[Order_Date]])/3,0)</f>
        <v>2</v>
      </c>
      <c r="Y708">
        <f>YEAR(Table1[[#This Row],[Order_Date]])</f>
        <v>2024</v>
      </c>
    </row>
    <row r="709" spans="1:25" x14ac:dyDescent="0.25">
      <c r="A709" t="s">
        <v>2901</v>
      </c>
      <c r="B709" t="s">
        <v>2902</v>
      </c>
      <c r="C709" t="s">
        <v>2903</v>
      </c>
      <c r="D709" t="s">
        <v>2904</v>
      </c>
      <c r="E709" t="s">
        <v>64</v>
      </c>
      <c r="F709" t="s">
        <v>84</v>
      </c>
      <c r="G709" t="s">
        <v>90</v>
      </c>
      <c r="H709" t="s">
        <v>42</v>
      </c>
      <c r="I709" t="s">
        <v>51</v>
      </c>
      <c r="J709" t="s">
        <v>34</v>
      </c>
      <c r="K709">
        <v>2</v>
      </c>
      <c r="L709">
        <v>1194.26</v>
      </c>
      <c r="M709" s="3">
        <v>0.15</v>
      </c>
      <c r="N709" t="str">
        <f>VLOOKUP(Table1[[#This Row],[Country]],REF_Country!$A$1:$D$11,2,FALSE)</f>
        <v>Southeast Asia</v>
      </c>
      <c r="O709" t="str">
        <f>VLOOKUP(Table1[[#This Row],[Country]],REF_Country!$A$1:$D$11,3,FALSE)</f>
        <v>ID</v>
      </c>
      <c r="P709">
        <f>VLOOKUP(Table1[[#This Row],[Country]],REF_Country!$A$1:$D$11,4,FALSE)</f>
        <v>0.11</v>
      </c>
      <c r="Q709">
        <f>VLOOKUP(Table1[[#This Row],[Category]],REF_Target!$A$1:$E$6,2,FALSE)</f>
        <v>30000</v>
      </c>
      <c r="R709">
        <f>Table1[[#This Row],[Quantity]]*Table1[[#This Row],[Unit_Price]]</f>
        <v>2388.52</v>
      </c>
      <c r="S709">
        <f>Table1[[#This Row],[Gross_Sales]]*Table1[[#This Row],[Discount_Rate]]</f>
        <v>358.27799999999996</v>
      </c>
      <c r="T709">
        <f>Table1[[#This Row],[Gross_Sales]]-Table1[[#This Row],[Discount_Amount]]</f>
        <v>2030.242</v>
      </c>
      <c r="U709">
        <f>VLOOKUP(Table1[[#This Row],[Category]],REF_Cost!$A$1:$B$6,2,FALSE)*Table1[[#This Row],[Quantity]]</f>
        <v>400</v>
      </c>
      <c r="V709">
        <f>Table1[[#This Row],[Net_Sales]]-Table1[[#This Row],[Total_Cost]]</f>
        <v>1630.242</v>
      </c>
      <c r="W709" t="str">
        <f>TEXT(Table1[[#This Row],[Order_Date]],"mmm")</f>
        <v>Aug</v>
      </c>
      <c r="X709">
        <f>ROUNDUP(MONTH(Table1[[#This Row],[Order_Date]])/3,0)</f>
        <v>3</v>
      </c>
      <c r="Y709">
        <f>YEAR(Table1[[#This Row],[Order_Date]])</f>
        <v>2024</v>
      </c>
    </row>
    <row r="710" spans="1:25" x14ac:dyDescent="0.25">
      <c r="A710" t="s">
        <v>2905</v>
      </c>
      <c r="B710" t="s">
        <v>2906</v>
      </c>
      <c r="C710" t="s">
        <v>2907</v>
      </c>
      <c r="D710" t="s">
        <v>2908</v>
      </c>
      <c r="E710" t="s">
        <v>64</v>
      </c>
      <c r="F710" t="s">
        <v>49</v>
      </c>
      <c r="G710" t="s">
        <v>50</v>
      </c>
      <c r="H710" t="s">
        <v>32</v>
      </c>
      <c r="I710" t="s">
        <v>96</v>
      </c>
      <c r="J710" t="s">
        <v>126</v>
      </c>
      <c r="K710">
        <v>2</v>
      </c>
      <c r="L710">
        <v>1336.77</v>
      </c>
      <c r="M710" s="3">
        <v>0</v>
      </c>
      <c r="N710" t="str">
        <f>VLOOKUP(Table1[[#This Row],[Country]],REF_Country!$A$1:$D$11,2,FALSE)</f>
        <v>Southeast Asia</v>
      </c>
      <c r="O710" t="str">
        <f>VLOOKUP(Table1[[#This Row],[Country]],REF_Country!$A$1:$D$11,3,FALSE)</f>
        <v>ID</v>
      </c>
      <c r="P710">
        <f>VLOOKUP(Table1[[#This Row],[Country]],REF_Country!$A$1:$D$11,4,FALSE)</f>
        <v>0.11</v>
      </c>
      <c r="Q710">
        <f>VLOOKUP(Table1[[#This Row],[Category]],REF_Target!$A$1:$E$6,2,FALSE)</f>
        <v>35000</v>
      </c>
      <c r="R710">
        <f>Table1[[#This Row],[Quantity]]*Table1[[#This Row],[Unit_Price]]</f>
        <v>2673.54</v>
      </c>
      <c r="S710">
        <f>Table1[[#This Row],[Gross_Sales]]*Table1[[#This Row],[Discount_Rate]]</f>
        <v>0</v>
      </c>
      <c r="T710">
        <f>Table1[[#This Row],[Gross_Sales]]-Table1[[#This Row],[Discount_Amount]]</f>
        <v>2673.54</v>
      </c>
      <c r="U710">
        <f>VLOOKUP(Table1[[#This Row],[Category]],REF_Cost!$A$1:$B$6,2,FALSE)*Table1[[#This Row],[Quantity]]</f>
        <v>300</v>
      </c>
      <c r="V710">
        <f>Table1[[#This Row],[Net_Sales]]-Table1[[#This Row],[Total_Cost]]</f>
        <v>2373.54</v>
      </c>
      <c r="W710" t="str">
        <f>TEXT(Table1[[#This Row],[Order_Date]],"mmm")</f>
        <v>Mar</v>
      </c>
      <c r="X710">
        <f>ROUNDUP(MONTH(Table1[[#This Row],[Order_Date]])/3,0)</f>
        <v>1</v>
      </c>
      <c r="Y710">
        <f>YEAR(Table1[[#This Row],[Order_Date]])</f>
        <v>2024</v>
      </c>
    </row>
    <row r="711" spans="1:25" x14ac:dyDescent="0.25">
      <c r="A711" t="s">
        <v>2909</v>
      </c>
      <c r="B711" t="s">
        <v>2910</v>
      </c>
      <c r="C711" t="s">
        <v>2911</v>
      </c>
      <c r="D711" t="s">
        <v>2912</v>
      </c>
      <c r="E711" t="s">
        <v>116</v>
      </c>
      <c r="F711" t="s">
        <v>56</v>
      </c>
      <c r="G711" t="s">
        <v>101</v>
      </c>
      <c r="H711" t="s">
        <v>42</v>
      </c>
      <c r="I711" t="s">
        <v>51</v>
      </c>
      <c r="J711" t="s">
        <v>34</v>
      </c>
      <c r="K711">
        <v>5</v>
      </c>
      <c r="L711">
        <v>845.5</v>
      </c>
      <c r="M711" s="3">
        <v>0.1</v>
      </c>
      <c r="N711" t="str">
        <f>VLOOKUP(Table1[[#This Row],[Country]],REF_Country!$A$1:$D$11,2,FALSE)</f>
        <v>Southeast Asia</v>
      </c>
      <c r="O711" t="str">
        <f>VLOOKUP(Table1[[#This Row],[Country]],REF_Country!$A$1:$D$11,3,FALSE)</f>
        <v>MY</v>
      </c>
      <c r="P711">
        <f>VLOOKUP(Table1[[#This Row],[Country]],REF_Country!$A$1:$D$11,4,FALSE)</f>
        <v>0.06</v>
      </c>
      <c r="Q711">
        <f>VLOOKUP(Table1[[#This Row],[Category]],REF_Target!$A$1:$E$6,2,FALSE)</f>
        <v>50000</v>
      </c>
      <c r="R711">
        <f>Table1[[#This Row],[Quantity]]*Table1[[#This Row],[Unit_Price]]</f>
        <v>4227.5</v>
      </c>
      <c r="S711">
        <f>Table1[[#This Row],[Gross_Sales]]*Table1[[#This Row],[Discount_Rate]]</f>
        <v>422.75</v>
      </c>
      <c r="T711">
        <f>Table1[[#This Row],[Gross_Sales]]-Table1[[#This Row],[Discount_Amount]]</f>
        <v>3804.75</v>
      </c>
      <c r="U711">
        <f>VLOOKUP(Table1[[#This Row],[Category]],REF_Cost!$A$1:$B$6,2,FALSE)*Table1[[#This Row],[Quantity]]</f>
        <v>2250</v>
      </c>
      <c r="V711">
        <f>Table1[[#This Row],[Net_Sales]]-Table1[[#This Row],[Total_Cost]]</f>
        <v>1554.75</v>
      </c>
      <c r="W711" t="str">
        <f>TEXT(Table1[[#This Row],[Order_Date]],"mmm")</f>
        <v>Nov</v>
      </c>
      <c r="X711">
        <f>ROUNDUP(MONTH(Table1[[#This Row],[Order_Date]])/3,0)</f>
        <v>4</v>
      </c>
      <c r="Y711">
        <f>YEAR(Table1[[#This Row],[Order_Date]])</f>
        <v>2024</v>
      </c>
    </row>
    <row r="712" spans="1:25" x14ac:dyDescent="0.25">
      <c r="A712" t="s">
        <v>2913</v>
      </c>
      <c r="B712" t="s">
        <v>2914</v>
      </c>
      <c r="C712" t="s">
        <v>2915</v>
      </c>
      <c r="D712" t="s">
        <v>2916</v>
      </c>
      <c r="E712" t="s">
        <v>64</v>
      </c>
      <c r="F712" t="s">
        <v>49</v>
      </c>
      <c r="G712" t="s">
        <v>226</v>
      </c>
      <c r="H712" t="s">
        <v>32</v>
      </c>
      <c r="I712" t="s">
        <v>66</v>
      </c>
      <c r="J712" t="s">
        <v>126</v>
      </c>
      <c r="K712">
        <v>7</v>
      </c>
      <c r="L712">
        <v>704.35</v>
      </c>
      <c r="M712" s="3">
        <v>0.15</v>
      </c>
      <c r="N712" t="str">
        <f>VLOOKUP(Table1[[#This Row],[Country]],REF_Country!$A$1:$D$11,2,FALSE)</f>
        <v>Southeast Asia</v>
      </c>
      <c r="O712" t="str">
        <f>VLOOKUP(Table1[[#This Row],[Country]],REF_Country!$A$1:$D$11,3,FALSE)</f>
        <v>ID</v>
      </c>
      <c r="P712">
        <f>VLOOKUP(Table1[[#This Row],[Country]],REF_Country!$A$1:$D$11,4,FALSE)</f>
        <v>0.11</v>
      </c>
      <c r="Q712">
        <f>VLOOKUP(Table1[[#This Row],[Category]],REF_Target!$A$1:$E$6,2,FALSE)</f>
        <v>35000</v>
      </c>
      <c r="R712">
        <f>Table1[[#This Row],[Quantity]]*Table1[[#This Row],[Unit_Price]]</f>
        <v>4930.45</v>
      </c>
      <c r="S712">
        <f>Table1[[#This Row],[Gross_Sales]]*Table1[[#This Row],[Discount_Rate]]</f>
        <v>739.5675</v>
      </c>
      <c r="T712">
        <f>Table1[[#This Row],[Gross_Sales]]-Table1[[#This Row],[Discount_Amount]]</f>
        <v>4190.8824999999997</v>
      </c>
      <c r="U712">
        <f>VLOOKUP(Table1[[#This Row],[Category]],REF_Cost!$A$1:$B$6,2,FALSE)*Table1[[#This Row],[Quantity]]</f>
        <v>1050</v>
      </c>
      <c r="V712">
        <f>Table1[[#This Row],[Net_Sales]]-Table1[[#This Row],[Total_Cost]]</f>
        <v>3140.8824999999997</v>
      </c>
      <c r="W712" t="str">
        <f>TEXT(Table1[[#This Row],[Order_Date]],"mmm")</f>
        <v>Nov</v>
      </c>
      <c r="X712">
        <f>ROUNDUP(MONTH(Table1[[#This Row],[Order_Date]])/3,0)</f>
        <v>4</v>
      </c>
      <c r="Y712">
        <f>YEAR(Table1[[#This Row],[Order_Date]])</f>
        <v>2024</v>
      </c>
    </row>
    <row r="713" spans="1:25" x14ac:dyDescent="0.25">
      <c r="A713" t="s">
        <v>2917</v>
      </c>
      <c r="B713" t="s">
        <v>2918</v>
      </c>
      <c r="C713" t="s">
        <v>2919</v>
      </c>
      <c r="D713" t="s">
        <v>2920</v>
      </c>
      <c r="E713" t="s">
        <v>39</v>
      </c>
      <c r="F713" t="s">
        <v>56</v>
      </c>
      <c r="G713" t="s">
        <v>101</v>
      </c>
      <c r="H713" t="s">
        <v>72</v>
      </c>
      <c r="I713" t="s">
        <v>33</v>
      </c>
      <c r="J713" t="s">
        <v>73</v>
      </c>
      <c r="K713">
        <v>2</v>
      </c>
      <c r="L713">
        <v>33.25</v>
      </c>
      <c r="M713" s="3">
        <v>0.15</v>
      </c>
      <c r="N713" t="str">
        <f>VLOOKUP(Table1[[#This Row],[Country]],REF_Country!$A$1:$D$11,2,FALSE)</f>
        <v>Southeast Asia</v>
      </c>
      <c r="O713" t="str">
        <f>VLOOKUP(Table1[[#This Row],[Country]],REF_Country!$A$1:$D$11,3,FALSE)</f>
        <v>TH</v>
      </c>
      <c r="P713">
        <f>VLOOKUP(Table1[[#This Row],[Country]],REF_Country!$A$1:$D$11,4,FALSE)</f>
        <v>7.0000000000000007E-2</v>
      </c>
      <c r="Q713">
        <f>VLOOKUP(Table1[[#This Row],[Category]],REF_Target!$A$1:$E$6,2,FALSE)</f>
        <v>50000</v>
      </c>
      <c r="R713">
        <f>Table1[[#This Row],[Quantity]]*Table1[[#This Row],[Unit_Price]]</f>
        <v>66.5</v>
      </c>
      <c r="S713">
        <f>Table1[[#This Row],[Gross_Sales]]*Table1[[#This Row],[Discount_Rate]]</f>
        <v>9.9749999999999996</v>
      </c>
      <c r="T713">
        <f>Table1[[#This Row],[Gross_Sales]]-Table1[[#This Row],[Discount_Amount]]</f>
        <v>56.524999999999999</v>
      </c>
      <c r="U713">
        <f>VLOOKUP(Table1[[#This Row],[Category]],REF_Cost!$A$1:$B$6,2,FALSE)*Table1[[#This Row],[Quantity]]</f>
        <v>900</v>
      </c>
      <c r="V713">
        <f>Table1[[#This Row],[Net_Sales]]-Table1[[#This Row],[Total_Cost]]</f>
        <v>-843.47500000000002</v>
      </c>
      <c r="W713" t="str">
        <f>TEXT(Table1[[#This Row],[Order_Date]],"mmm")</f>
        <v>Sep</v>
      </c>
      <c r="X713">
        <f>ROUNDUP(MONTH(Table1[[#This Row],[Order_Date]])/3,0)</f>
        <v>3</v>
      </c>
      <c r="Y713">
        <f>YEAR(Table1[[#This Row],[Order_Date]])</f>
        <v>2024</v>
      </c>
    </row>
    <row r="714" spans="1:25" x14ac:dyDescent="0.25">
      <c r="A714" t="s">
        <v>2921</v>
      </c>
      <c r="B714" t="s">
        <v>2922</v>
      </c>
      <c r="C714" t="s">
        <v>2923</v>
      </c>
      <c r="D714" t="s">
        <v>2924</v>
      </c>
      <c r="E714" t="s">
        <v>149</v>
      </c>
      <c r="F714" t="s">
        <v>49</v>
      </c>
      <c r="G714" t="s">
        <v>259</v>
      </c>
      <c r="H714" t="s">
        <v>32</v>
      </c>
      <c r="I714" t="s">
        <v>51</v>
      </c>
      <c r="J714" t="s">
        <v>73</v>
      </c>
      <c r="K714">
        <v>4</v>
      </c>
      <c r="L714">
        <v>675.27</v>
      </c>
      <c r="M714" s="3">
        <v>0</v>
      </c>
      <c r="N714" t="str">
        <f>VLOOKUP(Table1[[#This Row],[Country]],REF_Country!$A$1:$D$11,2,FALSE)</f>
        <v>East Asia</v>
      </c>
      <c r="O714" t="str">
        <f>VLOOKUP(Table1[[#This Row],[Country]],REF_Country!$A$1:$D$11,3,FALSE)</f>
        <v>JP</v>
      </c>
      <c r="P714">
        <f>VLOOKUP(Table1[[#This Row],[Country]],REF_Country!$A$1:$D$11,4,FALSE)</f>
        <v>0.1</v>
      </c>
      <c r="Q714">
        <f>VLOOKUP(Table1[[#This Row],[Category]],REF_Target!$A$1:$E$6,2,FALSE)</f>
        <v>35000</v>
      </c>
      <c r="R714">
        <f>Table1[[#This Row],[Quantity]]*Table1[[#This Row],[Unit_Price]]</f>
        <v>2701.08</v>
      </c>
      <c r="S714">
        <f>Table1[[#This Row],[Gross_Sales]]*Table1[[#This Row],[Discount_Rate]]</f>
        <v>0</v>
      </c>
      <c r="T714">
        <f>Table1[[#This Row],[Gross_Sales]]-Table1[[#This Row],[Discount_Amount]]</f>
        <v>2701.08</v>
      </c>
      <c r="U714">
        <f>VLOOKUP(Table1[[#This Row],[Category]],REF_Cost!$A$1:$B$6,2,FALSE)*Table1[[#This Row],[Quantity]]</f>
        <v>600</v>
      </c>
      <c r="V714">
        <f>Table1[[#This Row],[Net_Sales]]-Table1[[#This Row],[Total_Cost]]</f>
        <v>2101.08</v>
      </c>
      <c r="W714" t="str">
        <f>TEXT(Table1[[#This Row],[Order_Date]],"mmm")</f>
        <v>Sep</v>
      </c>
      <c r="X714">
        <f>ROUNDUP(MONTH(Table1[[#This Row],[Order_Date]])/3,0)</f>
        <v>3</v>
      </c>
      <c r="Y714">
        <f>YEAR(Table1[[#This Row],[Order_Date]])</f>
        <v>2024</v>
      </c>
    </row>
    <row r="715" spans="1:25" x14ac:dyDescent="0.25">
      <c r="A715" t="s">
        <v>2925</v>
      </c>
      <c r="B715" t="s">
        <v>2926</v>
      </c>
      <c r="C715" t="s">
        <v>2927</v>
      </c>
      <c r="D715" t="s">
        <v>2928</v>
      </c>
      <c r="E715" t="s">
        <v>71</v>
      </c>
      <c r="F715" t="s">
        <v>84</v>
      </c>
      <c r="G715" t="s">
        <v>90</v>
      </c>
      <c r="H715" t="s">
        <v>42</v>
      </c>
      <c r="I715" t="s">
        <v>66</v>
      </c>
      <c r="J715" t="s">
        <v>59</v>
      </c>
      <c r="K715">
        <v>3</v>
      </c>
      <c r="L715">
        <v>1329.55</v>
      </c>
      <c r="M715" s="3">
        <v>0</v>
      </c>
      <c r="N715" t="str">
        <f>VLOOKUP(Table1[[#This Row],[Country]],REF_Country!$A$1:$D$11,2,FALSE)</f>
        <v>Southeast Asia</v>
      </c>
      <c r="O715" t="str">
        <f>VLOOKUP(Table1[[#This Row],[Country]],REF_Country!$A$1:$D$11,3,FALSE)</f>
        <v>PH</v>
      </c>
      <c r="P715">
        <f>VLOOKUP(Table1[[#This Row],[Country]],REF_Country!$A$1:$D$11,4,FALSE)</f>
        <v>0.12</v>
      </c>
      <c r="Q715">
        <f>VLOOKUP(Table1[[#This Row],[Category]],REF_Target!$A$1:$E$6,2,FALSE)</f>
        <v>30000</v>
      </c>
      <c r="R715">
        <f>Table1[[#This Row],[Quantity]]*Table1[[#This Row],[Unit_Price]]</f>
        <v>3988.6499999999996</v>
      </c>
      <c r="S715">
        <f>Table1[[#This Row],[Gross_Sales]]*Table1[[#This Row],[Discount_Rate]]</f>
        <v>0</v>
      </c>
      <c r="T715">
        <f>Table1[[#This Row],[Gross_Sales]]-Table1[[#This Row],[Discount_Amount]]</f>
        <v>3988.6499999999996</v>
      </c>
      <c r="U715">
        <f>VLOOKUP(Table1[[#This Row],[Category]],REF_Cost!$A$1:$B$6,2,FALSE)*Table1[[#This Row],[Quantity]]</f>
        <v>600</v>
      </c>
      <c r="V715">
        <f>Table1[[#This Row],[Net_Sales]]-Table1[[#This Row],[Total_Cost]]</f>
        <v>3388.6499999999996</v>
      </c>
      <c r="W715" t="str">
        <f>TEXT(Table1[[#This Row],[Order_Date]],"mmm")</f>
        <v>Oct</v>
      </c>
      <c r="X715">
        <f>ROUNDUP(MONTH(Table1[[#This Row],[Order_Date]])/3,0)</f>
        <v>4</v>
      </c>
      <c r="Y715">
        <f>YEAR(Table1[[#This Row],[Order_Date]])</f>
        <v>2024</v>
      </c>
    </row>
    <row r="716" spans="1:25" x14ac:dyDescent="0.25">
      <c r="A716" t="s">
        <v>2929</v>
      </c>
      <c r="B716" t="s">
        <v>2930</v>
      </c>
      <c r="C716" t="s">
        <v>2931</v>
      </c>
      <c r="D716" t="s">
        <v>2932</v>
      </c>
      <c r="E716" t="s">
        <v>83</v>
      </c>
      <c r="F716" t="s">
        <v>30</v>
      </c>
      <c r="G716" t="s">
        <v>269</v>
      </c>
      <c r="H716" t="s">
        <v>42</v>
      </c>
      <c r="I716" t="s">
        <v>66</v>
      </c>
      <c r="J716" t="s">
        <v>73</v>
      </c>
      <c r="K716">
        <v>9</v>
      </c>
      <c r="L716">
        <v>367.52</v>
      </c>
      <c r="M716" s="3">
        <v>0</v>
      </c>
      <c r="N716" t="str">
        <f>VLOOKUP(Table1[[#This Row],[Country]],REF_Country!$A$1:$D$11,2,FALSE)</f>
        <v>South Asia</v>
      </c>
      <c r="O716" t="str">
        <f>VLOOKUP(Table1[[#This Row],[Country]],REF_Country!$A$1:$D$11,3,FALSE)</f>
        <v>IN</v>
      </c>
      <c r="P716">
        <f>VLOOKUP(Table1[[#This Row],[Country]],REF_Country!$A$1:$D$11,4,FALSE)</f>
        <v>0.18</v>
      </c>
      <c r="Q716">
        <f>VLOOKUP(Table1[[#This Row],[Category]],REF_Target!$A$1:$E$6,2,FALSE)</f>
        <v>40000</v>
      </c>
      <c r="R716">
        <f>Table1[[#This Row],[Quantity]]*Table1[[#This Row],[Unit_Price]]</f>
        <v>3307.68</v>
      </c>
      <c r="S716">
        <f>Table1[[#This Row],[Gross_Sales]]*Table1[[#This Row],[Discount_Rate]]</f>
        <v>0</v>
      </c>
      <c r="T716">
        <f>Table1[[#This Row],[Gross_Sales]]-Table1[[#This Row],[Discount_Amount]]</f>
        <v>3307.68</v>
      </c>
      <c r="U716">
        <f>VLOOKUP(Table1[[#This Row],[Category]],REF_Cost!$A$1:$B$6,2,FALSE)*Table1[[#This Row],[Quantity]]</f>
        <v>1080</v>
      </c>
      <c r="V716">
        <f>Table1[[#This Row],[Net_Sales]]-Table1[[#This Row],[Total_Cost]]</f>
        <v>2227.6799999999998</v>
      </c>
      <c r="W716" t="str">
        <f>TEXT(Table1[[#This Row],[Order_Date]],"mmm")</f>
        <v>Jul</v>
      </c>
      <c r="X716">
        <f>ROUNDUP(MONTH(Table1[[#This Row],[Order_Date]])/3,0)</f>
        <v>3</v>
      </c>
      <c r="Y716">
        <f>YEAR(Table1[[#This Row],[Order_Date]])</f>
        <v>2024</v>
      </c>
    </row>
    <row r="717" spans="1:25" x14ac:dyDescent="0.25">
      <c r="A717" t="s">
        <v>2933</v>
      </c>
      <c r="B717" t="s">
        <v>2934</v>
      </c>
      <c r="C717" t="s">
        <v>2935</v>
      </c>
      <c r="D717" t="s">
        <v>2936</v>
      </c>
      <c r="E717" t="s">
        <v>116</v>
      </c>
      <c r="F717" t="s">
        <v>84</v>
      </c>
      <c r="G717" t="s">
        <v>85</v>
      </c>
      <c r="H717" t="s">
        <v>58</v>
      </c>
      <c r="I717" t="s">
        <v>33</v>
      </c>
      <c r="J717" t="s">
        <v>59</v>
      </c>
      <c r="K717">
        <v>8</v>
      </c>
      <c r="L717">
        <v>1006.77</v>
      </c>
      <c r="M717" s="3">
        <v>0.15</v>
      </c>
      <c r="N717" t="str">
        <f>VLOOKUP(Table1[[#This Row],[Country]],REF_Country!$A$1:$D$11,2,FALSE)</f>
        <v>Southeast Asia</v>
      </c>
      <c r="O717" t="str">
        <f>VLOOKUP(Table1[[#This Row],[Country]],REF_Country!$A$1:$D$11,3,FALSE)</f>
        <v>MY</v>
      </c>
      <c r="P717">
        <f>VLOOKUP(Table1[[#This Row],[Country]],REF_Country!$A$1:$D$11,4,FALSE)</f>
        <v>0.06</v>
      </c>
      <c r="Q717">
        <f>VLOOKUP(Table1[[#This Row],[Category]],REF_Target!$A$1:$E$6,2,FALSE)</f>
        <v>30000</v>
      </c>
      <c r="R717">
        <f>Table1[[#This Row],[Quantity]]*Table1[[#This Row],[Unit_Price]]</f>
        <v>8054.16</v>
      </c>
      <c r="S717">
        <f>Table1[[#This Row],[Gross_Sales]]*Table1[[#This Row],[Discount_Rate]]</f>
        <v>1208.124</v>
      </c>
      <c r="T717">
        <f>Table1[[#This Row],[Gross_Sales]]-Table1[[#This Row],[Discount_Amount]]</f>
        <v>6846.0360000000001</v>
      </c>
      <c r="U717">
        <f>VLOOKUP(Table1[[#This Row],[Category]],REF_Cost!$A$1:$B$6,2,FALSE)*Table1[[#This Row],[Quantity]]</f>
        <v>1600</v>
      </c>
      <c r="V717">
        <f>Table1[[#This Row],[Net_Sales]]-Table1[[#This Row],[Total_Cost]]</f>
        <v>5246.0360000000001</v>
      </c>
      <c r="W717" t="str">
        <f>TEXT(Table1[[#This Row],[Order_Date]],"mmm")</f>
        <v>Nov</v>
      </c>
      <c r="X717">
        <f>ROUNDUP(MONTH(Table1[[#This Row],[Order_Date]])/3,0)</f>
        <v>4</v>
      </c>
      <c r="Y717">
        <f>YEAR(Table1[[#This Row],[Order_Date]])</f>
        <v>2024</v>
      </c>
    </row>
    <row r="718" spans="1:25" x14ac:dyDescent="0.25">
      <c r="A718" t="s">
        <v>2937</v>
      </c>
      <c r="B718" t="s">
        <v>2938</v>
      </c>
      <c r="C718" t="s">
        <v>2939</v>
      </c>
      <c r="D718" t="s">
        <v>2940</v>
      </c>
      <c r="E718" t="s">
        <v>48</v>
      </c>
      <c r="F718" t="s">
        <v>56</v>
      </c>
      <c r="G718" t="s">
        <v>57</v>
      </c>
      <c r="H718" t="s">
        <v>72</v>
      </c>
      <c r="I718" t="s">
        <v>51</v>
      </c>
      <c r="J718" t="s">
        <v>73</v>
      </c>
      <c r="K718">
        <v>1</v>
      </c>
      <c r="L718">
        <v>1316.02</v>
      </c>
      <c r="M718" s="3">
        <v>0.1</v>
      </c>
      <c r="N718" t="str">
        <f>VLOOKUP(Table1[[#This Row],[Country]],REF_Country!$A$1:$D$11,2,FALSE)</f>
        <v>Southeast Asia</v>
      </c>
      <c r="O718" t="str">
        <f>VLOOKUP(Table1[[#This Row],[Country]],REF_Country!$A$1:$D$11,3,FALSE)</f>
        <v>SG</v>
      </c>
      <c r="P718">
        <f>VLOOKUP(Table1[[#This Row],[Country]],REF_Country!$A$1:$D$11,4,FALSE)</f>
        <v>7.0000000000000007E-2</v>
      </c>
      <c r="Q718">
        <f>VLOOKUP(Table1[[#This Row],[Category]],REF_Target!$A$1:$E$6,2,FALSE)</f>
        <v>50000</v>
      </c>
      <c r="R718">
        <f>Table1[[#This Row],[Quantity]]*Table1[[#This Row],[Unit_Price]]</f>
        <v>1316.02</v>
      </c>
      <c r="S718">
        <f>Table1[[#This Row],[Gross_Sales]]*Table1[[#This Row],[Discount_Rate]]</f>
        <v>131.602</v>
      </c>
      <c r="T718">
        <f>Table1[[#This Row],[Gross_Sales]]-Table1[[#This Row],[Discount_Amount]]</f>
        <v>1184.4179999999999</v>
      </c>
      <c r="U718">
        <f>VLOOKUP(Table1[[#This Row],[Category]],REF_Cost!$A$1:$B$6,2,FALSE)*Table1[[#This Row],[Quantity]]</f>
        <v>450</v>
      </c>
      <c r="V718">
        <f>Table1[[#This Row],[Net_Sales]]-Table1[[#This Row],[Total_Cost]]</f>
        <v>734.41799999999989</v>
      </c>
      <c r="W718" t="str">
        <f>TEXT(Table1[[#This Row],[Order_Date]],"mmm")</f>
        <v>Jun</v>
      </c>
      <c r="X718">
        <f>ROUNDUP(MONTH(Table1[[#This Row],[Order_Date]])/3,0)</f>
        <v>2</v>
      </c>
      <c r="Y718">
        <f>YEAR(Table1[[#This Row],[Order_Date]])</f>
        <v>2024</v>
      </c>
    </row>
    <row r="719" spans="1:25" x14ac:dyDescent="0.25">
      <c r="A719" t="s">
        <v>2941</v>
      </c>
      <c r="B719" t="s">
        <v>2942</v>
      </c>
      <c r="C719" t="s">
        <v>2943</v>
      </c>
      <c r="D719" t="s">
        <v>2944</v>
      </c>
      <c r="E719" t="s">
        <v>39</v>
      </c>
      <c r="F719" t="s">
        <v>49</v>
      </c>
      <c r="G719" t="s">
        <v>50</v>
      </c>
      <c r="H719" t="s">
        <v>42</v>
      </c>
      <c r="I719" t="s">
        <v>43</v>
      </c>
      <c r="J719" t="s">
        <v>126</v>
      </c>
      <c r="K719">
        <v>7</v>
      </c>
      <c r="L719">
        <v>1213.8</v>
      </c>
      <c r="M719" s="3">
        <v>0</v>
      </c>
      <c r="N719" t="str">
        <f>VLOOKUP(Table1[[#This Row],[Country]],REF_Country!$A$1:$D$11,2,FALSE)</f>
        <v>Southeast Asia</v>
      </c>
      <c r="O719" t="str">
        <f>VLOOKUP(Table1[[#This Row],[Country]],REF_Country!$A$1:$D$11,3,FALSE)</f>
        <v>TH</v>
      </c>
      <c r="P719">
        <f>VLOOKUP(Table1[[#This Row],[Country]],REF_Country!$A$1:$D$11,4,FALSE)</f>
        <v>7.0000000000000007E-2</v>
      </c>
      <c r="Q719">
        <f>VLOOKUP(Table1[[#This Row],[Category]],REF_Target!$A$1:$E$6,2,FALSE)</f>
        <v>35000</v>
      </c>
      <c r="R719">
        <f>Table1[[#This Row],[Quantity]]*Table1[[#This Row],[Unit_Price]]</f>
        <v>8496.6</v>
      </c>
      <c r="S719">
        <f>Table1[[#This Row],[Gross_Sales]]*Table1[[#This Row],[Discount_Rate]]</f>
        <v>0</v>
      </c>
      <c r="T719">
        <f>Table1[[#This Row],[Gross_Sales]]-Table1[[#This Row],[Discount_Amount]]</f>
        <v>8496.6</v>
      </c>
      <c r="U719">
        <f>VLOOKUP(Table1[[#This Row],[Category]],REF_Cost!$A$1:$B$6,2,FALSE)*Table1[[#This Row],[Quantity]]</f>
        <v>1050</v>
      </c>
      <c r="V719">
        <f>Table1[[#This Row],[Net_Sales]]-Table1[[#This Row],[Total_Cost]]</f>
        <v>7446.6</v>
      </c>
      <c r="W719" t="str">
        <f>TEXT(Table1[[#This Row],[Order_Date]],"mmm")</f>
        <v>Aug</v>
      </c>
      <c r="X719">
        <f>ROUNDUP(MONTH(Table1[[#This Row],[Order_Date]])/3,0)</f>
        <v>3</v>
      </c>
      <c r="Y719">
        <f>YEAR(Table1[[#This Row],[Order_Date]])</f>
        <v>2024</v>
      </c>
    </row>
    <row r="720" spans="1:25" x14ac:dyDescent="0.25">
      <c r="A720" t="s">
        <v>2945</v>
      </c>
      <c r="B720" t="s">
        <v>2946</v>
      </c>
      <c r="C720" t="s">
        <v>2947</v>
      </c>
      <c r="D720" t="s">
        <v>2948</v>
      </c>
      <c r="E720" t="s">
        <v>64</v>
      </c>
      <c r="F720" t="s">
        <v>40</v>
      </c>
      <c r="G720" t="s">
        <v>144</v>
      </c>
      <c r="H720" t="s">
        <v>58</v>
      </c>
      <c r="I720" t="s">
        <v>51</v>
      </c>
      <c r="J720" t="s">
        <v>126</v>
      </c>
      <c r="K720">
        <v>8</v>
      </c>
      <c r="L720">
        <v>226.47</v>
      </c>
      <c r="M720" s="3">
        <v>0</v>
      </c>
      <c r="N720" t="str">
        <f>VLOOKUP(Table1[[#This Row],[Country]],REF_Country!$A$1:$D$11,2,FALSE)</f>
        <v>Southeast Asia</v>
      </c>
      <c r="O720" t="str">
        <f>VLOOKUP(Table1[[#This Row],[Country]],REF_Country!$A$1:$D$11,3,FALSE)</f>
        <v>ID</v>
      </c>
      <c r="P720">
        <f>VLOOKUP(Table1[[#This Row],[Country]],REF_Country!$A$1:$D$11,4,FALSE)</f>
        <v>0.11</v>
      </c>
      <c r="Q720">
        <f>VLOOKUP(Table1[[#This Row],[Category]],REF_Target!$A$1:$E$6,2,FALSE)</f>
        <v>45000</v>
      </c>
      <c r="R720">
        <f>Table1[[#This Row],[Quantity]]*Table1[[#This Row],[Unit_Price]]</f>
        <v>1811.76</v>
      </c>
      <c r="S720">
        <f>Table1[[#This Row],[Gross_Sales]]*Table1[[#This Row],[Discount_Rate]]</f>
        <v>0</v>
      </c>
      <c r="T720">
        <f>Table1[[#This Row],[Gross_Sales]]-Table1[[#This Row],[Discount_Amount]]</f>
        <v>1811.76</v>
      </c>
      <c r="U720">
        <f>VLOOKUP(Table1[[#This Row],[Category]],REF_Cost!$A$1:$B$6,2,FALSE)*Table1[[#This Row],[Quantity]]</f>
        <v>640</v>
      </c>
      <c r="V720">
        <f>Table1[[#This Row],[Net_Sales]]-Table1[[#This Row],[Total_Cost]]</f>
        <v>1171.76</v>
      </c>
      <c r="W720" t="str">
        <f>TEXT(Table1[[#This Row],[Order_Date]],"mmm")</f>
        <v>Jan</v>
      </c>
      <c r="X720">
        <f>ROUNDUP(MONTH(Table1[[#This Row],[Order_Date]])/3,0)</f>
        <v>1</v>
      </c>
      <c r="Y720">
        <f>YEAR(Table1[[#This Row],[Order_Date]])</f>
        <v>2024</v>
      </c>
    </row>
    <row r="721" spans="1:25" x14ac:dyDescent="0.25">
      <c r="A721" t="s">
        <v>2949</v>
      </c>
      <c r="B721" t="s">
        <v>2950</v>
      </c>
      <c r="C721" t="s">
        <v>2745</v>
      </c>
      <c r="D721" t="s">
        <v>2951</v>
      </c>
      <c r="E721" t="s">
        <v>39</v>
      </c>
      <c r="F721" t="s">
        <v>84</v>
      </c>
      <c r="G721" t="s">
        <v>85</v>
      </c>
      <c r="H721" t="s">
        <v>72</v>
      </c>
      <c r="I721" t="s">
        <v>43</v>
      </c>
      <c r="J721" t="s">
        <v>126</v>
      </c>
      <c r="K721">
        <v>9</v>
      </c>
      <c r="L721">
        <v>519.63</v>
      </c>
      <c r="M721" s="3">
        <v>0</v>
      </c>
      <c r="N721" t="str">
        <f>VLOOKUP(Table1[[#This Row],[Country]],REF_Country!$A$1:$D$11,2,FALSE)</f>
        <v>Southeast Asia</v>
      </c>
      <c r="O721" t="str">
        <f>VLOOKUP(Table1[[#This Row],[Country]],REF_Country!$A$1:$D$11,3,FALSE)</f>
        <v>TH</v>
      </c>
      <c r="P721">
        <f>VLOOKUP(Table1[[#This Row],[Country]],REF_Country!$A$1:$D$11,4,FALSE)</f>
        <v>7.0000000000000007E-2</v>
      </c>
      <c r="Q721">
        <f>VLOOKUP(Table1[[#This Row],[Category]],REF_Target!$A$1:$E$6,2,FALSE)</f>
        <v>30000</v>
      </c>
      <c r="R721">
        <f>Table1[[#This Row],[Quantity]]*Table1[[#This Row],[Unit_Price]]</f>
        <v>4676.67</v>
      </c>
      <c r="S721">
        <f>Table1[[#This Row],[Gross_Sales]]*Table1[[#This Row],[Discount_Rate]]</f>
        <v>0</v>
      </c>
      <c r="T721">
        <f>Table1[[#This Row],[Gross_Sales]]-Table1[[#This Row],[Discount_Amount]]</f>
        <v>4676.67</v>
      </c>
      <c r="U721">
        <f>VLOOKUP(Table1[[#This Row],[Category]],REF_Cost!$A$1:$B$6,2,FALSE)*Table1[[#This Row],[Quantity]]</f>
        <v>1800</v>
      </c>
      <c r="V721">
        <f>Table1[[#This Row],[Net_Sales]]-Table1[[#This Row],[Total_Cost]]</f>
        <v>2876.67</v>
      </c>
      <c r="W721" t="str">
        <f>TEXT(Table1[[#This Row],[Order_Date]],"mmm")</f>
        <v>Apr</v>
      </c>
      <c r="X721">
        <f>ROUNDUP(MONTH(Table1[[#This Row],[Order_Date]])/3,0)</f>
        <v>2</v>
      </c>
      <c r="Y721">
        <f>YEAR(Table1[[#This Row],[Order_Date]])</f>
        <v>2024</v>
      </c>
    </row>
    <row r="722" spans="1:25" x14ac:dyDescent="0.25">
      <c r="A722" t="s">
        <v>2952</v>
      </c>
      <c r="B722" t="s">
        <v>2953</v>
      </c>
      <c r="C722" t="s">
        <v>2954</v>
      </c>
      <c r="D722" t="s">
        <v>2955</v>
      </c>
      <c r="E722" t="s">
        <v>48</v>
      </c>
      <c r="F722" t="s">
        <v>49</v>
      </c>
      <c r="G722" t="s">
        <v>117</v>
      </c>
      <c r="H722" t="s">
        <v>42</v>
      </c>
      <c r="I722" t="s">
        <v>43</v>
      </c>
      <c r="J722" t="s">
        <v>59</v>
      </c>
      <c r="K722">
        <v>4</v>
      </c>
      <c r="L722">
        <v>517.5</v>
      </c>
      <c r="M722" s="3">
        <v>0.05</v>
      </c>
      <c r="N722" t="str">
        <f>VLOOKUP(Table1[[#This Row],[Country]],REF_Country!$A$1:$D$11,2,FALSE)</f>
        <v>Southeast Asia</v>
      </c>
      <c r="O722" t="str">
        <f>VLOOKUP(Table1[[#This Row],[Country]],REF_Country!$A$1:$D$11,3,FALSE)</f>
        <v>SG</v>
      </c>
      <c r="P722">
        <f>VLOOKUP(Table1[[#This Row],[Country]],REF_Country!$A$1:$D$11,4,FALSE)</f>
        <v>7.0000000000000007E-2</v>
      </c>
      <c r="Q722">
        <f>VLOOKUP(Table1[[#This Row],[Category]],REF_Target!$A$1:$E$6,2,FALSE)</f>
        <v>35000</v>
      </c>
      <c r="R722">
        <f>Table1[[#This Row],[Quantity]]*Table1[[#This Row],[Unit_Price]]</f>
        <v>2070</v>
      </c>
      <c r="S722">
        <f>Table1[[#This Row],[Gross_Sales]]*Table1[[#This Row],[Discount_Rate]]</f>
        <v>103.5</v>
      </c>
      <c r="T722">
        <f>Table1[[#This Row],[Gross_Sales]]-Table1[[#This Row],[Discount_Amount]]</f>
        <v>1966.5</v>
      </c>
      <c r="U722">
        <f>VLOOKUP(Table1[[#This Row],[Category]],REF_Cost!$A$1:$B$6,2,FALSE)*Table1[[#This Row],[Quantity]]</f>
        <v>600</v>
      </c>
      <c r="V722">
        <f>Table1[[#This Row],[Net_Sales]]-Table1[[#This Row],[Total_Cost]]</f>
        <v>1366.5</v>
      </c>
      <c r="W722" t="str">
        <f>TEXT(Table1[[#This Row],[Order_Date]],"mmm")</f>
        <v>May</v>
      </c>
      <c r="X722">
        <f>ROUNDUP(MONTH(Table1[[#This Row],[Order_Date]])/3,0)</f>
        <v>2</v>
      </c>
      <c r="Y722">
        <f>YEAR(Table1[[#This Row],[Order_Date]])</f>
        <v>2024</v>
      </c>
    </row>
    <row r="723" spans="1:25" x14ac:dyDescent="0.25">
      <c r="A723" t="s">
        <v>2956</v>
      </c>
      <c r="B723" t="s">
        <v>2957</v>
      </c>
      <c r="C723" t="s">
        <v>2958</v>
      </c>
      <c r="D723" t="s">
        <v>2959</v>
      </c>
      <c r="E723" t="s">
        <v>83</v>
      </c>
      <c r="F723" t="s">
        <v>49</v>
      </c>
      <c r="G723" t="s">
        <v>117</v>
      </c>
      <c r="H723" t="s">
        <v>72</v>
      </c>
      <c r="I723" t="s">
        <v>33</v>
      </c>
      <c r="J723" t="s">
        <v>34</v>
      </c>
      <c r="K723">
        <v>3</v>
      </c>
      <c r="L723">
        <v>190.96</v>
      </c>
      <c r="M723" s="3">
        <v>0</v>
      </c>
      <c r="N723" t="str">
        <f>VLOOKUP(Table1[[#This Row],[Country]],REF_Country!$A$1:$D$11,2,FALSE)</f>
        <v>South Asia</v>
      </c>
      <c r="O723" t="str">
        <f>VLOOKUP(Table1[[#This Row],[Country]],REF_Country!$A$1:$D$11,3,FALSE)</f>
        <v>IN</v>
      </c>
      <c r="P723">
        <f>VLOOKUP(Table1[[#This Row],[Country]],REF_Country!$A$1:$D$11,4,FALSE)</f>
        <v>0.18</v>
      </c>
      <c r="Q723">
        <f>VLOOKUP(Table1[[#This Row],[Category]],REF_Target!$A$1:$E$6,2,FALSE)</f>
        <v>35000</v>
      </c>
      <c r="R723">
        <f>Table1[[#This Row],[Quantity]]*Table1[[#This Row],[Unit_Price]]</f>
        <v>572.88</v>
      </c>
      <c r="S723">
        <f>Table1[[#This Row],[Gross_Sales]]*Table1[[#This Row],[Discount_Rate]]</f>
        <v>0</v>
      </c>
      <c r="T723">
        <f>Table1[[#This Row],[Gross_Sales]]-Table1[[#This Row],[Discount_Amount]]</f>
        <v>572.88</v>
      </c>
      <c r="U723">
        <f>VLOOKUP(Table1[[#This Row],[Category]],REF_Cost!$A$1:$B$6,2,FALSE)*Table1[[#This Row],[Quantity]]</f>
        <v>450</v>
      </c>
      <c r="V723">
        <f>Table1[[#This Row],[Net_Sales]]-Table1[[#This Row],[Total_Cost]]</f>
        <v>122.88</v>
      </c>
      <c r="W723" t="str">
        <f>TEXT(Table1[[#This Row],[Order_Date]],"mmm")</f>
        <v>Dec</v>
      </c>
      <c r="X723">
        <f>ROUNDUP(MONTH(Table1[[#This Row],[Order_Date]])/3,0)</f>
        <v>4</v>
      </c>
      <c r="Y723">
        <f>YEAR(Table1[[#This Row],[Order_Date]])</f>
        <v>2024</v>
      </c>
    </row>
    <row r="724" spans="1:25" x14ac:dyDescent="0.25">
      <c r="A724" t="s">
        <v>2960</v>
      </c>
      <c r="B724" t="s">
        <v>2961</v>
      </c>
      <c r="C724" t="s">
        <v>2962</v>
      </c>
      <c r="D724" t="s">
        <v>2963</v>
      </c>
      <c r="E724" t="s">
        <v>39</v>
      </c>
      <c r="F724" t="s">
        <v>56</v>
      </c>
      <c r="G724" t="s">
        <v>111</v>
      </c>
      <c r="H724" t="s">
        <v>72</v>
      </c>
      <c r="I724" t="s">
        <v>66</v>
      </c>
      <c r="J724" t="s">
        <v>73</v>
      </c>
      <c r="K724">
        <v>9</v>
      </c>
      <c r="L724">
        <v>887.18</v>
      </c>
      <c r="M724" s="3">
        <v>0.05</v>
      </c>
      <c r="N724" t="str">
        <f>VLOOKUP(Table1[[#This Row],[Country]],REF_Country!$A$1:$D$11,2,FALSE)</f>
        <v>Southeast Asia</v>
      </c>
      <c r="O724" t="str">
        <f>VLOOKUP(Table1[[#This Row],[Country]],REF_Country!$A$1:$D$11,3,FALSE)</f>
        <v>TH</v>
      </c>
      <c r="P724">
        <f>VLOOKUP(Table1[[#This Row],[Country]],REF_Country!$A$1:$D$11,4,FALSE)</f>
        <v>7.0000000000000007E-2</v>
      </c>
      <c r="Q724">
        <f>VLOOKUP(Table1[[#This Row],[Category]],REF_Target!$A$1:$E$6,2,FALSE)</f>
        <v>50000</v>
      </c>
      <c r="R724">
        <f>Table1[[#This Row],[Quantity]]*Table1[[#This Row],[Unit_Price]]</f>
        <v>7984.62</v>
      </c>
      <c r="S724">
        <f>Table1[[#This Row],[Gross_Sales]]*Table1[[#This Row],[Discount_Rate]]</f>
        <v>399.23099999999999</v>
      </c>
      <c r="T724">
        <f>Table1[[#This Row],[Gross_Sales]]-Table1[[#This Row],[Discount_Amount]]</f>
        <v>7585.3890000000001</v>
      </c>
      <c r="U724">
        <f>VLOOKUP(Table1[[#This Row],[Category]],REF_Cost!$A$1:$B$6,2,FALSE)*Table1[[#This Row],[Quantity]]</f>
        <v>4050</v>
      </c>
      <c r="V724">
        <f>Table1[[#This Row],[Net_Sales]]-Table1[[#This Row],[Total_Cost]]</f>
        <v>3535.3890000000001</v>
      </c>
      <c r="W724" t="str">
        <f>TEXT(Table1[[#This Row],[Order_Date]],"mmm")</f>
        <v>Jun</v>
      </c>
      <c r="X724">
        <f>ROUNDUP(MONTH(Table1[[#This Row],[Order_Date]])/3,0)</f>
        <v>2</v>
      </c>
      <c r="Y724">
        <f>YEAR(Table1[[#This Row],[Order_Date]])</f>
        <v>2024</v>
      </c>
    </row>
    <row r="725" spans="1:25" x14ac:dyDescent="0.25">
      <c r="A725" t="s">
        <v>2964</v>
      </c>
      <c r="B725" t="s">
        <v>2965</v>
      </c>
      <c r="C725" t="s">
        <v>2966</v>
      </c>
      <c r="D725" t="s">
        <v>2967</v>
      </c>
      <c r="E725" t="s">
        <v>48</v>
      </c>
      <c r="F725" t="s">
        <v>40</v>
      </c>
      <c r="G725" t="s">
        <v>41</v>
      </c>
      <c r="H725" t="s">
        <v>32</v>
      </c>
      <c r="I725" t="s">
        <v>96</v>
      </c>
      <c r="J725" t="s">
        <v>126</v>
      </c>
      <c r="K725">
        <v>4</v>
      </c>
      <c r="L725">
        <v>1330.46</v>
      </c>
      <c r="M725" s="3">
        <v>0.2</v>
      </c>
      <c r="N725" t="str">
        <f>VLOOKUP(Table1[[#This Row],[Country]],REF_Country!$A$1:$D$11,2,FALSE)</f>
        <v>Southeast Asia</v>
      </c>
      <c r="O725" t="str">
        <f>VLOOKUP(Table1[[#This Row],[Country]],REF_Country!$A$1:$D$11,3,FALSE)</f>
        <v>SG</v>
      </c>
      <c r="P725">
        <f>VLOOKUP(Table1[[#This Row],[Country]],REF_Country!$A$1:$D$11,4,FALSE)</f>
        <v>7.0000000000000007E-2</v>
      </c>
      <c r="Q725">
        <f>VLOOKUP(Table1[[#This Row],[Category]],REF_Target!$A$1:$E$6,2,FALSE)</f>
        <v>45000</v>
      </c>
      <c r="R725">
        <f>Table1[[#This Row],[Quantity]]*Table1[[#This Row],[Unit_Price]]</f>
        <v>5321.84</v>
      </c>
      <c r="S725">
        <f>Table1[[#This Row],[Gross_Sales]]*Table1[[#This Row],[Discount_Rate]]</f>
        <v>1064.3680000000002</v>
      </c>
      <c r="T725">
        <f>Table1[[#This Row],[Gross_Sales]]-Table1[[#This Row],[Discount_Amount]]</f>
        <v>4257.4719999999998</v>
      </c>
      <c r="U725">
        <f>VLOOKUP(Table1[[#This Row],[Category]],REF_Cost!$A$1:$B$6,2,FALSE)*Table1[[#This Row],[Quantity]]</f>
        <v>320</v>
      </c>
      <c r="V725">
        <f>Table1[[#This Row],[Net_Sales]]-Table1[[#This Row],[Total_Cost]]</f>
        <v>3937.4719999999998</v>
      </c>
      <c r="W725" t="str">
        <f>TEXT(Table1[[#This Row],[Order_Date]],"mmm")</f>
        <v>Nov</v>
      </c>
      <c r="X725">
        <f>ROUNDUP(MONTH(Table1[[#This Row],[Order_Date]])/3,0)</f>
        <v>4</v>
      </c>
      <c r="Y725">
        <f>YEAR(Table1[[#This Row],[Order_Date]])</f>
        <v>2024</v>
      </c>
    </row>
    <row r="726" spans="1:25" x14ac:dyDescent="0.25">
      <c r="A726" t="s">
        <v>2968</v>
      </c>
      <c r="B726" t="s">
        <v>2969</v>
      </c>
      <c r="C726" t="s">
        <v>2970</v>
      </c>
      <c r="D726" t="s">
        <v>2971</v>
      </c>
      <c r="E726" t="s">
        <v>78</v>
      </c>
      <c r="F726" t="s">
        <v>84</v>
      </c>
      <c r="G726" t="s">
        <v>264</v>
      </c>
      <c r="H726" t="s">
        <v>58</v>
      </c>
      <c r="I726" t="s">
        <v>33</v>
      </c>
      <c r="J726" t="s">
        <v>34</v>
      </c>
      <c r="K726">
        <v>3</v>
      </c>
      <c r="L726">
        <v>785.56</v>
      </c>
      <c r="M726" s="3">
        <v>0.05</v>
      </c>
      <c r="N726" t="str">
        <f>VLOOKUP(Table1[[#This Row],[Country]],REF_Country!$A$1:$D$11,2,FALSE)</f>
        <v>Oceania</v>
      </c>
      <c r="O726" t="str">
        <f>VLOOKUP(Table1[[#This Row],[Country]],REF_Country!$A$1:$D$11,3,FALSE)</f>
        <v>AU</v>
      </c>
      <c r="P726">
        <f>VLOOKUP(Table1[[#This Row],[Country]],REF_Country!$A$1:$D$11,4,FALSE)</f>
        <v>0.1</v>
      </c>
      <c r="Q726">
        <f>VLOOKUP(Table1[[#This Row],[Category]],REF_Target!$A$1:$E$6,2,FALSE)</f>
        <v>30000</v>
      </c>
      <c r="R726">
        <f>Table1[[#This Row],[Quantity]]*Table1[[#This Row],[Unit_Price]]</f>
        <v>2356.6799999999998</v>
      </c>
      <c r="S726">
        <f>Table1[[#This Row],[Gross_Sales]]*Table1[[#This Row],[Discount_Rate]]</f>
        <v>117.834</v>
      </c>
      <c r="T726">
        <f>Table1[[#This Row],[Gross_Sales]]-Table1[[#This Row],[Discount_Amount]]</f>
        <v>2238.846</v>
      </c>
      <c r="U726">
        <f>VLOOKUP(Table1[[#This Row],[Category]],REF_Cost!$A$1:$B$6,2,FALSE)*Table1[[#This Row],[Quantity]]</f>
        <v>600</v>
      </c>
      <c r="V726">
        <f>Table1[[#This Row],[Net_Sales]]-Table1[[#This Row],[Total_Cost]]</f>
        <v>1638.846</v>
      </c>
      <c r="W726" t="str">
        <f>TEXT(Table1[[#This Row],[Order_Date]],"mmm")</f>
        <v>Sep</v>
      </c>
      <c r="X726">
        <f>ROUNDUP(MONTH(Table1[[#This Row],[Order_Date]])/3,0)</f>
        <v>3</v>
      </c>
      <c r="Y726">
        <f>YEAR(Table1[[#This Row],[Order_Date]])</f>
        <v>2024</v>
      </c>
    </row>
    <row r="727" spans="1:25" x14ac:dyDescent="0.25">
      <c r="A727" t="s">
        <v>2972</v>
      </c>
      <c r="B727" t="s">
        <v>2973</v>
      </c>
      <c r="C727" t="s">
        <v>2974</v>
      </c>
      <c r="D727" t="s">
        <v>2975</v>
      </c>
      <c r="E727" t="s">
        <v>149</v>
      </c>
      <c r="F727" t="s">
        <v>40</v>
      </c>
      <c r="G727" t="s">
        <v>144</v>
      </c>
      <c r="H727" t="s">
        <v>72</v>
      </c>
      <c r="I727" t="s">
        <v>96</v>
      </c>
      <c r="J727" t="s">
        <v>73</v>
      </c>
      <c r="K727">
        <v>4</v>
      </c>
      <c r="L727">
        <v>322.69</v>
      </c>
      <c r="M727" s="3">
        <v>0.1</v>
      </c>
      <c r="N727" t="str">
        <f>VLOOKUP(Table1[[#This Row],[Country]],REF_Country!$A$1:$D$11,2,FALSE)</f>
        <v>East Asia</v>
      </c>
      <c r="O727" t="str">
        <f>VLOOKUP(Table1[[#This Row],[Country]],REF_Country!$A$1:$D$11,3,FALSE)</f>
        <v>JP</v>
      </c>
      <c r="P727">
        <f>VLOOKUP(Table1[[#This Row],[Country]],REF_Country!$A$1:$D$11,4,FALSE)</f>
        <v>0.1</v>
      </c>
      <c r="Q727">
        <f>VLOOKUP(Table1[[#This Row],[Category]],REF_Target!$A$1:$E$6,2,FALSE)</f>
        <v>45000</v>
      </c>
      <c r="R727">
        <f>Table1[[#This Row],[Quantity]]*Table1[[#This Row],[Unit_Price]]</f>
        <v>1290.76</v>
      </c>
      <c r="S727">
        <f>Table1[[#This Row],[Gross_Sales]]*Table1[[#This Row],[Discount_Rate]]</f>
        <v>129.07599999999999</v>
      </c>
      <c r="T727">
        <f>Table1[[#This Row],[Gross_Sales]]-Table1[[#This Row],[Discount_Amount]]</f>
        <v>1161.684</v>
      </c>
      <c r="U727">
        <f>VLOOKUP(Table1[[#This Row],[Category]],REF_Cost!$A$1:$B$6,2,FALSE)*Table1[[#This Row],[Quantity]]</f>
        <v>320</v>
      </c>
      <c r="V727">
        <f>Table1[[#This Row],[Net_Sales]]-Table1[[#This Row],[Total_Cost]]</f>
        <v>841.68399999999997</v>
      </c>
      <c r="W727" t="str">
        <f>TEXT(Table1[[#This Row],[Order_Date]],"mmm")</f>
        <v>Aug</v>
      </c>
      <c r="X727">
        <f>ROUNDUP(MONTH(Table1[[#This Row],[Order_Date]])/3,0)</f>
        <v>3</v>
      </c>
      <c r="Y727">
        <f>YEAR(Table1[[#This Row],[Order_Date]])</f>
        <v>2024</v>
      </c>
    </row>
    <row r="728" spans="1:25" x14ac:dyDescent="0.25">
      <c r="A728" t="s">
        <v>2976</v>
      </c>
      <c r="B728" t="s">
        <v>2977</v>
      </c>
      <c r="C728" t="s">
        <v>2978</v>
      </c>
      <c r="D728" t="s">
        <v>2979</v>
      </c>
      <c r="E728" t="s">
        <v>48</v>
      </c>
      <c r="F728" t="s">
        <v>84</v>
      </c>
      <c r="G728" t="s">
        <v>412</v>
      </c>
      <c r="H728" t="s">
        <v>58</v>
      </c>
      <c r="I728" t="s">
        <v>96</v>
      </c>
      <c r="J728" t="s">
        <v>59</v>
      </c>
      <c r="K728">
        <v>3</v>
      </c>
      <c r="L728">
        <v>832.57</v>
      </c>
      <c r="M728" s="3">
        <v>0</v>
      </c>
      <c r="N728" t="str">
        <f>VLOOKUP(Table1[[#This Row],[Country]],REF_Country!$A$1:$D$11,2,FALSE)</f>
        <v>Southeast Asia</v>
      </c>
      <c r="O728" t="str">
        <f>VLOOKUP(Table1[[#This Row],[Country]],REF_Country!$A$1:$D$11,3,FALSE)</f>
        <v>SG</v>
      </c>
      <c r="P728">
        <f>VLOOKUP(Table1[[#This Row],[Country]],REF_Country!$A$1:$D$11,4,FALSE)</f>
        <v>7.0000000000000007E-2</v>
      </c>
      <c r="Q728">
        <f>VLOOKUP(Table1[[#This Row],[Category]],REF_Target!$A$1:$E$6,2,FALSE)</f>
        <v>30000</v>
      </c>
      <c r="R728">
        <f>Table1[[#This Row],[Quantity]]*Table1[[#This Row],[Unit_Price]]</f>
        <v>2497.71</v>
      </c>
      <c r="S728">
        <f>Table1[[#This Row],[Gross_Sales]]*Table1[[#This Row],[Discount_Rate]]</f>
        <v>0</v>
      </c>
      <c r="T728">
        <f>Table1[[#This Row],[Gross_Sales]]-Table1[[#This Row],[Discount_Amount]]</f>
        <v>2497.71</v>
      </c>
      <c r="U728">
        <f>VLOOKUP(Table1[[#This Row],[Category]],REF_Cost!$A$1:$B$6,2,FALSE)*Table1[[#This Row],[Quantity]]</f>
        <v>600</v>
      </c>
      <c r="V728">
        <f>Table1[[#This Row],[Net_Sales]]-Table1[[#This Row],[Total_Cost]]</f>
        <v>1897.71</v>
      </c>
      <c r="W728" t="str">
        <f>TEXT(Table1[[#This Row],[Order_Date]],"mmm")</f>
        <v>Aug</v>
      </c>
      <c r="X728">
        <f>ROUNDUP(MONTH(Table1[[#This Row],[Order_Date]])/3,0)</f>
        <v>3</v>
      </c>
      <c r="Y728">
        <f>YEAR(Table1[[#This Row],[Order_Date]])</f>
        <v>2024</v>
      </c>
    </row>
    <row r="729" spans="1:25" x14ac:dyDescent="0.25">
      <c r="A729" t="s">
        <v>2980</v>
      </c>
      <c r="B729" t="s">
        <v>2981</v>
      </c>
      <c r="C729" t="s">
        <v>2982</v>
      </c>
      <c r="D729" t="s">
        <v>2983</v>
      </c>
      <c r="E729" t="s">
        <v>78</v>
      </c>
      <c r="F729" t="s">
        <v>40</v>
      </c>
      <c r="G729" t="s">
        <v>315</v>
      </c>
      <c r="H729" t="s">
        <v>42</v>
      </c>
      <c r="I729" t="s">
        <v>66</v>
      </c>
      <c r="J729" t="s">
        <v>34</v>
      </c>
      <c r="K729">
        <v>8</v>
      </c>
      <c r="L729">
        <v>647.76</v>
      </c>
      <c r="M729" s="3">
        <v>0.1</v>
      </c>
      <c r="N729" t="str">
        <f>VLOOKUP(Table1[[#This Row],[Country]],REF_Country!$A$1:$D$11,2,FALSE)</f>
        <v>Oceania</v>
      </c>
      <c r="O729" t="str">
        <f>VLOOKUP(Table1[[#This Row],[Country]],REF_Country!$A$1:$D$11,3,FALSE)</f>
        <v>AU</v>
      </c>
      <c r="P729">
        <f>VLOOKUP(Table1[[#This Row],[Country]],REF_Country!$A$1:$D$11,4,FALSE)</f>
        <v>0.1</v>
      </c>
      <c r="Q729">
        <f>VLOOKUP(Table1[[#This Row],[Category]],REF_Target!$A$1:$E$6,2,FALSE)</f>
        <v>45000</v>
      </c>
      <c r="R729">
        <f>Table1[[#This Row],[Quantity]]*Table1[[#This Row],[Unit_Price]]</f>
        <v>5182.08</v>
      </c>
      <c r="S729">
        <f>Table1[[#This Row],[Gross_Sales]]*Table1[[#This Row],[Discount_Rate]]</f>
        <v>518.20799999999997</v>
      </c>
      <c r="T729">
        <f>Table1[[#This Row],[Gross_Sales]]-Table1[[#This Row],[Discount_Amount]]</f>
        <v>4663.8720000000003</v>
      </c>
      <c r="U729">
        <f>VLOOKUP(Table1[[#This Row],[Category]],REF_Cost!$A$1:$B$6,2,FALSE)*Table1[[#This Row],[Quantity]]</f>
        <v>640</v>
      </c>
      <c r="V729">
        <f>Table1[[#This Row],[Net_Sales]]-Table1[[#This Row],[Total_Cost]]</f>
        <v>4023.8720000000003</v>
      </c>
      <c r="W729" t="str">
        <f>TEXT(Table1[[#This Row],[Order_Date]],"mmm")</f>
        <v>Oct</v>
      </c>
      <c r="X729">
        <f>ROUNDUP(MONTH(Table1[[#This Row],[Order_Date]])/3,0)</f>
        <v>4</v>
      </c>
      <c r="Y729">
        <f>YEAR(Table1[[#This Row],[Order_Date]])</f>
        <v>2024</v>
      </c>
    </row>
    <row r="730" spans="1:25" x14ac:dyDescent="0.25">
      <c r="A730" t="s">
        <v>2984</v>
      </c>
      <c r="B730" t="s">
        <v>2985</v>
      </c>
      <c r="C730" t="s">
        <v>2986</v>
      </c>
      <c r="D730" t="s">
        <v>2987</v>
      </c>
      <c r="E730" t="s">
        <v>48</v>
      </c>
      <c r="F730" t="s">
        <v>49</v>
      </c>
      <c r="G730" t="s">
        <v>286</v>
      </c>
      <c r="H730" t="s">
        <v>32</v>
      </c>
      <c r="I730" t="s">
        <v>66</v>
      </c>
      <c r="J730" t="s">
        <v>126</v>
      </c>
      <c r="K730">
        <v>2</v>
      </c>
      <c r="L730">
        <v>409.45</v>
      </c>
      <c r="M730" s="3">
        <v>0.05</v>
      </c>
      <c r="N730" t="str">
        <f>VLOOKUP(Table1[[#This Row],[Country]],REF_Country!$A$1:$D$11,2,FALSE)</f>
        <v>Southeast Asia</v>
      </c>
      <c r="O730" t="str">
        <f>VLOOKUP(Table1[[#This Row],[Country]],REF_Country!$A$1:$D$11,3,FALSE)</f>
        <v>SG</v>
      </c>
      <c r="P730">
        <f>VLOOKUP(Table1[[#This Row],[Country]],REF_Country!$A$1:$D$11,4,FALSE)</f>
        <v>7.0000000000000007E-2</v>
      </c>
      <c r="Q730">
        <f>VLOOKUP(Table1[[#This Row],[Category]],REF_Target!$A$1:$E$6,2,FALSE)</f>
        <v>35000</v>
      </c>
      <c r="R730">
        <f>Table1[[#This Row],[Quantity]]*Table1[[#This Row],[Unit_Price]]</f>
        <v>818.9</v>
      </c>
      <c r="S730">
        <f>Table1[[#This Row],[Gross_Sales]]*Table1[[#This Row],[Discount_Rate]]</f>
        <v>40.945</v>
      </c>
      <c r="T730">
        <f>Table1[[#This Row],[Gross_Sales]]-Table1[[#This Row],[Discount_Amount]]</f>
        <v>777.95499999999993</v>
      </c>
      <c r="U730">
        <f>VLOOKUP(Table1[[#This Row],[Category]],REF_Cost!$A$1:$B$6,2,FALSE)*Table1[[#This Row],[Quantity]]</f>
        <v>300</v>
      </c>
      <c r="V730">
        <f>Table1[[#This Row],[Net_Sales]]-Table1[[#This Row],[Total_Cost]]</f>
        <v>477.95499999999993</v>
      </c>
      <c r="W730" t="str">
        <f>TEXT(Table1[[#This Row],[Order_Date]],"mmm")</f>
        <v>May</v>
      </c>
      <c r="X730">
        <f>ROUNDUP(MONTH(Table1[[#This Row],[Order_Date]])/3,0)</f>
        <v>2</v>
      </c>
      <c r="Y730">
        <f>YEAR(Table1[[#This Row],[Order_Date]])</f>
        <v>2024</v>
      </c>
    </row>
    <row r="731" spans="1:25" x14ac:dyDescent="0.25">
      <c r="A731" t="s">
        <v>2988</v>
      </c>
      <c r="B731" t="s">
        <v>2989</v>
      </c>
      <c r="C731" t="s">
        <v>2990</v>
      </c>
      <c r="D731" t="s">
        <v>2991</v>
      </c>
      <c r="E731" t="s">
        <v>116</v>
      </c>
      <c r="F731" t="s">
        <v>84</v>
      </c>
      <c r="G731" t="s">
        <v>205</v>
      </c>
      <c r="H731" t="s">
        <v>58</v>
      </c>
      <c r="I731" t="s">
        <v>66</v>
      </c>
      <c r="J731" t="s">
        <v>59</v>
      </c>
      <c r="K731">
        <v>6</v>
      </c>
      <c r="L731">
        <v>825.85</v>
      </c>
      <c r="M731" s="3">
        <v>0</v>
      </c>
      <c r="N731" t="str">
        <f>VLOOKUP(Table1[[#This Row],[Country]],REF_Country!$A$1:$D$11,2,FALSE)</f>
        <v>Southeast Asia</v>
      </c>
      <c r="O731" t="str">
        <f>VLOOKUP(Table1[[#This Row],[Country]],REF_Country!$A$1:$D$11,3,FALSE)</f>
        <v>MY</v>
      </c>
      <c r="P731">
        <f>VLOOKUP(Table1[[#This Row],[Country]],REF_Country!$A$1:$D$11,4,FALSE)</f>
        <v>0.06</v>
      </c>
      <c r="Q731">
        <f>VLOOKUP(Table1[[#This Row],[Category]],REF_Target!$A$1:$E$6,2,FALSE)</f>
        <v>30000</v>
      </c>
      <c r="R731">
        <f>Table1[[#This Row],[Quantity]]*Table1[[#This Row],[Unit_Price]]</f>
        <v>4955.1000000000004</v>
      </c>
      <c r="S731">
        <f>Table1[[#This Row],[Gross_Sales]]*Table1[[#This Row],[Discount_Rate]]</f>
        <v>0</v>
      </c>
      <c r="T731">
        <f>Table1[[#This Row],[Gross_Sales]]-Table1[[#This Row],[Discount_Amount]]</f>
        <v>4955.1000000000004</v>
      </c>
      <c r="U731">
        <f>VLOOKUP(Table1[[#This Row],[Category]],REF_Cost!$A$1:$B$6,2,FALSE)*Table1[[#This Row],[Quantity]]</f>
        <v>1200</v>
      </c>
      <c r="V731">
        <f>Table1[[#This Row],[Net_Sales]]-Table1[[#This Row],[Total_Cost]]</f>
        <v>3755.1000000000004</v>
      </c>
      <c r="W731" t="str">
        <f>TEXT(Table1[[#This Row],[Order_Date]],"mmm")</f>
        <v>Apr</v>
      </c>
      <c r="X731">
        <f>ROUNDUP(MONTH(Table1[[#This Row],[Order_Date]])/3,0)</f>
        <v>2</v>
      </c>
      <c r="Y731">
        <f>YEAR(Table1[[#This Row],[Order_Date]])</f>
        <v>2024</v>
      </c>
    </row>
    <row r="732" spans="1:25" x14ac:dyDescent="0.25">
      <c r="A732" t="s">
        <v>2992</v>
      </c>
      <c r="B732" t="s">
        <v>2993</v>
      </c>
      <c r="C732" t="s">
        <v>2994</v>
      </c>
      <c r="D732" t="s">
        <v>2995</v>
      </c>
      <c r="E732" t="s">
        <v>83</v>
      </c>
      <c r="F732" t="s">
        <v>30</v>
      </c>
      <c r="G732" t="s">
        <v>139</v>
      </c>
      <c r="H732" t="s">
        <v>58</v>
      </c>
      <c r="I732" t="s">
        <v>66</v>
      </c>
      <c r="J732" t="s">
        <v>34</v>
      </c>
      <c r="K732">
        <v>1</v>
      </c>
      <c r="L732">
        <v>1369.89</v>
      </c>
      <c r="M732" s="3">
        <v>0.05</v>
      </c>
      <c r="N732" t="str">
        <f>VLOOKUP(Table1[[#This Row],[Country]],REF_Country!$A$1:$D$11,2,FALSE)</f>
        <v>South Asia</v>
      </c>
      <c r="O732" t="str">
        <f>VLOOKUP(Table1[[#This Row],[Country]],REF_Country!$A$1:$D$11,3,FALSE)</f>
        <v>IN</v>
      </c>
      <c r="P732">
        <f>VLOOKUP(Table1[[#This Row],[Country]],REF_Country!$A$1:$D$11,4,FALSE)</f>
        <v>0.18</v>
      </c>
      <c r="Q732">
        <f>VLOOKUP(Table1[[#This Row],[Category]],REF_Target!$A$1:$E$6,2,FALSE)</f>
        <v>40000</v>
      </c>
      <c r="R732">
        <f>Table1[[#This Row],[Quantity]]*Table1[[#This Row],[Unit_Price]]</f>
        <v>1369.89</v>
      </c>
      <c r="S732">
        <f>Table1[[#This Row],[Gross_Sales]]*Table1[[#This Row],[Discount_Rate]]</f>
        <v>68.494500000000002</v>
      </c>
      <c r="T732">
        <f>Table1[[#This Row],[Gross_Sales]]-Table1[[#This Row],[Discount_Amount]]</f>
        <v>1301.3955000000001</v>
      </c>
      <c r="U732">
        <f>VLOOKUP(Table1[[#This Row],[Category]],REF_Cost!$A$1:$B$6,2,FALSE)*Table1[[#This Row],[Quantity]]</f>
        <v>120</v>
      </c>
      <c r="V732">
        <f>Table1[[#This Row],[Net_Sales]]-Table1[[#This Row],[Total_Cost]]</f>
        <v>1181.3955000000001</v>
      </c>
      <c r="W732" t="str">
        <f>TEXT(Table1[[#This Row],[Order_Date]],"mmm")</f>
        <v>May</v>
      </c>
      <c r="X732">
        <f>ROUNDUP(MONTH(Table1[[#This Row],[Order_Date]])/3,0)</f>
        <v>2</v>
      </c>
      <c r="Y732">
        <f>YEAR(Table1[[#This Row],[Order_Date]])</f>
        <v>2024</v>
      </c>
    </row>
    <row r="733" spans="1:25" x14ac:dyDescent="0.25">
      <c r="A733" t="s">
        <v>2996</v>
      </c>
      <c r="B733" t="s">
        <v>2997</v>
      </c>
      <c r="C733" t="s">
        <v>2998</v>
      </c>
      <c r="D733" t="s">
        <v>2999</v>
      </c>
      <c r="E733" t="s">
        <v>200</v>
      </c>
      <c r="F733" t="s">
        <v>40</v>
      </c>
      <c r="G733" t="s">
        <v>106</v>
      </c>
      <c r="H733" t="s">
        <v>72</v>
      </c>
      <c r="I733" t="s">
        <v>96</v>
      </c>
      <c r="J733" t="s">
        <v>73</v>
      </c>
      <c r="K733">
        <v>4</v>
      </c>
      <c r="L733">
        <v>1300.22</v>
      </c>
      <c r="M733" s="3">
        <v>0</v>
      </c>
      <c r="N733" t="str">
        <f>VLOOKUP(Table1[[#This Row],[Country]],REF_Country!$A$1:$D$11,2,FALSE)</f>
        <v>East Asia</v>
      </c>
      <c r="O733" t="str">
        <f>VLOOKUP(Table1[[#This Row],[Country]],REF_Country!$A$1:$D$11,3,FALSE)</f>
        <v>KR</v>
      </c>
      <c r="P733">
        <f>VLOOKUP(Table1[[#This Row],[Country]],REF_Country!$A$1:$D$11,4,FALSE)</f>
        <v>0.1</v>
      </c>
      <c r="Q733">
        <f>VLOOKUP(Table1[[#This Row],[Category]],REF_Target!$A$1:$E$6,2,FALSE)</f>
        <v>45000</v>
      </c>
      <c r="R733">
        <f>Table1[[#This Row],[Quantity]]*Table1[[#This Row],[Unit_Price]]</f>
        <v>5200.88</v>
      </c>
      <c r="S733">
        <f>Table1[[#This Row],[Gross_Sales]]*Table1[[#This Row],[Discount_Rate]]</f>
        <v>0</v>
      </c>
      <c r="T733">
        <f>Table1[[#This Row],[Gross_Sales]]-Table1[[#This Row],[Discount_Amount]]</f>
        <v>5200.88</v>
      </c>
      <c r="U733">
        <f>VLOOKUP(Table1[[#This Row],[Category]],REF_Cost!$A$1:$B$6,2,FALSE)*Table1[[#This Row],[Quantity]]</f>
        <v>320</v>
      </c>
      <c r="V733">
        <f>Table1[[#This Row],[Net_Sales]]-Table1[[#This Row],[Total_Cost]]</f>
        <v>4880.88</v>
      </c>
      <c r="W733" t="str">
        <f>TEXT(Table1[[#This Row],[Order_Date]],"mmm")</f>
        <v>Oct</v>
      </c>
      <c r="X733">
        <f>ROUNDUP(MONTH(Table1[[#This Row],[Order_Date]])/3,0)</f>
        <v>4</v>
      </c>
      <c r="Y733">
        <f>YEAR(Table1[[#This Row],[Order_Date]])</f>
        <v>2024</v>
      </c>
    </row>
    <row r="734" spans="1:25" x14ac:dyDescent="0.25">
      <c r="A734" t="s">
        <v>3000</v>
      </c>
      <c r="B734" t="s">
        <v>3001</v>
      </c>
      <c r="C734" t="s">
        <v>3002</v>
      </c>
      <c r="D734" t="s">
        <v>3003</v>
      </c>
      <c r="E734" t="s">
        <v>200</v>
      </c>
      <c r="F734" t="s">
        <v>49</v>
      </c>
      <c r="G734" t="s">
        <v>50</v>
      </c>
      <c r="H734" t="s">
        <v>42</v>
      </c>
      <c r="I734" t="s">
        <v>96</v>
      </c>
      <c r="J734" t="s">
        <v>73</v>
      </c>
      <c r="K734">
        <v>6</v>
      </c>
      <c r="L734">
        <v>1190.99</v>
      </c>
      <c r="M734" s="3">
        <v>0</v>
      </c>
      <c r="N734" t="str">
        <f>VLOOKUP(Table1[[#This Row],[Country]],REF_Country!$A$1:$D$11,2,FALSE)</f>
        <v>East Asia</v>
      </c>
      <c r="O734" t="str">
        <f>VLOOKUP(Table1[[#This Row],[Country]],REF_Country!$A$1:$D$11,3,FALSE)</f>
        <v>KR</v>
      </c>
      <c r="P734">
        <f>VLOOKUP(Table1[[#This Row],[Country]],REF_Country!$A$1:$D$11,4,FALSE)</f>
        <v>0.1</v>
      </c>
      <c r="Q734">
        <f>VLOOKUP(Table1[[#This Row],[Category]],REF_Target!$A$1:$E$6,2,FALSE)</f>
        <v>35000</v>
      </c>
      <c r="R734">
        <f>Table1[[#This Row],[Quantity]]*Table1[[#This Row],[Unit_Price]]</f>
        <v>7145.9400000000005</v>
      </c>
      <c r="S734">
        <f>Table1[[#This Row],[Gross_Sales]]*Table1[[#This Row],[Discount_Rate]]</f>
        <v>0</v>
      </c>
      <c r="T734">
        <f>Table1[[#This Row],[Gross_Sales]]-Table1[[#This Row],[Discount_Amount]]</f>
        <v>7145.9400000000005</v>
      </c>
      <c r="U734">
        <f>VLOOKUP(Table1[[#This Row],[Category]],REF_Cost!$A$1:$B$6,2,FALSE)*Table1[[#This Row],[Quantity]]</f>
        <v>900</v>
      </c>
      <c r="V734">
        <f>Table1[[#This Row],[Net_Sales]]-Table1[[#This Row],[Total_Cost]]</f>
        <v>6245.9400000000005</v>
      </c>
      <c r="W734" t="str">
        <f>TEXT(Table1[[#This Row],[Order_Date]],"mmm")</f>
        <v>Oct</v>
      </c>
      <c r="X734">
        <f>ROUNDUP(MONTH(Table1[[#This Row],[Order_Date]])/3,0)</f>
        <v>4</v>
      </c>
      <c r="Y734">
        <f>YEAR(Table1[[#This Row],[Order_Date]])</f>
        <v>2024</v>
      </c>
    </row>
    <row r="735" spans="1:25" x14ac:dyDescent="0.25">
      <c r="A735" t="s">
        <v>3004</v>
      </c>
      <c r="B735" t="s">
        <v>3005</v>
      </c>
      <c r="C735" t="s">
        <v>3006</v>
      </c>
      <c r="D735" t="s">
        <v>3007</v>
      </c>
      <c r="E735" t="s">
        <v>71</v>
      </c>
      <c r="F735" t="s">
        <v>30</v>
      </c>
      <c r="G735" t="s">
        <v>139</v>
      </c>
      <c r="H735" t="s">
        <v>32</v>
      </c>
      <c r="I735" t="s">
        <v>96</v>
      </c>
      <c r="J735" t="s">
        <v>59</v>
      </c>
      <c r="K735">
        <v>5</v>
      </c>
      <c r="L735">
        <v>1312.52</v>
      </c>
      <c r="M735" s="3">
        <v>0.2</v>
      </c>
      <c r="N735" t="str">
        <f>VLOOKUP(Table1[[#This Row],[Country]],REF_Country!$A$1:$D$11,2,FALSE)</f>
        <v>Southeast Asia</v>
      </c>
      <c r="O735" t="str">
        <f>VLOOKUP(Table1[[#This Row],[Country]],REF_Country!$A$1:$D$11,3,FALSE)</f>
        <v>PH</v>
      </c>
      <c r="P735">
        <f>VLOOKUP(Table1[[#This Row],[Country]],REF_Country!$A$1:$D$11,4,FALSE)</f>
        <v>0.12</v>
      </c>
      <c r="Q735">
        <f>VLOOKUP(Table1[[#This Row],[Category]],REF_Target!$A$1:$E$6,2,FALSE)</f>
        <v>40000</v>
      </c>
      <c r="R735">
        <f>Table1[[#This Row],[Quantity]]*Table1[[#This Row],[Unit_Price]]</f>
        <v>6562.6</v>
      </c>
      <c r="S735">
        <f>Table1[[#This Row],[Gross_Sales]]*Table1[[#This Row],[Discount_Rate]]</f>
        <v>1312.5200000000002</v>
      </c>
      <c r="T735">
        <f>Table1[[#This Row],[Gross_Sales]]-Table1[[#This Row],[Discount_Amount]]</f>
        <v>5250.08</v>
      </c>
      <c r="U735">
        <f>VLOOKUP(Table1[[#This Row],[Category]],REF_Cost!$A$1:$B$6,2,FALSE)*Table1[[#This Row],[Quantity]]</f>
        <v>600</v>
      </c>
      <c r="V735">
        <f>Table1[[#This Row],[Net_Sales]]-Table1[[#This Row],[Total_Cost]]</f>
        <v>4650.08</v>
      </c>
      <c r="W735" t="str">
        <f>TEXT(Table1[[#This Row],[Order_Date]],"mmm")</f>
        <v>Aug</v>
      </c>
      <c r="X735">
        <f>ROUNDUP(MONTH(Table1[[#This Row],[Order_Date]])/3,0)</f>
        <v>3</v>
      </c>
      <c r="Y735">
        <f>YEAR(Table1[[#This Row],[Order_Date]])</f>
        <v>2024</v>
      </c>
    </row>
    <row r="736" spans="1:25" x14ac:dyDescent="0.25">
      <c r="A736" t="s">
        <v>3008</v>
      </c>
      <c r="B736" t="s">
        <v>3009</v>
      </c>
      <c r="C736" t="s">
        <v>3010</v>
      </c>
      <c r="D736" t="s">
        <v>3011</v>
      </c>
      <c r="E736" t="s">
        <v>149</v>
      </c>
      <c r="F736" t="s">
        <v>40</v>
      </c>
      <c r="G736" t="s">
        <v>315</v>
      </c>
      <c r="H736" t="s">
        <v>32</v>
      </c>
      <c r="I736" t="s">
        <v>43</v>
      </c>
      <c r="J736" t="s">
        <v>73</v>
      </c>
      <c r="K736">
        <v>1</v>
      </c>
      <c r="L736">
        <v>499.23</v>
      </c>
      <c r="M736" s="3">
        <v>0.15</v>
      </c>
      <c r="N736" t="str">
        <f>VLOOKUP(Table1[[#This Row],[Country]],REF_Country!$A$1:$D$11,2,FALSE)</f>
        <v>East Asia</v>
      </c>
      <c r="O736" t="str">
        <f>VLOOKUP(Table1[[#This Row],[Country]],REF_Country!$A$1:$D$11,3,FALSE)</f>
        <v>JP</v>
      </c>
      <c r="P736">
        <f>VLOOKUP(Table1[[#This Row],[Country]],REF_Country!$A$1:$D$11,4,FALSE)</f>
        <v>0.1</v>
      </c>
      <c r="Q736">
        <f>VLOOKUP(Table1[[#This Row],[Category]],REF_Target!$A$1:$E$6,2,FALSE)</f>
        <v>45000</v>
      </c>
      <c r="R736">
        <f>Table1[[#This Row],[Quantity]]*Table1[[#This Row],[Unit_Price]]</f>
        <v>499.23</v>
      </c>
      <c r="S736">
        <f>Table1[[#This Row],[Gross_Sales]]*Table1[[#This Row],[Discount_Rate]]</f>
        <v>74.884500000000003</v>
      </c>
      <c r="T736">
        <f>Table1[[#This Row],[Gross_Sales]]-Table1[[#This Row],[Discount_Amount]]</f>
        <v>424.34550000000002</v>
      </c>
      <c r="U736">
        <f>VLOOKUP(Table1[[#This Row],[Category]],REF_Cost!$A$1:$B$6,2,FALSE)*Table1[[#This Row],[Quantity]]</f>
        <v>80</v>
      </c>
      <c r="V736">
        <f>Table1[[#This Row],[Net_Sales]]-Table1[[#This Row],[Total_Cost]]</f>
        <v>344.34550000000002</v>
      </c>
      <c r="W736" t="str">
        <f>TEXT(Table1[[#This Row],[Order_Date]],"mmm")</f>
        <v>Apr</v>
      </c>
      <c r="X736">
        <f>ROUNDUP(MONTH(Table1[[#This Row],[Order_Date]])/3,0)</f>
        <v>2</v>
      </c>
      <c r="Y736">
        <f>YEAR(Table1[[#This Row],[Order_Date]])</f>
        <v>2024</v>
      </c>
    </row>
    <row r="737" spans="1:25" x14ac:dyDescent="0.25">
      <c r="A737" t="s">
        <v>3012</v>
      </c>
      <c r="B737" t="s">
        <v>3013</v>
      </c>
      <c r="C737" t="s">
        <v>3014</v>
      </c>
      <c r="D737" t="s">
        <v>3015</v>
      </c>
      <c r="E737" t="s">
        <v>83</v>
      </c>
      <c r="F737" t="s">
        <v>40</v>
      </c>
      <c r="G737" t="s">
        <v>565</v>
      </c>
      <c r="H737" t="s">
        <v>32</v>
      </c>
      <c r="I737" t="s">
        <v>33</v>
      </c>
      <c r="J737" t="s">
        <v>34</v>
      </c>
      <c r="K737">
        <v>4</v>
      </c>
      <c r="L737">
        <v>1470.56</v>
      </c>
      <c r="M737" s="3">
        <v>0.1</v>
      </c>
      <c r="N737" t="str">
        <f>VLOOKUP(Table1[[#This Row],[Country]],REF_Country!$A$1:$D$11,2,FALSE)</f>
        <v>South Asia</v>
      </c>
      <c r="O737" t="str">
        <f>VLOOKUP(Table1[[#This Row],[Country]],REF_Country!$A$1:$D$11,3,FALSE)</f>
        <v>IN</v>
      </c>
      <c r="P737">
        <f>VLOOKUP(Table1[[#This Row],[Country]],REF_Country!$A$1:$D$11,4,FALSE)</f>
        <v>0.18</v>
      </c>
      <c r="Q737">
        <f>VLOOKUP(Table1[[#This Row],[Category]],REF_Target!$A$1:$E$6,2,FALSE)</f>
        <v>45000</v>
      </c>
      <c r="R737">
        <f>Table1[[#This Row],[Quantity]]*Table1[[#This Row],[Unit_Price]]</f>
        <v>5882.24</v>
      </c>
      <c r="S737">
        <f>Table1[[#This Row],[Gross_Sales]]*Table1[[#This Row],[Discount_Rate]]</f>
        <v>588.22400000000005</v>
      </c>
      <c r="T737">
        <f>Table1[[#This Row],[Gross_Sales]]-Table1[[#This Row],[Discount_Amount]]</f>
        <v>5294.0159999999996</v>
      </c>
      <c r="U737">
        <f>VLOOKUP(Table1[[#This Row],[Category]],REF_Cost!$A$1:$B$6,2,FALSE)*Table1[[#This Row],[Quantity]]</f>
        <v>320</v>
      </c>
      <c r="V737">
        <f>Table1[[#This Row],[Net_Sales]]-Table1[[#This Row],[Total_Cost]]</f>
        <v>4974.0159999999996</v>
      </c>
      <c r="W737" t="str">
        <f>TEXT(Table1[[#This Row],[Order_Date]],"mmm")</f>
        <v>Nov</v>
      </c>
      <c r="X737">
        <f>ROUNDUP(MONTH(Table1[[#This Row],[Order_Date]])/3,0)</f>
        <v>4</v>
      </c>
      <c r="Y737">
        <f>YEAR(Table1[[#This Row],[Order_Date]])</f>
        <v>2024</v>
      </c>
    </row>
    <row r="738" spans="1:25" x14ac:dyDescent="0.25">
      <c r="A738" t="s">
        <v>3016</v>
      </c>
      <c r="B738" t="s">
        <v>3017</v>
      </c>
      <c r="C738" t="s">
        <v>3018</v>
      </c>
      <c r="D738" t="s">
        <v>3019</v>
      </c>
      <c r="E738" t="s">
        <v>83</v>
      </c>
      <c r="F738" t="s">
        <v>49</v>
      </c>
      <c r="G738" t="s">
        <v>50</v>
      </c>
      <c r="H738" t="s">
        <v>72</v>
      </c>
      <c r="I738" t="s">
        <v>51</v>
      </c>
      <c r="J738" t="s">
        <v>34</v>
      </c>
      <c r="K738">
        <v>2</v>
      </c>
      <c r="L738">
        <v>153.46</v>
      </c>
      <c r="M738" s="3">
        <v>0.2</v>
      </c>
      <c r="N738" t="str">
        <f>VLOOKUP(Table1[[#This Row],[Country]],REF_Country!$A$1:$D$11,2,FALSE)</f>
        <v>South Asia</v>
      </c>
      <c r="O738" t="str">
        <f>VLOOKUP(Table1[[#This Row],[Country]],REF_Country!$A$1:$D$11,3,FALSE)</f>
        <v>IN</v>
      </c>
      <c r="P738">
        <f>VLOOKUP(Table1[[#This Row],[Country]],REF_Country!$A$1:$D$11,4,FALSE)</f>
        <v>0.18</v>
      </c>
      <c r="Q738">
        <f>VLOOKUP(Table1[[#This Row],[Category]],REF_Target!$A$1:$E$6,2,FALSE)</f>
        <v>35000</v>
      </c>
      <c r="R738">
        <f>Table1[[#This Row],[Quantity]]*Table1[[#This Row],[Unit_Price]]</f>
        <v>306.92</v>
      </c>
      <c r="S738">
        <f>Table1[[#This Row],[Gross_Sales]]*Table1[[#This Row],[Discount_Rate]]</f>
        <v>61.384000000000007</v>
      </c>
      <c r="T738">
        <f>Table1[[#This Row],[Gross_Sales]]-Table1[[#This Row],[Discount_Amount]]</f>
        <v>245.536</v>
      </c>
      <c r="U738">
        <f>VLOOKUP(Table1[[#This Row],[Category]],REF_Cost!$A$1:$B$6,2,FALSE)*Table1[[#This Row],[Quantity]]</f>
        <v>300</v>
      </c>
      <c r="V738">
        <f>Table1[[#This Row],[Net_Sales]]-Table1[[#This Row],[Total_Cost]]</f>
        <v>-54.463999999999999</v>
      </c>
      <c r="W738" t="str">
        <f>TEXT(Table1[[#This Row],[Order_Date]],"mmm")</f>
        <v>Aug</v>
      </c>
      <c r="X738">
        <f>ROUNDUP(MONTH(Table1[[#This Row],[Order_Date]])/3,0)</f>
        <v>3</v>
      </c>
      <c r="Y738">
        <f>YEAR(Table1[[#This Row],[Order_Date]])</f>
        <v>2024</v>
      </c>
    </row>
    <row r="739" spans="1:25" x14ac:dyDescent="0.25">
      <c r="A739" t="s">
        <v>3020</v>
      </c>
      <c r="B739" t="s">
        <v>3021</v>
      </c>
      <c r="C739" t="s">
        <v>3022</v>
      </c>
      <c r="D739" t="s">
        <v>3023</v>
      </c>
      <c r="E739" t="s">
        <v>149</v>
      </c>
      <c r="F739" t="s">
        <v>84</v>
      </c>
      <c r="G739" t="s">
        <v>85</v>
      </c>
      <c r="H739" t="s">
        <v>42</v>
      </c>
      <c r="I739" t="s">
        <v>51</v>
      </c>
      <c r="J739" t="s">
        <v>59</v>
      </c>
      <c r="K739">
        <v>9</v>
      </c>
      <c r="L739">
        <v>361.06</v>
      </c>
      <c r="M739" s="3">
        <v>0</v>
      </c>
      <c r="N739" t="str">
        <f>VLOOKUP(Table1[[#This Row],[Country]],REF_Country!$A$1:$D$11,2,FALSE)</f>
        <v>East Asia</v>
      </c>
      <c r="O739" t="str">
        <f>VLOOKUP(Table1[[#This Row],[Country]],REF_Country!$A$1:$D$11,3,FALSE)</f>
        <v>JP</v>
      </c>
      <c r="P739">
        <f>VLOOKUP(Table1[[#This Row],[Country]],REF_Country!$A$1:$D$11,4,FALSE)</f>
        <v>0.1</v>
      </c>
      <c r="Q739">
        <f>VLOOKUP(Table1[[#This Row],[Category]],REF_Target!$A$1:$E$6,2,FALSE)</f>
        <v>30000</v>
      </c>
      <c r="R739">
        <f>Table1[[#This Row],[Quantity]]*Table1[[#This Row],[Unit_Price]]</f>
        <v>3249.54</v>
      </c>
      <c r="S739">
        <f>Table1[[#This Row],[Gross_Sales]]*Table1[[#This Row],[Discount_Rate]]</f>
        <v>0</v>
      </c>
      <c r="T739">
        <f>Table1[[#This Row],[Gross_Sales]]-Table1[[#This Row],[Discount_Amount]]</f>
        <v>3249.54</v>
      </c>
      <c r="U739">
        <f>VLOOKUP(Table1[[#This Row],[Category]],REF_Cost!$A$1:$B$6,2,FALSE)*Table1[[#This Row],[Quantity]]</f>
        <v>1800</v>
      </c>
      <c r="V739">
        <f>Table1[[#This Row],[Net_Sales]]-Table1[[#This Row],[Total_Cost]]</f>
        <v>1449.54</v>
      </c>
      <c r="W739" t="str">
        <f>TEXT(Table1[[#This Row],[Order_Date]],"mmm")</f>
        <v>Apr</v>
      </c>
      <c r="X739">
        <f>ROUNDUP(MONTH(Table1[[#This Row],[Order_Date]])/3,0)</f>
        <v>2</v>
      </c>
      <c r="Y739">
        <f>YEAR(Table1[[#This Row],[Order_Date]])</f>
        <v>2024</v>
      </c>
    </row>
    <row r="740" spans="1:25" x14ac:dyDescent="0.25">
      <c r="A740" t="s">
        <v>3024</v>
      </c>
      <c r="B740" t="s">
        <v>3025</v>
      </c>
      <c r="C740" t="s">
        <v>3026</v>
      </c>
      <c r="D740" t="s">
        <v>3027</v>
      </c>
      <c r="E740" t="s">
        <v>149</v>
      </c>
      <c r="F740" t="s">
        <v>49</v>
      </c>
      <c r="G740" t="s">
        <v>286</v>
      </c>
      <c r="H740" t="s">
        <v>42</v>
      </c>
      <c r="I740" t="s">
        <v>96</v>
      </c>
      <c r="J740" t="s">
        <v>126</v>
      </c>
      <c r="K740">
        <v>3</v>
      </c>
      <c r="L740">
        <v>1484.55</v>
      </c>
      <c r="M740" s="3">
        <v>0.15</v>
      </c>
      <c r="N740" t="str">
        <f>VLOOKUP(Table1[[#This Row],[Country]],REF_Country!$A$1:$D$11,2,FALSE)</f>
        <v>East Asia</v>
      </c>
      <c r="O740" t="str">
        <f>VLOOKUP(Table1[[#This Row],[Country]],REF_Country!$A$1:$D$11,3,FALSE)</f>
        <v>JP</v>
      </c>
      <c r="P740">
        <f>VLOOKUP(Table1[[#This Row],[Country]],REF_Country!$A$1:$D$11,4,FALSE)</f>
        <v>0.1</v>
      </c>
      <c r="Q740">
        <f>VLOOKUP(Table1[[#This Row],[Category]],REF_Target!$A$1:$E$6,2,FALSE)</f>
        <v>35000</v>
      </c>
      <c r="R740">
        <f>Table1[[#This Row],[Quantity]]*Table1[[#This Row],[Unit_Price]]</f>
        <v>4453.6499999999996</v>
      </c>
      <c r="S740">
        <f>Table1[[#This Row],[Gross_Sales]]*Table1[[#This Row],[Discount_Rate]]</f>
        <v>668.0474999999999</v>
      </c>
      <c r="T740">
        <f>Table1[[#This Row],[Gross_Sales]]-Table1[[#This Row],[Discount_Amount]]</f>
        <v>3785.6025</v>
      </c>
      <c r="U740">
        <f>VLOOKUP(Table1[[#This Row],[Category]],REF_Cost!$A$1:$B$6,2,FALSE)*Table1[[#This Row],[Quantity]]</f>
        <v>450</v>
      </c>
      <c r="V740">
        <f>Table1[[#This Row],[Net_Sales]]-Table1[[#This Row],[Total_Cost]]</f>
        <v>3335.6025</v>
      </c>
      <c r="W740" t="str">
        <f>TEXT(Table1[[#This Row],[Order_Date]],"mmm")</f>
        <v>Jan</v>
      </c>
      <c r="X740">
        <f>ROUNDUP(MONTH(Table1[[#This Row],[Order_Date]])/3,0)</f>
        <v>1</v>
      </c>
      <c r="Y740">
        <f>YEAR(Table1[[#This Row],[Order_Date]])</f>
        <v>2024</v>
      </c>
    </row>
    <row r="741" spans="1:25" x14ac:dyDescent="0.25">
      <c r="A741" t="s">
        <v>3028</v>
      </c>
      <c r="B741" t="s">
        <v>3029</v>
      </c>
      <c r="C741" t="s">
        <v>3030</v>
      </c>
      <c r="D741" t="s">
        <v>3031</v>
      </c>
      <c r="E741" t="s">
        <v>39</v>
      </c>
      <c r="F741" t="s">
        <v>84</v>
      </c>
      <c r="G741" t="s">
        <v>264</v>
      </c>
      <c r="H741" t="s">
        <v>58</v>
      </c>
      <c r="I741" t="s">
        <v>33</v>
      </c>
      <c r="J741" t="s">
        <v>73</v>
      </c>
      <c r="K741">
        <v>8</v>
      </c>
      <c r="L741">
        <v>1229.58</v>
      </c>
      <c r="M741" s="3">
        <v>0</v>
      </c>
      <c r="N741" t="str">
        <f>VLOOKUP(Table1[[#This Row],[Country]],REF_Country!$A$1:$D$11,2,FALSE)</f>
        <v>Southeast Asia</v>
      </c>
      <c r="O741" t="str">
        <f>VLOOKUP(Table1[[#This Row],[Country]],REF_Country!$A$1:$D$11,3,FALSE)</f>
        <v>TH</v>
      </c>
      <c r="P741">
        <f>VLOOKUP(Table1[[#This Row],[Country]],REF_Country!$A$1:$D$11,4,FALSE)</f>
        <v>7.0000000000000007E-2</v>
      </c>
      <c r="Q741">
        <f>VLOOKUP(Table1[[#This Row],[Category]],REF_Target!$A$1:$E$6,2,FALSE)</f>
        <v>30000</v>
      </c>
      <c r="R741">
        <f>Table1[[#This Row],[Quantity]]*Table1[[#This Row],[Unit_Price]]</f>
        <v>9836.64</v>
      </c>
      <c r="S741">
        <f>Table1[[#This Row],[Gross_Sales]]*Table1[[#This Row],[Discount_Rate]]</f>
        <v>0</v>
      </c>
      <c r="T741">
        <f>Table1[[#This Row],[Gross_Sales]]-Table1[[#This Row],[Discount_Amount]]</f>
        <v>9836.64</v>
      </c>
      <c r="U741">
        <f>VLOOKUP(Table1[[#This Row],[Category]],REF_Cost!$A$1:$B$6,2,FALSE)*Table1[[#This Row],[Quantity]]</f>
        <v>1600</v>
      </c>
      <c r="V741">
        <f>Table1[[#This Row],[Net_Sales]]-Table1[[#This Row],[Total_Cost]]</f>
        <v>8236.64</v>
      </c>
      <c r="W741" t="str">
        <f>TEXT(Table1[[#This Row],[Order_Date]],"mmm")</f>
        <v>Apr</v>
      </c>
      <c r="X741">
        <f>ROUNDUP(MONTH(Table1[[#This Row],[Order_Date]])/3,0)</f>
        <v>2</v>
      </c>
      <c r="Y741">
        <f>YEAR(Table1[[#This Row],[Order_Date]])</f>
        <v>2024</v>
      </c>
    </row>
    <row r="742" spans="1:25" x14ac:dyDescent="0.25">
      <c r="A742" t="s">
        <v>3032</v>
      </c>
      <c r="B742" t="s">
        <v>3033</v>
      </c>
      <c r="C742" t="s">
        <v>3034</v>
      </c>
      <c r="D742" t="s">
        <v>3035</v>
      </c>
      <c r="E742" t="s">
        <v>39</v>
      </c>
      <c r="F742" t="s">
        <v>56</v>
      </c>
      <c r="G742" t="s">
        <v>95</v>
      </c>
      <c r="H742" t="s">
        <v>72</v>
      </c>
      <c r="I742" t="s">
        <v>33</v>
      </c>
      <c r="J742" t="s">
        <v>59</v>
      </c>
      <c r="K742">
        <v>7</v>
      </c>
      <c r="L742">
        <v>676.91</v>
      </c>
      <c r="M742" s="3">
        <v>0.15</v>
      </c>
      <c r="N742" t="str">
        <f>VLOOKUP(Table1[[#This Row],[Country]],REF_Country!$A$1:$D$11,2,FALSE)</f>
        <v>Southeast Asia</v>
      </c>
      <c r="O742" t="str">
        <f>VLOOKUP(Table1[[#This Row],[Country]],REF_Country!$A$1:$D$11,3,FALSE)</f>
        <v>TH</v>
      </c>
      <c r="P742">
        <f>VLOOKUP(Table1[[#This Row],[Country]],REF_Country!$A$1:$D$11,4,FALSE)</f>
        <v>7.0000000000000007E-2</v>
      </c>
      <c r="Q742">
        <f>VLOOKUP(Table1[[#This Row],[Category]],REF_Target!$A$1:$E$6,2,FALSE)</f>
        <v>50000</v>
      </c>
      <c r="R742">
        <f>Table1[[#This Row],[Quantity]]*Table1[[#This Row],[Unit_Price]]</f>
        <v>4738.37</v>
      </c>
      <c r="S742">
        <f>Table1[[#This Row],[Gross_Sales]]*Table1[[#This Row],[Discount_Rate]]</f>
        <v>710.75549999999998</v>
      </c>
      <c r="T742">
        <f>Table1[[#This Row],[Gross_Sales]]-Table1[[#This Row],[Discount_Amount]]</f>
        <v>4027.6144999999997</v>
      </c>
      <c r="U742">
        <f>VLOOKUP(Table1[[#This Row],[Category]],REF_Cost!$A$1:$B$6,2,FALSE)*Table1[[#This Row],[Quantity]]</f>
        <v>3150</v>
      </c>
      <c r="V742">
        <f>Table1[[#This Row],[Net_Sales]]-Table1[[#This Row],[Total_Cost]]</f>
        <v>877.61449999999968</v>
      </c>
      <c r="W742" t="str">
        <f>TEXT(Table1[[#This Row],[Order_Date]],"mmm")</f>
        <v>Dec</v>
      </c>
      <c r="X742">
        <f>ROUNDUP(MONTH(Table1[[#This Row],[Order_Date]])/3,0)</f>
        <v>4</v>
      </c>
      <c r="Y742">
        <f>YEAR(Table1[[#This Row],[Order_Date]])</f>
        <v>2024</v>
      </c>
    </row>
    <row r="743" spans="1:25" x14ac:dyDescent="0.25">
      <c r="A743" t="s">
        <v>3036</v>
      </c>
      <c r="B743" t="s">
        <v>3037</v>
      </c>
      <c r="C743" t="s">
        <v>3038</v>
      </c>
      <c r="D743" t="s">
        <v>3039</v>
      </c>
      <c r="E743" t="s">
        <v>83</v>
      </c>
      <c r="F743" t="s">
        <v>56</v>
      </c>
      <c r="G743" t="s">
        <v>101</v>
      </c>
      <c r="H743" t="s">
        <v>58</v>
      </c>
      <c r="I743" t="s">
        <v>96</v>
      </c>
      <c r="J743" t="s">
        <v>73</v>
      </c>
      <c r="K743">
        <v>8</v>
      </c>
      <c r="L743">
        <v>442.55</v>
      </c>
      <c r="M743" s="3">
        <v>0.05</v>
      </c>
      <c r="N743" t="str">
        <f>VLOOKUP(Table1[[#This Row],[Country]],REF_Country!$A$1:$D$11,2,FALSE)</f>
        <v>South Asia</v>
      </c>
      <c r="O743" t="str">
        <f>VLOOKUP(Table1[[#This Row],[Country]],REF_Country!$A$1:$D$11,3,FALSE)</f>
        <v>IN</v>
      </c>
      <c r="P743">
        <f>VLOOKUP(Table1[[#This Row],[Country]],REF_Country!$A$1:$D$11,4,FALSE)</f>
        <v>0.18</v>
      </c>
      <c r="Q743">
        <f>VLOOKUP(Table1[[#This Row],[Category]],REF_Target!$A$1:$E$6,2,FALSE)</f>
        <v>50000</v>
      </c>
      <c r="R743">
        <f>Table1[[#This Row],[Quantity]]*Table1[[#This Row],[Unit_Price]]</f>
        <v>3540.4</v>
      </c>
      <c r="S743">
        <f>Table1[[#This Row],[Gross_Sales]]*Table1[[#This Row],[Discount_Rate]]</f>
        <v>177.02</v>
      </c>
      <c r="T743">
        <f>Table1[[#This Row],[Gross_Sales]]-Table1[[#This Row],[Discount_Amount]]</f>
        <v>3363.38</v>
      </c>
      <c r="U743">
        <f>VLOOKUP(Table1[[#This Row],[Category]],REF_Cost!$A$1:$B$6,2,FALSE)*Table1[[#This Row],[Quantity]]</f>
        <v>3600</v>
      </c>
      <c r="V743">
        <f>Table1[[#This Row],[Net_Sales]]-Table1[[#This Row],[Total_Cost]]</f>
        <v>-236.61999999999989</v>
      </c>
      <c r="W743" t="str">
        <f>TEXT(Table1[[#This Row],[Order_Date]],"mmm")</f>
        <v>Sep</v>
      </c>
      <c r="X743">
        <f>ROUNDUP(MONTH(Table1[[#This Row],[Order_Date]])/3,0)</f>
        <v>3</v>
      </c>
      <c r="Y743">
        <f>YEAR(Table1[[#This Row],[Order_Date]])</f>
        <v>2024</v>
      </c>
    </row>
    <row r="744" spans="1:25" x14ac:dyDescent="0.25">
      <c r="A744" t="s">
        <v>3040</v>
      </c>
      <c r="B744" t="s">
        <v>3041</v>
      </c>
      <c r="C744" t="s">
        <v>3042</v>
      </c>
      <c r="D744" t="s">
        <v>3043</v>
      </c>
      <c r="E744" t="s">
        <v>83</v>
      </c>
      <c r="F744" t="s">
        <v>49</v>
      </c>
      <c r="G744" t="s">
        <v>226</v>
      </c>
      <c r="H744" t="s">
        <v>32</v>
      </c>
      <c r="I744" t="s">
        <v>96</v>
      </c>
      <c r="J744" t="s">
        <v>126</v>
      </c>
      <c r="K744">
        <v>3</v>
      </c>
      <c r="L744">
        <v>586.23</v>
      </c>
      <c r="M744" s="3">
        <v>0.2</v>
      </c>
      <c r="N744" t="str">
        <f>VLOOKUP(Table1[[#This Row],[Country]],REF_Country!$A$1:$D$11,2,FALSE)</f>
        <v>South Asia</v>
      </c>
      <c r="O744" t="str">
        <f>VLOOKUP(Table1[[#This Row],[Country]],REF_Country!$A$1:$D$11,3,FALSE)</f>
        <v>IN</v>
      </c>
      <c r="P744">
        <f>VLOOKUP(Table1[[#This Row],[Country]],REF_Country!$A$1:$D$11,4,FALSE)</f>
        <v>0.18</v>
      </c>
      <c r="Q744">
        <f>VLOOKUP(Table1[[#This Row],[Category]],REF_Target!$A$1:$E$6,2,FALSE)</f>
        <v>35000</v>
      </c>
      <c r="R744">
        <f>Table1[[#This Row],[Quantity]]*Table1[[#This Row],[Unit_Price]]</f>
        <v>1758.69</v>
      </c>
      <c r="S744">
        <f>Table1[[#This Row],[Gross_Sales]]*Table1[[#This Row],[Discount_Rate]]</f>
        <v>351.73800000000006</v>
      </c>
      <c r="T744">
        <f>Table1[[#This Row],[Gross_Sales]]-Table1[[#This Row],[Discount_Amount]]</f>
        <v>1406.952</v>
      </c>
      <c r="U744">
        <f>VLOOKUP(Table1[[#This Row],[Category]],REF_Cost!$A$1:$B$6,2,FALSE)*Table1[[#This Row],[Quantity]]</f>
        <v>450</v>
      </c>
      <c r="V744">
        <f>Table1[[#This Row],[Net_Sales]]-Table1[[#This Row],[Total_Cost]]</f>
        <v>956.952</v>
      </c>
      <c r="W744" t="str">
        <f>TEXT(Table1[[#This Row],[Order_Date]],"mmm")</f>
        <v>May</v>
      </c>
      <c r="X744">
        <f>ROUNDUP(MONTH(Table1[[#This Row],[Order_Date]])/3,0)</f>
        <v>2</v>
      </c>
      <c r="Y744">
        <f>YEAR(Table1[[#This Row],[Order_Date]])</f>
        <v>2024</v>
      </c>
    </row>
    <row r="745" spans="1:25" x14ac:dyDescent="0.25">
      <c r="A745" t="s">
        <v>3044</v>
      </c>
      <c r="B745" t="s">
        <v>3045</v>
      </c>
      <c r="C745" t="s">
        <v>3046</v>
      </c>
      <c r="D745" t="s">
        <v>3047</v>
      </c>
      <c r="E745" t="s">
        <v>78</v>
      </c>
      <c r="F745" t="s">
        <v>84</v>
      </c>
      <c r="G745" t="s">
        <v>205</v>
      </c>
      <c r="H745" t="s">
        <v>42</v>
      </c>
      <c r="I745" t="s">
        <v>33</v>
      </c>
      <c r="J745" t="s">
        <v>126</v>
      </c>
      <c r="K745">
        <v>4</v>
      </c>
      <c r="L745">
        <v>1051.5999999999999</v>
      </c>
      <c r="M745" s="3">
        <v>0.1</v>
      </c>
      <c r="N745" t="str">
        <f>VLOOKUP(Table1[[#This Row],[Country]],REF_Country!$A$1:$D$11,2,FALSE)</f>
        <v>Oceania</v>
      </c>
      <c r="O745" t="str">
        <f>VLOOKUP(Table1[[#This Row],[Country]],REF_Country!$A$1:$D$11,3,FALSE)</f>
        <v>AU</v>
      </c>
      <c r="P745">
        <f>VLOOKUP(Table1[[#This Row],[Country]],REF_Country!$A$1:$D$11,4,FALSE)</f>
        <v>0.1</v>
      </c>
      <c r="Q745">
        <f>VLOOKUP(Table1[[#This Row],[Category]],REF_Target!$A$1:$E$6,2,FALSE)</f>
        <v>30000</v>
      </c>
      <c r="R745">
        <f>Table1[[#This Row],[Quantity]]*Table1[[#This Row],[Unit_Price]]</f>
        <v>4206.3999999999996</v>
      </c>
      <c r="S745">
        <f>Table1[[#This Row],[Gross_Sales]]*Table1[[#This Row],[Discount_Rate]]</f>
        <v>420.64</v>
      </c>
      <c r="T745">
        <f>Table1[[#This Row],[Gross_Sales]]-Table1[[#This Row],[Discount_Amount]]</f>
        <v>3785.7599999999998</v>
      </c>
      <c r="U745">
        <f>VLOOKUP(Table1[[#This Row],[Category]],REF_Cost!$A$1:$B$6,2,FALSE)*Table1[[#This Row],[Quantity]]</f>
        <v>800</v>
      </c>
      <c r="V745">
        <f>Table1[[#This Row],[Net_Sales]]-Table1[[#This Row],[Total_Cost]]</f>
        <v>2985.7599999999998</v>
      </c>
      <c r="W745" t="str">
        <f>TEXT(Table1[[#This Row],[Order_Date]],"mmm")</f>
        <v>Mar</v>
      </c>
      <c r="X745">
        <f>ROUNDUP(MONTH(Table1[[#This Row],[Order_Date]])/3,0)</f>
        <v>1</v>
      </c>
      <c r="Y745">
        <f>YEAR(Table1[[#This Row],[Order_Date]])</f>
        <v>2024</v>
      </c>
    </row>
    <row r="746" spans="1:25" x14ac:dyDescent="0.25">
      <c r="A746" t="s">
        <v>3048</v>
      </c>
      <c r="B746" t="s">
        <v>3049</v>
      </c>
      <c r="C746" t="s">
        <v>3050</v>
      </c>
      <c r="D746" t="s">
        <v>3051</v>
      </c>
      <c r="E746" t="s">
        <v>71</v>
      </c>
      <c r="F746" t="s">
        <v>49</v>
      </c>
      <c r="G746" t="s">
        <v>226</v>
      </c>
      <c r="H746" t="s">
        <v>32</v>
      </c>
      <c r="I746" t="s">
        <v>96</v>
      </c>
      <c r="J746" t="s">
        <v>126</v>
      </c>
      <c r="K746">
        <v>4</v>
      </c>
      <c r="L746">
        <v>259.79000000000002</v>
      </c>
      <c r="M746" s="3">
        <v>0.15</v>
      </c>
      <c r="N746" t="str">
        <f>VLOOKUP(Table1[[#This Row],[Country]],REF_Country!$A$1:$D$11,2,FALSE)</f>
        <v>Southeast Asia</v>
      </c>
      <c r="O746" t="str">
        <f>VLOOKUP(Table1[[#This Row],[Country]],REF_Country!$A$1:$D$11,3,FALSE)</f>
        <v>PH</v>
      </c>
      <c r="P746">
        <f>VLOOKUP(Table1[[#This Row],[Country]],REF_Country!$A$1:$D$11,4,FALSE)</f>
        <v>0.12</v>
      </c>
      <c r="Q746">
        <f>VLOOKUP(Table1[[#This Row],[Category]],REF_Target!$A$1:$E$6,2,FALSE)</f>
        <v>35000</v>
      </c>
      <c r="R746">
        <f>Table1[[#This Row],[Quantity]]*Table1[[#This Row],[Unit_Price]]</f>
        <v>1039.1600000000001</v>
      </c>
      <c r="S746">
        <f>Table1[[#This Row],[Gross_Sales]]*Table1[[#This Row],[Discount_Rate]]</f>
        <v>155.874</v>
      </c>
      <c r="T746">
        <f>Table1[[#This Row],[Gross_Sales]]-Table1[[#This Row],[Discount_Amount]]</f>
        <v>883.28600000000006</v>
      </c>
      <c r="U746">
        <f>VLOOKUP(Table1[[#This Row],[Category]],REF_Cost!$A$1:$B$6,2,FALSE)*Table1[[#This Row],[Quantity]]</f>
        <v>600</v>
      </c>
      <c r="V746">
        <f>Table1[[#This Row],[Net_Sales]]-Table1[[#This Row],[Total_Cost]]</f>
        <v>283.28600000000006</v>
      </c>
      <c r="W746" t="str">
        <f>TEXT(Table1[[#This Row],[Order_Date]],"mmm")</f>
        <v>Feb</v>
      </c>
      <c r="X746">
        <f>ROUNDUP(MONTH(Table1[[#This Row],[Order_Date]])/3,0)</f>
        <v>1</v>
      </c>
      <c r="Y746">
        <f>YEAR(Table1[[#This Row],[Order_Date]])</f>
        <v>2024</v>
      </c>
    </row>
    <row r="747" spans="1:25" x14ac:dyDescent="0.25">
      <c r="A747" t="s">
        <v>3052</v>
      </c>
      <c r="B747" t="s">
        <v>3053</v>
      </c>
      <c r="C747" t="s">
        <v>3054</v>
      </c>
      <c r="D747" t="s">
        <v>3055</v>
      </c>
      <c r="E747" t="s">
        <v>200</v>
      </c>
      <c r="F747" t="s">
        <v>49</v>
      </c>
      <c r="G747" t="s">
        <v>50</v>
      </c>
      <c r="H747" t="s">
        <v>32</v>
      </c>
      <c r="I747" t="s">
        <v>51</v>
      </c>
      <c r="J747" t="s">
        <v>59</v>
      </c>
      <c r="K747">
        <v>4</v>
      </c>
      <c r="L747">
        <v>1122.75</v>
      </c>
      <c r="M747" s="3">
        <v>0.1</v>
      </c>
      <c r="N747" t="str">
        <f>VLOOKUP(Table1[[#This Row],[Country]],REF_Country!$A$1:$D$11,2,FALSE)</f>
        <v>East Asia</v>
      </c>
      <c r="O747" t="str">
        <f>VLOOKUP(Table1[[#This Row],[Country]],REF_Country!$A$1:$D$11,3,FALSE)</f>
        <v>KR</v>
      </c>
      <c r="P747">
        <f>VLOOKUP(Table1[[#This Row],[Country]],REF_Country!$A$1:$D$11,4,FALSE)</f>
        <v>0.1</v>
      </c>
      <c r="Q747">
        <f>VLOOKUP(Table1[[#This Row],[Category]],REF_Target!$A$1:$E$6,2,FALSE)</f>
        <v>35000</v>
      </c>
      <c r="R747">
        <f>Table1[[#This Row],[Quantity]]*Table1[[#This Row],[Unit_Price]]</f>
        <v>4491</v>
      </c>
      <c r="S747">
        <f>Table1[[#This Row],[Gross_Sales]]*Table1[[#This Row],[Discount_Rate]]</f>
        <v>449.1</v>
      </c>
      <c r="T747">
        <f>Table1[[#This Row],[Gross_Sales]]-Table1[[#This Row],[Discount_Amount]]</f>
        <v>4041.9</v>
      </c>
      <c r="U747">
        <f>VLOOKUP(Table1[[#This Row],[Category]],REF_Cost!$A$1:$B$6,2,FALSE)*Table1[[#This Row],[Quantity]]</f>
        <v>600</v>
      </c>
      <c r="V747">
        <f>Table1[[#This Row],[Net_Sales]]-Table1[[#This Row],[Total_Cost]]</f>
        <v>3441.9</v>
      </c>
      <c r="W747" t="str">
        <f>TEXT(Table1[[#This Row],[Order_Date]],"mmm")</f>
        <v>Nov</v>
      </c>
      <c r="X747">
        <f>ROUNDUP(MONTH(Table1[[#This Row],[Order_Date]])/3,0)</f>
        <v>4</v>
      </c>
      <c r="Y747">
        <f>YEAR(Table1[[#This Row],[Order_Date]])</f>
        <v>2024</v>
      </c>
    </row>
    <row r="748" spans="1:25" x14ac:dyDescent="0.25">
      <c r="A748" t="s">
        <v>3056</v>
      </c>
      <c r="B748" t="s">
        <v>3057</v>
      </c>
      <c r="C748" t="s">
        <v>3058</v>
      </c>
      <c r="D748" t="s">
        <v>3059</v>
      </c>
      <c r="E748" t="s">
        <v>200</v>
      </c>
      <c r="F748" t="s">
        <v>49</v>
      </c>
      <c r="G748" t="s">
        <v>226</v>
      </c>
      <c r="H748" t="s">
        <v>72</v>
      </c>
      <c r="I748" t="s">
        <v>96</v>
      </c>
      <c r="J748" t="s">
        <v>73</v>
      </c>
      <c r="K748">
        <v>9</v>
      </c>
      <c r="L748">
        <v>116.33</v>
      </c>
      <c r="M748" s="3">
        <v>0.2</v>
      </c>
      <c r="N748" t="str">
        <f>VLOOKUP(Table1[[#This Row],[Country]],REF_Country!$A$1:$D$11,2,FALSE)</f>
        <v>East Asia</v>
      </c>
      <c r="O748" t="str">
        <f>VLOOKUP(Table1[[#This Row],[Country]],REF_Country!$A$1:$D$11,3,FALSE)</f>
        <v>KR</v>
      </c>
      <c r="P748">
        <f>VLOOKUP(Table1[[#This Row],[Country]],REF_Country!$A$1:$D$11,4,FALSE)</f>
        <v>0.1</v>
      </c>
      <c r="Q748">
        <f>VLOOKUP(Table1[[#This Row],[Category]],REF_Target!$A$1:$E$6,2,FALSE)</f>
        <v>35000</v>
      </c>
      <c r="R748">
        <f>Table1[[#This Row],[Quantity]]*Table1[[#This Row],[Unit_Price]]</f>
        <v>1046.97</v>
      </c>
      <c r="S748">
        <f>Table1[[#This Row],[Gross_Sales]]*Table1[[#This Row],[Discount_Rate]]</f>
        <v>209.39400000000001</v>
      </c>
      <c r="T748">
        <f>Table1[[#This Row],[Gross_Sales]]-Table1[[#This Row],[Discount_Amount]]</f>
        <v>837.57600000000002</v>
      </c>
      <c r="U748">
        <f>VLOOKUP(Table1[[#This Row],[Category]],REF_Cost!$A$1:$B$6,2,FALSE)*Table1[[#This Row],[Quantity]]</f>
        <v>1350</v>
      </c>
      <c r="V748">
        <f>Table1[[#This Row],[Net_Sales]]-Table1[[#This Row],[Total_Cost]]</f>
        <v>-512.42399999999998</v>
      </c>
      <c r="W748" t="str">
        <f>TEXT(Table1[[#This Row],[Order_Date]],"mmm")</f>
        <v>Dec</v>
      </c>
      <c r="X748">
        <f>ROUNDUP(MONTH(Table1[[#This Row],[Order_Date]])/3,0)</f>
        <v>4</v>
      </c>
      <c r="Y748">
        <f>YEAR(Table1[[#This Row],[Order_Date]])</f>
        <v>2024</v>
      </c>
    </row>
    <row r="749" spans="1:25" x14ac:dyDescent="0.25">
      <c r="A749" t="s">
        <v>3060</v>
      </c>
      <c r="B749" t="s">
        <v>3061</v>
      </c>
      <c r="C749" t="s">
        <v>3062</v>
      </c>
      <c r="D749" t="s">
        <v>3063</v>
      </c>
      <c r="E749" t="s">
        <v>64</v>
      </c>
      <c r="F749" t="s">
        <v>40</v>
      </c>
      <c r="G749" t="s">
        <v>144</v>
      </c>
      <c r="H749" t="s">
        <v>42</v>
      </c>
      <c r="I749" t="s">
        <v>43</v>
      </c>
      <c r="J749" t="s">
        <v>126</v>
      </c>
      <c r="K749">
        <v>2</v>
      </c>
      <c r="L749">
        <v>278.2</v>
      </c>
      <c r="M749" s="3">
        <v>0.15</v>
      </c>
      <c r="N749" t="str">
        <f>VLOOKUP(Table1[[#This Row],[Country]],REF_Country!$A$1:$D$11,2,FALSE)</f>
        <v>Southeast Asia</v>
      </c>
      <c r="O749" t="str">
        <f>VLOOKUP(Table1[[#This Row],[Country]],REF_Country!$A$1:$D$11,3,FALSE)</f>
        <v>ID</v>
      </c>
      <c r="P749">
        <f>VLOOKUP(Table1[[#This Row],[Country]],REF_Country!$A$1:$D$11,4,FALSE)</f>
        <v>0.11</v>
      </c>
      <c r="Q749">
        <f>VLOOKUP(Table1[[#This Row],[Category]],REF_Target!$A$1:$E$6,2,FALSE)</f>
        <v>45000</v>
      </c>
      <c r="R749">
        <f>Table1[[#This Row],[Quantity]]*Table1[[#This Row],[Unit_Price]]</f>
        <v>556.4</v>
      </c>
      <c r="S749">
        <f>Table1[[#This Row],[Gross_Sales]]*Table1[[#This Row],[Discount_Rate]]</f>
        <v>83.46</v>
      </c>
      <c r="T749">
        <f>Table1[[#This Row],[Gross_Sales]]-Table1[[#This Row],[Discount_Amount]]</f>
        <v>472.94</v>
      </c>
      <c r="U749">
        <f>VLOOKUP(Table1[[#This Row],[Category]],REF_Cost!$A$1:$B$6,2,FALSE)*Table1[[#This Row],[Quantity]]</f>
        <v>160</v>
      </c>
      <c r="V749">
        <f>Table1[[#This Row],[Net_Sales]]-Table1[[#This Row],[Total_Cost]]</f>
        <v>312.94</v>
      </c>
      <c r="W749" t="str">
        <f>TEXT(Table1[[#This Row],[Order_Date]],"mmm")</f>
        <v>May</v>
      </c>
      <c r="X749">
        <f>ROUNDUP(MONTH(Table1[[#This Row],[Order_Date]])/3,0)</f>
        <v>2</v>
      </c>
      <c r="Y749">
        <f>YEAR(Table1[[#This Row],[Order_Date]])</f>
        <v>2024</v>
      </c>
    </row>
    <row r="750" spans="1:25" x14ac:dyDescent="0.25">
      <c r="A750" t="s">
        <v>3064</v>
      </c>
      <c r="B750" t="s">
        <v>3065</v>
      </c>
      <c r="C750" t="s">
        <v>3066</v>
      </c>
      <c r="D750" t="s">
        <v>3067</v>
      </c>
      <c r="E750" t="s">
        <v>48</v>
      </c>
      <c r="F750" t="s">
        <v>49</v>
      </c>
      <c r="G750" t="s">
        <v>50</v>
      </c>
      <c r="H750" t="s">
        <v>72</v>
      </c>
      <c r="I750" t="s">
        <v>96</v>
      </c>
      <c r="J750" t="s">
        <v>126</v>
      </c>
      <c r="K750">
        <v>1</v>
      </c>
      <c r="L750">
        <v>279.24</v>
      </c>
      <c r="M750" s="3">
        <v>0.2</v>
      </c>
      <c r="N750" t="str">
        <f>VLOOKUP(Table1[[#This Row],[Country]],REF_Country!$A$1:$D$11,2,FALSE)</f>
        <v>Southeast Asia</v>
      </c>
      <c r="O750" t="str">
        <f>VLOOKUP(Table1[[#This Row],[Country]],REF_Country!$A$1:$D$11,3,FALSE)</f>
        <v>SG</v>
      </c>
      <c r="P750">
        <f>VLOOKUP(Table1[[#This Row],[Country]],REF_Country!$A$1:$D$11,4,FALSE)</f>
        <v>7.0000000000000007E-2</v>
      </c>
      <c r="Q750">
        <f>VLOOKUP(Table1[[#This Row],[Category]],REF_Target!$A$1:$E$6,2,FALSE)</f>
        <v>35000</v>
      </c>
      <c r="R750">
        <f>Table1[[#This Row],[Quantity]]*Table1[[#This Row],[Unit_Price]]</f>
        <v>279.24</v>
      </c>
      <c r="S750">
        <f>Table1[[#This Row],[Gross_Sales]]*Table1[[#This Row],[Discount_Rate]]</f>
        <v>55.848000000000006</v>
      </c>
      <c r="T750">
        <f>Table1[[#This Row],[Gross_Sales]]-Table1[[#This Row],[Discount_Amount]]</f>
        <v>223.392</v>
      </c>
      <c r="U750">
        <f>VLOOKUP(Table1[[#This Row],[Category]],REF_Cost!$A$1:$B$6,2,FALSE)*Table1[[#This Row],[Quantity]]</f>
        <v>150</v>
      </c>
      <c r="V750">
        <f>Table1[[#This Row],[Net_Sales]]-Table1[[#This Row],[Total_Cost]]</f>
        <v>73.391999999999996</v>
      </c>
      <c r="W750" t="str">
        <f>TEXT(Table1[[#This Row],[Order_Date]],"mmm")</f>
        <v>Jan</v>
      </c>
      <c r="X750">
        <f>ROUNDUP(MONTH(Table1[[#This Row],[Order_Date]])/3,0)</f>
        <v>1</v>
      </c>
      <c r="Y750">
        <f>YEAR(Table1[[#This Row],[Order_Date]])</f>
        <v>2024</v>
      </c>
    </row>
    <row r="751" spans="1:25" x14ac:dyDescent="0.25">
      <c r="A751" t="s">
        <v>3068</v>
      </c>
      <c r="B751" t="s">
        <v>3069</v>
      </c>
      <c r="C751" t="s">
        <v>3070</v>
      </c>
      <c r="D751" t="s">
        <v>3071</v>
      </c>
      <c r="E751" t="s">
        <v>116</v>
      </c>
      <c r="F751" t="s">
        <v>49</v>
      </c>
      <c r="G751" t="s">
        <v>50</v>
      </c>
      <c r="H751" t="s">
        <v>32</v>
      </c>
      <c r="I751" t="s">
        <v>96</v>
      </c>
      <c r="J751" t="s">
        <v>73</v>
      </c>
      <c r="K751">
        <v>10</v>
      </c>
      <c r="L751">
        <v>674.32</v>
      </c>
      <c r="M751" s="3">
        <v>0</v>
      </c>
      <c r="N751" t="str">
        <f>VLOOKUP(Table1[[#This Row],[Country]],REF_Country!$A$1:$D$11,2,FALSE)</f>
        <v>Southeast Asia</v>
      </c>
      <c r="O751" t="str">
        <f>VLOOKUP(Table1[[#This Row],[Country]],REF_Country!$A$1:$D$11,3,FALSE)</f>
        <v>MY</v>
      </c>
      <c r="P751">
        <f>VLOOKUP(Table1[[#This Row],[Country]],REF_Country!$A$1:$D$11,4,FALSE)</f>
        <v>0.06</v>
      </c>
      <c r="Q751">
        <f>VLOOKUP(Table1[[#This Row],[Category]],REF_Target!$A$1:$E$6,2,FALSE)</f>
        <v>35000</v>
      </c>
      <c r="R751">
        <f>Table1[[#This Row],[Quantity]]*Table1[[#This Row],[Unit_Price]]</f>
        <v>6743.2000000000007</v>
      </c>
      <c r="S751">
        <f>Table1[[#This Row],[Gross_Sales]]*Table1[[#This Row],[Discount_Rate]]</f>
        <v>0</v>
      </c>
      <c r="T751">
        <f>Table1[[#This Row],[Gross_Sales]]-Table1[[#This Row],[Discount_Amount]]</f>
        <v>6743.2000000000007</v>
      </c>
      <c r="U751">
        <f>VLOOKUP(Table1[[#This Row],[Category]],REF_Cost!$A$1:$B$6,2,FALSE)*Table1[[#This Row],[Quantity]]</f>
        <v>1500</v>
      </c>
      <c r="V751">
        <f>Table1[[#This Row],[Net_Sales]]-Table1[[#This Row],[Total_Cost]]</f>
        <v>5243.2000000000007</v>
      </c>
      <c r="W751" t="str">
        <f>TEXT(Table1[[#This Row],[Order_Date]],"mmm")</f>
        <v>Sep</v>
      </c>
      <c r="X751">
        <f>ROUNDUP(MONTH(Table1[[#This Row],[Order_Date]])/3,0)</f>
        <v>3</v>
      </c>
      <c r="Y751">
        <f>YEAR(Table1[[#This Row],[Order_Date]])</f>
        <v>2024</v>
      </c>
    </row>
    <row r="752" spans="1:25" x14ac:dyDescent="0.25">
      <c r="A752" t="s">
        <v>3072</v>
      </c>
      <c r="B752" t="s">
        <v>3073</v>
      </c>
      <c r="C752" t="s">
        <v>3074</v>
      </c>
      <c r="D752" t="s">
        <v>3075</v>
      </c>
      <c r="E752" t="s">
        <v>116</v>
      </c>
      <c r="F752" t="s">
        <v>56</v>
      </c>
      <c r="G752" t="s">
        <v>57</v>
      </c>
      <c r="H752" t="s">
        <v>72</v>
      </c>
      <c r="I752" t="s">
        <v>51</v>
      </c>
      <c r="J752" t="s">
        <v>73</v>
      </c>
      <c r="K752">
        <v>1</v>
      </c>
      <c r="L752">
        <v>56.5</v>
      </c>
      <c r="M752" s="3">
        <v>0.05</v>
      </c>
      <c r="N752" t="str">
        <f>VLOOKUP(Table1[[#This Row],[Country]],REF_Country!$A$1:$D$11,2,FALSE)</f>
        <v>Southeast Asia</v>
      </c>
      <c r="O752" t="str">
        <f>VLOOKUP(Table1[[#This Row],[Country]],REF_Country!$A$1:$D$11,3,FALSE)</f>
        <v>MY</v>
      </c>
      <c r="P752">
        <f>VLOOKUP(Table1[[#This Row],[Country]],REF_Country!$A$1:$D$11,4,FALSE)</f>
        <v>0.06</v>
      </c>
      <c r="Q752">
        <f>VLOOKUP(Table1[[#This Row],[Category]],REF_Target!$A$1:$E$6,2,FALSE)</f>
        <v>50000</v>
      </c>
      <c r="R752">
        <f>Table1[[#This Row],[Quantity]]*Table1[[#This Row],[Unit_Price]]</f>
        <v>56.5</v>
      </c>
      <c r="S752">
        <f>Table1[[#This Row],[Gross_Sales]]*Table1[[#This Row],[Discount_Rate]]</f>
        <v>2.8250000000000002</v>
      </c>
      <c r="T752">
        <f>Table1[[#This Row],[Gross_Sales]]-Table1[[#This Row],[Discount_Amount]]</f>
        <v>53.674999999999997</v>
      </c>
      <c r="U752">
        <f>VLOOKUP(Table1[[#This Row],[Category]],REF_Cost!$A$1:$B$6,2,FALSE)*Table1[[#This Row],[Quantity]]</f>
        <v>450</v>
      </c>
      <c r="V752">
        <f>Table1[[#This Row],[Net_Sales]]-Table1[[#This Row],[Total_Cost]]</f>
        <v>-396.32499999999999</v>
      </c>
      <c r="W752" t="str">
        <f>TEXT(Table1[[#This Row],[Order_Date]],"mmm")</f>
        <v>Jul</v>
      </c>
      <c r="X752">
        <f>ROUNDUP(MONTH(Table1[[#This Row],[Order_Date]])/3,0)</f>
        <v>3</v>
      </c>
      <c r="Y752">
        <f>YEAR(Table1[[#This Row],[Order_Date]])</f>
        <v>2024</v>
      </c>
    </row>
    <row r="753" spans="1:25" x14ac:dyDescent="0.25">
      <c r="A753" t="s">
        <v>3076</v>
      </c>
      <c r="B753" t="s">
        <v>3077</v>
      </c>
      <c r="C753" t="s">
        <v>3078</v>
      </c>
      <c r="D753" t="s">
        <v>3079</v>
      </c>
      <c r="E753" t="s">
        <v>48</v>
      </c>
      <c r="F753" t="s">
        <v>56</v>
      </c>
      <c r="G753" t="s">
        <v>57</v>
      </c>
      <c r="H753" t="s">
        <v>72</v>
      </c>
      <c r="I753" t="s">
        <v>33</v>
      </c>
      <c r="J753" t="s">
        <v>73</v>
      </c>
      <c r="K753">
        <v>6</v>
      </c>
      <c r="L753">
        <v>776.06</v>
      </c>
      <c r="M753" s="3">
        <v>0.05</v>
      </c>
      <c r="N753" t="str">
        <f>VLOOKUP(Table1[[#This Row],[Country]],REF_Country!$A$1:$D$11,2,FALSE)</f>
        <v>Southeast Asia</v>
      </c>
      <c r="O753" t="str">
        <f>VLOOKUP(Table1[[#This Row],[Country]],REF_Country!$A$1:$D$11,3,FALSE)</f>
        <v>SG</v>
      </c>
      <c r="P753">
        <f>VLOOKUP(Table1[[#This Row],[Country]],REF_Country!$A$1:$D$11,4,FALSE)</f>
        <v>7.0000000000000007E-2</v>
      </c>
      <c r="Q753">
        <f>VLOOKUP(Table1[[#This Row],[Category]],REF_Target!$A$1:$E$6,2,FALSE)</f>
        <v>50000</v>
      </c>
      <c r="R753">
        <f>Table1[[#This Row],[Quantity]]*Table1[[#This Row],[Unit_Price]]</f>
        <v>4656.3599999999997</v>
      </c>
      <c r="S753">
        <f>Table1[[#This Row],[Gross_Sales]]*Table1[[#This Row],[Discount_Rate]]</f>
        <v>232.81799999999998</v>
      </c>
      <c r="T753">
        <f>Table1[[#This Row],[Gross_Sales]]-Table1[[#This Row],[Discount_Amount]]</f>
        <v>4423.5419999999995</v>
      </c>
      <c r="U753">
        <f>VLOOKUP(Table1[[#This Row],[Category]],REF_Cost!$A$1:$B$6,2,FALSE)*Table1[[#This Row],[Quantity]]</f>
        <v>2700</v>
      </c>
      <c r="V753">
        <f>Table1[[#This Row],[Net_Sales]]-Table1[[#This Row],[Total_Cost]]</f>
        <v>1723.5419999999995</v>
      </c>
      <c r="W753" t="str">
        <f>TEXT(Table1[[#This Row],[Order_Date]],"mmm")</f>
        <v>Dec</v>
      </c>
      <c r="X753">
        <f>ROUNDUP(MONTH(Table1[[#This Row],[Order_Date]])/3,0)</f>
        <v>4</v>
      </c>
      <c r="Y753">
        <f>YEAR(Table1[[#This Row],[Order_Date]])</f>
        <v>2024</v>
      </c>
    </row>
    <row r="754" spans="1:25" x14ac:dyDescent="0.25">
      <c r="A754" t="s">
        <v>3080</v>
      </c>
      <c r="B754" t="s">
        <v>3081</v>
      </c>
      <c r="C754" t="s">
        <v>3082</v>
      </c>
      <c r="D754" t="s">
        <v>3083</v>
      </c>
      <c r="E754" t="s">
        <v>39</v>
      </c>
      <c r="F754" t="s">
        <v>30</v>
      </c>
      <c r="G754" t="s">
        <v>269</v>
      </c>
      <c r="H754" t="s">
        <v>42</v>
      </c>
      <c r="I754" t="s">
        <v>66</v>
      </c>
      <c r="J754" t="s">
        <v>126</v>
      </c>
      <c r="K754">
        <v>3</v>
      </c>
      <c r="L754">
        <v>544.52</v>
      </c>
      <c r="M754" s="3">
        <v>0</v>
      </c>
      <c r="N754" t="str">
        <f>VLOOKUP(Table1[[#This Row],[Country]],REF_Country!$A$1:$D$11,2,FALSE)</f>
        <v>Southeast Asia</v>
      </c>
      <c r="O754" t="str">
        <f>VLOOKUP(Table1[[#This Row],[Country]],REF_Country!$A$1:$D$11,3,FALSE)</f>
        <v>TH</v>
      </c>
      <c r="P754">
        <f>VLOOKUP(Table1[[#This Row],[Country]],REF_Country!$A$1:$D$11,4,FALSE)</f>
        <v>7.0000000000000007E-2</v>
      </c>
      <c r="Q754">
        <f>VLOOKUP(Table1[[#This Row],[Category]],REF_Target!$A$1:$E$6,2,FALSE)</f>
        <v>40000</v>
      </c>
      <c r="R754">
        <f>Table1[[#This Row],[Quantity]]*Table1[[#This Row],[Unit_Price]]</f>
        <v>1633.56</v>
      </c>
      <c r="S754">
        <f>Table1[[#This Row],[Gross_Sales]]*Table1[[#This Row],[Discount_Rate]]</f>
        <v>0</v>
      </c>
      <c r="T754">
        <f>Table1[[#This Row],[Gross_Sales]]-Table1[[#This Row],[Discount_Amount]]</f>
        <v>1633.56</v>
      </c>
      <c r="U754">
        <f>VLOOKUP(Table1[[#This Row],[Category]],REF_Cost!$A$1:$B$6,2,FALSE)*Table1[[#This Row],[Quantity]]</f>
        <v>360</v>
      </c>
      <c r="V754">
        <f>Table1[[#This Row],[Net_Sales]]-Table1[[#This Row],[Total_Cost]]</f>
        <v>1273.56</v>
      </c>
      <c r="W754" t="str">
        <f>TEXT(Table1[[#This Row],[Order_Date]],"mmm")</f>
        <v>Jul</v>
      </c>
      <c r="X754">
        <f>ROUNDUP(MONTH(Table1[[#This Row],[Order_Date]])/3,0)</f>
        <v>3</v>
      </c>
      <c r="Y754">
        <f>YEAR(Table1[[#This Row],[Order_Date]])</f>
        <v>2024</v>
      </c>
    </row>
    <row r="755" spans="1:25" x14ac:dyDescent="0.25">
      <c r="A755" t="s">
        <v>3084</v>
      </c>
      <c r="B755" t="s">
        <v>3085</v>
      </c>
      <c r="C755" t="s">
        <v>3086</v>
      </c>
      <c r="D755" t="s">
        <v>3087</v>
      </c>
      <c r="E755" t="s">
        <v>116</v>
      </c>
      <c r="F755" t="s">
        <v>84</v>
      </c>
      <c r="G755" t="s">
        <v>90</v>
      </c>
      <c r="H755" t="s">
        <v>42</v>
      </c>
      <c r="I755" t="s">
        <v>66</v>
      </c>
      <c r="J755" t="s">
        <v>34</v>
      </c>
      <c r="K755">
        <v>2</v>
      </c>
      <c r="L755">
        <v>562.94000000000005</v>
      </c>
      <c r="M755" s="3">
        <v>0</v>
      </c>
      <c r="N755" t="str">
        <f>VLOOKUP(Table1[[#This Row],[Country]],REF_Country!$A$1:$D$11,2,FALSE)</f>
        <v>Southeast Asia</v>
      </c>
      <c r="O755" t="str">
        <f>VLOOKUP(Table1[[#This Row],[Country]],REF_Country!$A$1:$D$11,3,FALSE)</f>
        <v>MY</v>
      </c>
      <c r="P755">
        <f>VLOOKUP(Table1[[#This Row],[Country]],REF_Country!$A$1:$D$11,4,FALSE)</f>
        <v>0.06</v>
      </c>
      <c r="Q755">
        <f>VLOOKUP(Table1[[#This Row],[Category]],REF_Target!$A$1:$E$6,2,FALSE)</f>
        <v>30000</v>
      </c>
      <c r="R755">
        <f>Table1[[#This Row],[Quantity]]*Table1[[#This Row],[Unit_Price]]</f>
        <v>1125.8800000000001</v>
      </c>
      <c r="S755">
        <f>Table1[[#This Row],[Gross_Sales]]*Table1[[#This Row],[Discount_Rate]]</f>
        <v>0</v>
      </c>
      <c r="T755">
        <f>Table1[[#This Row],[Gross_Sales]]-Table1[[#This Row],[Discount_Amount]]</f>
        <v>1125.8800000000001</v>
      </c>
      <c r="U755">
        <f>VLOOKUP(Table1[[#This Row],[Category]],REF_Cost!$A$1:$B$6,2,FALSE)*Table1[[#This Row],[Quantity]]</f>
        <v>400</v>
      </c>
      <c r="V755">
        <f>Table1[[#This Row],[Net_Sales]]-Table1[[#This Row],[Total_Cost]]</f>
        <v>725.88000000000011</v>
      </c>
      <c r="W755" t="str">
        <f>TEXT(Table1[[#This Row],[Order_Date]],"mmm")</f>
        <v>Apr</v>
      </c>
      <c r="X755">
        <f>ROUNDUP(MONTH(Table1[[#This Row],[Order_Date]])/3,0)</f>
        <v>2</v>
      </c>
      <c r="Y755">
        <f>YEAR(Table1[[#This Row],[Order_Date]])</f>
        <v>2024</v>
      </c>
    </row>
    <row r="756" spans="1:25" x14ac:dyDescent="0.25">
      <c r="A756" t="s">
        <v>3088</v>
      </c>
      <c r="B756" t="s">
        <v>3089</v>
      </c>
      <c r="C756" t="s">
        <v>3090</v>
      </c>
      <c r="D756" t="s">
        <v>3091</v>
      </c>
      <c r="E756" t="s">
        <v>83</v>
      </c>
      <c r="F756" t="s">
        <v>30</v>
      </c>
      <c r="G756" t="s">
        <v>65</v>
      </c>
      <c r="H756" t="s">
        <v>42</v>
      </c>
      <c r="I756" t="s">
        <v>43</v>
      </c>
      <c r="J756" t="s">
        <v>59</v>
      </c>
      <c r="K756">
        <v>10</v>
      </c>
      <c r="L756">
        <v>1439.17</v>
      </c>
      <c r="M756" s="3">
        <v>0.05</v>
      </c>
      <c r="N756" t="str">
        <f>VLOOKUP(Table1[[#This Row],[Country]],REF_Country!$A$1:$D$11,2,FALSE)</f>
        <v>South Asia</v>
      </c>
      <c r="O756" t="str">
        <f>VLOOKUP(Table1[[#This Row],[Country]],REF_Country!$A$1:$D$11,3,FALSE)</f>
        <v>IN</v>
      </c>
      <c r="P756">
        <f>VLOOKUP(Table1[[#This Row],[Country]],REF_Country!$A$1:$D$11,4,FALSE)</f>
        <v>0.18</v>
      </c>
      <c r="Q756">
        <f>VLOOKUP(Table1[[#This Row],[Category]],REF_Target!$A$1:$E$6,2,FALSE)</f>
        <v>40000</v>
      </c>
      <c r="R756">
        <f>Table1[[#This Row],[Quantity]]*Table1[[#This Row],[Unit_Price]]</f>
        <v>14391.7</v>
      </c>
      <c r="S756">
        <f>Table1[[#This Row],[Gross_Sales]]*Table1[[#This Row],[Discount_Rate]]</f>
        <v>719.58500000000004</v>
      </c>
      <c r="T756">
        <f>Table1[[#This Row],[Gross_Sales]]-Table1[[#This Row],[Discount_Amount]]</f>
        <v>13672.115000000002</v>
      </c>
      <c r="U756">
        <f>VLOOKUP(Table1[[#This Row],[Category]],REF_Cost!$A$1:$B$6,2,FALSE)*Table1[[#This Row],[Quantity]]</f>
        <v>1200</v>
      </c>
      <c r="V756">
        <f>Table1[[#This Row],[Net_Sales]]-Table1[[#This Row],[Total_Cost]]</f>
        <v>12472.115000000002</v>
      </c>
      <c r="W756" t="str">
        <f>TEXT(Table1[[#This Row],[Order_Date]],"mmm")</f>
        <v>Dec</v>
      </c>
      <c r="X756">
        <f>ROUNDUP(MONTH(Table1[[#This Row],[Order_Date]])/3,0)</f>
        <v>4</v>
      </c>
      <c r="Y756">
        <f>YEAR(Table1[[#This Row],[Order_Date]])</f>
        <v>2024</v>
      </c>
    </row>
    <row r="757" spans="1:25" x14ac:dyDescent="0.25">
      <c r="A757" t="s">
        <v>3092</v>
      </c>
      <c r="B757" t="s">
        <v>3093</v>
      </c>
      <c r="C757" t="s">
        <v>3094</v>
      </c>
      <c r="D757" t="s">
        <v>3095</v>
      </c>
      <c r="E757" t="s">
        <v>200</v>
      </c>
      <c r="F757" t="s">
        <v>56</v>
      </c>
      <c r="G757" t="s">
        <v>190</v>
      </c>
      <c r="H757" t="s">
        <v>42</v>
      </c>
      <c r="I757" t="s">
        <v>33</v>
      </c>
      <c r="J757" t="s">
        <v>73</v>
      </c>
      <c r="K757">
        <v>10</v>
      </c>
      <c r="L757">
        <v>41.21</v>
      </c>
      <c r="M757" s="3">
        <v>0.1</v>
      </c>
      <c r="N757" t="str">
        <f>VLOOKUP(Table1[[#This Row],[Country]],REF_Country!$A$1:$D$11,2,FALSE)</f>
        <v>East Asia</v>
      </c>
      <c r="O757" t="str">
        <f>VLOOKUP(Table1[[#This Row],[Country]],REF_Country!$A$1:$D$11,3,FALSE)</f>
        <v>KR</v>
      </c>
      <c r="P757">
        <f>VLOOKUP(Table1[[#This Row],[Country]],REF_Country!$A$1:$D$11,4,FALSE)</f>
        <v>0.1</v>
      </c>
      <c r="Q757">
        <f>VLOOKUP(Table1[[#This Row],[Category]],REF_Target!$A$1:$E$6,2,FALSE)</f>
        <v>50000</v>
      </c>
      <c r="R757">
        <f>Table1[[#This Row],[Quantity]]*Table1[[#This Row],[Unit_Price]]</f>
        <v>412.1</v>
      </c>
      <c r="S757">
        <f>Table1[[#This Row],[Gross_Sales]]*Table1[[#This Row],[Discount_Rate]]</f>
        <v>41.210000000000008</v>
      </c>
      <c r="T757">
        <f>Table1[[#This Row],[Gross_Sales]]-Table1[[#This Row],[Discount_Amount]]</f>
        <v>370.89</v>
      </c>
      <c r="U757">
        <f>VLOOKUP(Table1[[#This Row],[Category]],REF_Cost!$A$1:$B$6,2,FALSE)*Table1[[#This Row],[Quantity]]</f>
        <v>4500</v>
      </c>
      <c r="V757">
        <f>Table1[[#This Row],[Net_Sales]]-Table1[[#This Row],[Total_Cost]]</f>
        <v>-4129.1099999999997</v>
      </c>
      <c r="W757" t="str">
        <f>TEXT(Table1[[#This Row],[Order_Date]],"mmm")</f>
        <v>Nov</v>
      </c>
      <c r="X757">
        <f>ROUNDUP(MONTH(Table1[[#This Row],[Order_Date]])/3,0)</f>
        <v>4</v>
      </c>
      <c r="Y757">
        <f>YEAR(Table1[[#This Row],[Order_Date]])</f>
        <v>2024</v>
      </c>
    </row>
    <row r="758" spans="1:25" x14ac:dyDescent="0.25">
      <c r="A758" t="s">
        <v>3096</v>
      </c>
      <c r="B758" t="s">
        <v>3097</v>
      </c>
      <c r="C758" t="s">
        <v>3098</v>
      </c>
      <c r="D758" t="s">
        <v>3099</v>
      </c>
      <c r="E758" t="s">
        <v>39</v>
      </c>
      <c r="F758" t="s">
        <v>56</v>
      </c>
      <c r="G758" t="s">
        <v>111</v>
      </c>
      <c r="H758" t="s">
        <v>72</v>
      </c>
      <c r="I758" t="s">
        <v>96</v>
      </c>
      <c r="J758" t="s">
        <v>73</v>
      </c>
      <c r="K758">
        <v>2</v>
      </c>
      <c r="L758">
        <v>1142.03</v>
      </c>
      <c r="M758" s="3">
        <v>0.05</v>
      </c>
      <c r="N758" t="str">
        <f>VLOOKUP(Table1[[#This Row],[Country]],REF_Country!$A$1:$D$11,2,FALSE)</f>
        <v>Southeast Asia</v>
      </c>
      <c r="O758" t="str">
        <f>VLOOKUP(Table1[[#This Row],[Country]],REF_Country!$A$1:$D$11,3,FALSE)</f>
        <v>TH</v>
      </c>
      <c r="P758">
        <f>VLOOKUP(Table1[[#This Row],[Country]],REF_Country!$A$1:$D$11,4,FALSE)</f>
        <v>7.0000000000000007E-2</v>
      </c>
      <c r="Q758">
        <f>VLOOKUP(Table1[[#This Row],[Category]],REF_Target!$A$1:$E$6,2,FALSE)</f>
        <v>50000</v>
      </c>
      <c r="R758">
        <f>Table1[[#This Row],[Quantity]]*Table1[[#This Row],[Unit_Price]]</f>
        <v>2284.06</v>
      </c>
      <c r="S758">
        <f>Table1[[#This Row],[Gross_Sales]]*Table1[[#This Row],[Discount_Rate]]</f>
        <v>114.203</v>
      </c>
      <c r="T758">
        <f>Table1[[#This Row],[Gross_Sales]]-Table1[[#This Row],[Discount_Amount]]</f>
        <v>2169.857</v>
      </c>
      <c r="U758">
        <f>VLOOKUP(Table1[[#This Row],[Category]],REF_Cost!$A$1:$B$6,2,FALSE)*Table1[[#This Row],[Quantity]]</f>
        <v>900</v>
      </c>
      <c r="V758">
        <f>Table1[[#This Row],[Net_Sales]]-Table1[[#This Row],[Total_Cost]]</f>
        <v>1269.857</v>
      </c>
      <c r="W758" t="str">
        <f>TEXT(Table1[[#This Row],[Order_Date]],"mmm")</f>
        <v>Oct</v>
      </c>
      <c r="X758">
        <f>ROUNDUP(MONTH(Table1[[#This Row],[Order_Date]])/3,0)</f>
        <v>4</v>
      </c>
      <c r="Y758">
        <f>YEAR(Table1[[#This Row],[Order_Date]])</f>
        <v>2024</v>
      </c>
    </row>
    <row r="759" spans="1:25" x14ac:dyDescent="0.25">
      <c r="A759" t="s">
        <v>3100</v>
      </c>
      <c r="B759" t="s">
        <v>3101</v>
      </c>
      <c r="C759" t="s">
        <v>3102</v>
      </c>
      <c r="D759" t="s">
        <v>3103</v>
      </c>
      <c r="E759" t="s">
        <v>71</v>
      </c>
      <c r="F759" t="s">
        <v>49</v>
      </c>
      <c r="G759" t="s">
        <v>50</v>
      </c>
      <c r="H759" t="s">
        <v>32</v>
      </c>
      <c r="I759" t="s">
        <v>43</v>
      </c>
      <c r="J759" t="s">
        <v>34</v>
      </c>
      <c r="K759">
        <v>7</v>
      </c>
      <c r="L759">
        <v>314.99</v>
      </c>
      <c r="M759" s="3">
        <v>0</v>
      </c>
      <c r="N759" t="str">
        <f>VLOOKUP(Table1[[#This Row],[Country]],REF_Country!$A$1:$D$11,2,FALSE)</f>
        <v>Southeast Asia</v>
      </c>
      <c r="O759" t="str">
        <f>VLOOKUP(Table1[[#This Row],[Country]],REF_Country!$A$1:$D$11,3,FALSE)</f>
        <v>PH</v>
      </c>
      <c r="P759">
        <f>VLOOKUP(Table1[[#This Row],[Country]],REF_Country!$A$1:$D$11,4,FALSE)</f>
        <v>0.12</v>
      </c>
      <c r="Q759">
        <f>VLOOKUP(Table1[[#This Row],[Category]],REF_Target!$A$1:$E$6,2,FALSE)</f>
        <v>35000</v>
      </c>
      <c r="R759">
        <f>Table1[[#This Row],[Quantity]]*Table1[[#This Row],[Unit_Price]]</f>
        <v>2204.9300000000003</v>
      </c>
      <c r="S759">
        <f>Table1[[#This Row],[Gross_Sales]]*Table1[[#This Row],[Discount_Rate]]</f>
        <v>0</v>
      </c>
      <c r="T759">
        <f>Table1[[#This Row],[Gross_Sales]]-Table1[[#This Row],[Discount_Amount]]</f>
        <v>2204.9300000000003</v>
      </c>
      <c r="U759">
        <f>VLOOKUP(Table1[[#This Row],[Category]],REF_Cost!$A$1:$B$6,2,FALSE)*Table1[[#This Row],[Quantity]]</f>
        <v>1050</v>
      </c>
      <c r="V759">
        <f>Table1[[#This Row],[Net_Sales]]-Table1[[#This Row],[Total_Cost]]</f>
        <v>1154.9300000000003</v>
      </c>
      <c r="W759" t="str">
        <f>TEXT(Table1[[#This Row],[Order_Date]],"mmm")</f>
        <v>Feb</v>
      </c>
      <c r="X759">
        <f>ROUNDUP(MONTH(Table1[[#This Row],[Order_Date]])/3,0)</f>
        <v>1</v>
      </c>
      <c r="Y759">
        <f>YEAR(Table1[[#This Row],[Order_Date]])</f>
        <v>2024</v>
      </c>
    </row>
    <row r="760" spans="1:25" x14ac:dyDescent="0.25">
      <c r="A760" t="s">
        <v>3104</v>
      </c>
      <c r="B760" t="s">
        <v>3105</v>
      </c>
      <c r="C760" t="s">
        <v>3106</v>
      </c>
      <c r="D760" t="s">
        <v>3107</v>
      </c>
      <c r="E760" t="s">
        <v>64</v>
      </c>
      <c r="F760" t="s">
        <v>40</v>
      </c>
      <c r="G760" t="s">
        <v>565</v>
      </c>
      <c r="H760" t="s">
        <v>72</v>
      </c>
      <c r="I760" t="s">
        <v>66</v>
      </c>
      <c r="J760" t="s">
        <v>59</v>
      </c>
      <c r="K760">
        <v>5</v>
      </c>
      <c r="L760">
        <v>977.35</v>
      </c>
      <c r="M760" s="3">
        <v>0</v>
      </c>
      <c r="N760" t="str">
        <f>VLOOKUP(Table1[[#This Row],[Country]],REF_Country!$A$1:$D$11,2,FALSE)</f>
        <v>Southeast Asia</v>
      </c>
      <c r="O760" t="str">
        <f>VLOOKUP(Table1[[#This Row],[Country]],REF_Country!$A$1:$D$11,3,FALSE)</f>
        <v>ID</v>
      </c>
      <c r="P760">
        <f>VLOOKUP(Table1[[#This Row],[Country]],REF_Country!$A$1:$D$11,4,FALSE)</f>
        <v>0.11</v>
      </c>
      <c r="Q760">
        <f>VLOOKUP(Table1[[#This Row],[Category]],REF_Target!$A$1:$E$6,2,FALSE)</f>
        <v>45000</v>
      </c>
      <c r="R760">
        <f>Table1[[#This Row],[Quantity]]*Table1[[#This Row],[Unit_Price]]</f>
        <v>4886.75</v>
      </c>
      <c r="S760">
        <f>Table1[[#This Row],[Gross_Sales]]*Table1[[#This Row],[Discount_Rate]]</f>
        <v>0</v>
      </c>
      <c r="T760">
        <f>Table1[[#This Row],[Gross_Sales]]-Table1[[#This Row],[Discount_Amount]]</f>
        <v>4886.75</v>
      </c>
      <c r="U760">
        <f>VLOOKUP(Table1[[#This Row],[Category]],REF_Cost!$A$1:$B$6,2,FALSE)*Table1[[#This Row],[Quantity]]</f>
        <v>400</v>
      </c>
      <c r="V760">
        <f>Table1[[#This Row],[Net_Sales]]-Table1[[#This Row],[Total_Cost]]</f>
        <v>4486.75</v>
      </c>
      <c r="W760" t="str">
        <f>TEXT(Table1[[#This Row],[Order_Date]],"mmm")</f>
        <v>Mar</v>
      </c>
      <c r="X760">
        <f>ROUNDUP(MONTH(Table1[[#This Row],[Order_Date]])/3,0)</f>
        <v>1</v>
      </c>
      <c r="Y760">
        <f>YEAR(Table1[[#This Row],[Order_Date]])</f>
        <v>2024</v>
      </c>
    </row>
    <row r="761" spans="1:25" x14ac:dyDescent="0.25">
      <c r="A761" t="s">
        <v>3108</v>
      </c>
      <c r="B761" t="s">
        <v>3109</v>
      </c>
      <c r="C761" t="s">
        <v>3110</v>
      </c>
      <c r="D761" t="s">
        <v>3111</v>
      </c>
      <c r="E761" t="s">
        <v>39</v>
      </c>
      <c r="F761" t="s">
        <v>30</v>
      </c>
      <c r="G761" t="s">
        <v>139</v>
      </c>
      <c r="H761" t="s">
        <v>72</v>
      </c>
      <c r="I761" t="s">
        <v>96</v>
      </c>
      <c r="J761" t="s">
        <v>126</v>
      </c>
      <c r="K761">
        <v>9</v>
      </c>
      <c r="L761">
        <v>1310.97</v>
      </c>
      <c r="M761" s="3">
        <v>0.05</v>
      </c>
      <c r="N761" t="str">
        <f>VLOOKUP(Table1[[#This Row],[Country]],REF_Country!$A$1:$D$11,2,FALSE)</f>
        <v>Southeast Asia</v>
      </c>
      <c r="O761" t="str">
        <f>VLOOKUP(Table1[[#This Row],[Country]],REF_Country!$A$1:$D$11,3,FALSE)</f>
        <v>TH</v>
      </c>
      <c r="P761">
        <f>VLOOKUP(Table1[[#This Row],[Country]],REF_Country!$A$1:$D$11,4,FALSE)</f>
        <v>7.0000000000000007E-2</v>
      </c>
      <c r="Q761">
        <f>VLOOKUP(Table1[[#This Row],[Category]],REF_Target!$A$1:$E$6,2,FALSE)</f>
        <v>40000</v>
      </c>
      <c r="R761">
        <f>Table1[[#This Row],[Quantity]]*Table1[[#This Row],[Unit_Price]]</f>
        <v>11798.73</v>
      </c>
      <c r="S761">
        <f>Table1[[#This Row],[Gross_Sales]]*Table1[[#This Row],[Discount_Rate]]</f>
        <v>589.93650000000002</v>
      </c>
      <c r="T761">
        <f>Table1[[#This Row],[Gross_Sales]]-Table1[[#This Row],[Discount_Amount]]</f>
        <v>11208.7935</v>
      </c>
      <c r="U761">
        <f>VLOOKUP(Table1[[#This Row],[Category]],REF_Cost!$A$1:$B$6,2,FALSE)*Table1[[#This Row],[Quantity]]</f>
        <v>1080</v>
      </c>
      <c r="V761">
        <f>Table1[[#This Row],[Net_Sales]]-Table1[[#This Row],[Total_Cost]]</f>
        <v>10128.7935</v>
      </c>
      <c r="W761" t="str">
        <f>TEXT(Table1[[#This Row],[Order_Date]],"mmm")</f>
        <v>Apr</v>
      </c>
      <c r="X761">
        <f>ROUNDUP(MONTH(Table1[[#This Row],[Order_Date]])/3,0)</f>
        <v>2</v>
      </c>
      <c r="Y761">
        <f>YEAR(Table1[[#This Row],[Order_Date]])</f>
        <v>2024</v>
      </c>
    </row>
    <row r="762" spans="1:25" x14ac:dyDescent="0.25">
      <c r="A762" t="s">
        <v>3112</v>
      </c>
      <c r="B762" t="s">
        <v>3113</v>
      </c>
      <c r="C762" t="s">
        <v>3114</v>
      </c>
      <c r="D762" t="s">
        <v>3115</v>
      </c>
      <c r="E762" t="s">
        <v>64</v>
      </c>
      <c r="F762" t="s">
        <v>30</v>
      </c>
      <c r="G762" t="s">
        <v>31</v>
      </c>
      <c r="H762" t="s">
        <v>72</v>
      </c>
      <c r="I762" t="s">
        <v>43</v>
      </c>
      <c r="J762" t="s">
        <v>126</v>
      </c>
      <c r="K762">
        <v>3</v>
      </c>
      <c r="L762">
        <v>201.46</v>
      </c>
      <c r="M762" s="3">
        <v>0.15</v>
      </c>
      <c r="N762" t="str">
        <f>VLOOKUP(Table1[[#This Row],[Country]],REF_Country!$A$1:$D$11,2,FALSE)</f>
        <v>Southeast Asia</v>
      </c>
      <c r="O762" t="str">
        <f>VLOOKUP(Table1[[#This Row],[Country]],REF_Country!$A$1:$D$11,3,FALSE)</f>
        <v>ID</v>
      </c>
      <c r="P762">
        <f>VLOOKUP(Table1[[#This Row],[Country]],REF_Country!$A$1:$D$11,4,FALSE)</f>
        <v>0.11</v>
      </c>
      <c r="Q762">
        <f>VLOOKUP(Table1[[#This Row],[Category]],REF_Target!$A$1:$E$6,2,FALSE)</f>
        <v>40000</v>
      </c>
      <c r="R762">
        <f>Table1[[#This Row],[Quantity]]*Table1[[#This Row],[Unit_Price]]</f>
        <v>604.38</v>
      </c>
      <c r="S762">
        <f>Table1[[#This Row],[Gross_Sales]]*Table1[[#This Row],[Discount_Rate]]</f>
        <v>90.656999999999996</v>
      </c>
      <c r="T762">
        <f>Table1[[#This Row],[Gross_Sales]]-Table1[[#This Row],[Discount_Amount]]</f>
        <v>513.72299999999996</v>
      </c>
      <c r="U762">
        <f>VLOOKUP(Table1[[#This Row],[Category]],REF_Cost!$A$1:$B$6,2,FALSE)*Table1[[#This Row],[Quantity]]</f>
        <v>360</v>
      </c>
      <c r="V762">
        <f>Table1[[#This Row],[Net_Sales]]-Table1[[#This Row],[Total_Cost]]</f>
        <v>153.72299999999996</v>
      </c>
      <c r="W762" t="str">
        <f>TEXT(Table1[[#This Row],[Order_Date]],"mmm")</f>
        <v>Sep</v>
      </c>
      <c r="X762">
        <f>ROUNDUP(MONTH(Table1[[#This Row],[Order_Date]])/3,0)</f>
        <v>3</v>
      </c>
      <c r="Y762">
        <f>YEAR(Table1[[#This Row],[Order_Date]])</f>
        <v>2024</v>
      </c>
    </row>
    <row r="763" spans="1:25" x14ac:dyDescent="0.25">
      <c r="A763" t="s">
        <v>3116</v>
      </c>
      <c r="B763" t="s">
        <v>3117</v>
      </c>
      <c r="C763" t="s">
        <v>3118</v>
      </c>
      <c r="D763" t="s">
        <v>3119</v>
      </c>
      <c r="E763" t="s">
        <v>39</v>
      </c>
      <c r="F763" t="s">
        <v>30</v>
      </c>
      <c r="G763" t="s">
        <v>195</v>
      </c>
      <c r="H763" t="s">
        <v>58</v>
      </c>
      <c r="I763" t="s">
        <v>33</v>
      </c>
      <c r="J763" t="s">
        <v>34</v>
      </c>
      <c r="K763">
        <v>4</v>
      </c>
      <c r="L763">
        <v>277.01</v>
      </c>
      <c r="M763" s="3">
        <v>0.05</v>
      </c>
      <c r="N763" t="str">
        <f>VLOOKUP(Table1[[#This Row],[Country]],REF_Country!$A$1:$D$11,2,FALSE)</f>
        <v>Southeast Asia</v>
      </c>
      <c r="O763" t="str">
        <f>VLOOKUP(Table1[[#This Row],[Country]],REF_Country!$A$1:$D$11,3,FALSE)</f>
        <v>TH</v>
      </c>
      <c r="P763">
        <f>VLOOKUP(Table1[[#This Row],[Country]],REF_Country!$A$1:$D$11,4,FALSE)</f>
        <v>7.0000000000000007E-2</v>
      </c>
      <c r="Q763">
        <f>VLOOKUP(Table1[[#This Row],[Category]],REF_Target!$A$1:$E$6,2,FALSE)</f>
        <v>40000</v>
      </c>
      <c r="R763">
        <f>Table1[[#This Row],[Quantity]]*Table1[[#This Row],[Unit_Price]]</f>
        <v>1108.04</v>
      </c>
      <c r="S763">
        <f>Table1[[#This Row],[Gross_Sales]]*Table1[[#This Row],[Discount_Rate]]</f>
        <v>55.402000000000001</v>
      </c>
      <c r="T763">
        <f>Table1[[#This Row],[Gross_Sales]]-Table1[[#This Row],[Discount_Amount]]</f>
        <v>1052.6379999999999</v>
      </c>
      <c r="U763">
        <f>VLOOKUP(Table1[[#This Row],[Category]],REF_Cost!$A$1:$B$6,2,FALSE)*Table1[[#This Row],[Quantity]]</f>
        <v>480</v>
      </c>
      <c r="V763">
        <f>Table1[[#This Row],[Net_Sales]]-Table1[[#This Row],[Total_Cost]]</f>
        <v>572.63799999999992</v>
      </c>
      <c r="W763" t="str">
        <f>TEXT(Table1[[#This Row],[Order_Date]],"mmm")</f>
        <v>Aug</v>
      </c>
      <c r="X763">
        <f>ROUNDUP(MONTH(Table1[[#This Row],[Order_Date]])/3,0)</f>
        <v>3</v>
      </c>
      <c r="Y763">
        <f>YEAR(Table1[[#This Row],[Order_Date]])</f>
        <v>2024</v>
      </c>
    </row>
    <row r="764" spans="1:25" x14ac:dyDescent="0.25">
      <c r="A764" t="s">
        <v>3120</v>
      </c>
      <c r="B764" t="s">
        <v>3121</v>
      </c>
      <c r="C764" t="s">
        <v>3122</v>
      </c>
      <c r="D764" t="s">
        <v>3123</v>
      </c>
      <c r="E764" t="s">
        <v>200</v>
      </c>
      <c r="F764" t="s">
        <v>56</v>
      </c>
      <c r="G764" t="s">
        <v>190</v>
      </c>
      <c r="H764" t="s">
        <v>42</v>
      </c>
      <c r="I764" t="s">
        <v>96</v>
      </c>
      <c r="J764" t="s">
        <v>34</v>
      </c>
      <c r="K764">
        <v>3</v>
      </c>
      <c r="L764">
        <v>606.39</v>
      </c>
      <c r="M764" s="3">
        <v>0.1</v>
      </c>
      <c r="N764" t="str">
        <f>VLOOKUP(Table1[[#This Row],[Country]],REF_Country!$A$1:$D$11,2,FALSE)</f>
        <v>East Asia</v>
      </c>
      <c r="O764" t="str">
        <f>VLOOKUP(Table1[[#This Row],[Country]],REF_Country!$A$1:$D$11,3,FALSE)</f>
        <v>KR</v>
      </c>
      <c r="P764">
        <f>VLOOKUP(Table1[[#This Row],[Country]],REF_Country!$A$1:$D$11,4,FALSE)</f>
        <v>0.1</v>
      </c>
      <c r="Q764">
        <f>VLOOKUP(Table1[[#This Row],[Category]],REF_Target!$A$1:$E$6,2,FALSE)</f>
        <v>50000</v>
      </c>
      <c r="R764">
        <f>Table1[[#This Row],[Quantity]]*Table1[[#This Row],[Unit_Price]]</f>
        <v>1819.17</v>
      </c>
      <c r="S764">
        <f>Table1[[#This Row],[Gross_Sales]]*Table1[[#This Row],[Discount_Rate]]</f>
        <v>181.91700000000003</v>
      </c>
      <c r="T764">
        <f>Table1[[#This Row],[Gross_Sales]]-Table1[[#This Row],[Discount_Amount]]</f>
        <v>1637.2530000000002</v>
      </c>
      <c r="U764">
        <f>VLOOKUP(Table1[[#This Row],[Category]],REF_Cost!$A$1:$B$6,2,FALSE)*Table1[[#This Row],[Quantity]]</f>
        <v>1350</v>
      </c>
      <c r="V764">
        <f>Table1[[#This Row],[Net_Sales]]-Table1[[#This Row],[Total_Cost]]</f>
        <v>287.25300000000016</v>
      </c>
      <c r="W764" t="str">
        <f>TEXT(Table1[[#This Row],[Order_Date]],"mmm")</f>
        <v>Apr</v>
      </c>
      <c r="X764">
        <f>ROUNDUP(MONTH(Table1[[#This Row],[Order_Date]])/3,0)</f>
        <v>2</v>
      </c>
      <c r="Y764">
        <f>YEAR(Table1[[#This Row],[Order_Date]])</f>
        <v>2024</v>
      </c>
    </row>
    <row r="765" spans="1:25" x14ac:dyDescent="0.25">
      <c r="A765" t="s">
        <v>3124</v>
      </c>
      <c r="B765" t="s">
        <v>3125</v>
      </c>
      <c r="C765" t="s">
        <v>3126</v>
      </c>
      <c r="D765" t="s">
        <v>3127</v>
      </c>
      <c r="E765" t="s">
        <v>149</v>
      </c>
      <c r="F765" t="s">
        <v>49</v>
      </c>
      <c r="G765" t="s">
        <v>117</v>
      </c>
      <c r="H765" t="s">
        <v>72</v>
      </c>
      <c r="I765" t="s">
        <v>33</v>
      </c>
      <c r="J765" t="s">
        <v>73</v>
      </c>
      <c r="K765">
        <v>5</v>
      </c>
      <c r="L765">
        <v>1141.9000000000001</v>
      </c>
      <c r="M765" s="3">
        <v>0.15</v>
      </c>
      <c r="N765" t="str">
        <f>VLOOKUP(Table1[[#This Row],[Country]],REF_Country!$A$1:$D$11,2,FALSE)</f>
        <v>East Asia</v>
      </c>
      <c r="O765" t="str">
        <f>VLOOKUP(Table1[[#This Row],[Country]],REF_Country!$A$1:$D$11,3,FALSE)</f>
        <v>JP</v>
      </c>
      <c r="P765">
        <f>VLOOKUP(Table1[[#This Row],[Country]],REF_Country!$A$1:$D$11,4,FALSE)</f>
        <v>0.1</v>
      </c>
      <c r="Q765">
        <f>VLOOKUP(Table1[[#This Row],[Category]],REF_Target!$A$1:$E$6,2,FALSE)</f>
        <v>35000</v>
      </c>
      <c r="R765">
        <f>Table1[[#This Row],[Quantity]]*Table1[[#This Row],[Unit_Price]]</f>
        <v>5709.5</v>
      </c>
      <c r="S765">
        <f>Table1[[#This Row],[Gross_Sales]]*Table1[[#This Row],[Discount_Rate]]</f>
        <v>856.42499999999995</v>
      </c>
      <c r="T765">
        <f>Table1[[#This Row],[Gross_Sales]]-Table1[[#This Row],[Discount_Amount]]</f>
        <v>4853.0749999999998</v>
      </c>
      <c r="U765">
        <f>VLOOKUP(Table1[[#This Row],[Category]],REF_Cost!$A$1:$B$6,2,FALSE)*Table1[[#This Row],[Quantity]]</f>
        <v>750</v>
      </c>
      <c r="V765">
        <f>Table1[[#This Row],[Net_Sales]]-Table1[[#This Row],[Total_Cost]]</f>
        <v>4103.0749999999998</v>
      </c>
      <c r="W765" t="str">
        <f>TEXT(Table1[[#This Row],[Order_Date]],"mmm")</f>
        <v>Sep</v>
      </c>
      <c r="X765">
        <f>ROUNDUP(MONTH(Table1[[#This Row],[Order_Date]])/3,0)</f>
        <v>3</v>
      </c>
      <c r="Y765">
        <f>YEAR(Table1[[#This Row],[Order_Date]])</f>
        <v>2024</v>
      </c>
    </row>
    <row r="766" spans="1:25" x14ac:dyDescent="0.25">
      <c r="A766" t="s">
        <v>3128</v>
      </c>
      <c r="B766" t="s">
        <v>3129</v>
      </c>
      <c r="C766" t="s">
        <v>3130</v>
      </c>
      <c r="D766" t="s">
        <v>3131</v>
      </c>
      <c r="E766" t="s">
        <v>200</v>
      </c>
      <c r="F766" t="s">
        <v>84</v>
      </c>
      <c r="G766" t="s">
        <v>264</v>
      </c>
      <c r="H766" t="s">
        <v>58</v>
      </c>
      <c r="I766" t="s">
        <v>43</v>
      </c>
      <c r="J766" t="s">
        <v>34</v>
      </c>
      <c r="K766">
        <v>8</v>
      </c>
      <c r="L766">
        <v>849.78</v>
      </c>
      <c r="M766" s="3">
        <v>0</v>
      </c>
      <c r="N766" t="str">
        <f>VLOOKUP(Table1[[#This Row],[Country]],REF_Country!$A$1:$D$11,2,FALSE)</f>
        <v>East Asia</v>
      </c>
      <c r="O766" t="str">
        <f>VLOOKUP(Table1[[#This Row],[Country]],REF_Country!$A$1:$D$11,3,FALSE)</f>
        <v>KR</v>
      </c>
      <c r="P766">
        <f>VLOOKUP(Table1[[#This Row],[Country]],REF_Country!$A$1:$D$11,4,FALSE)</f>
        <v>0.1</v>
      </c>
      <c r="Q766">
        <f>VLOOKUP(Table1[[#This Row],[Category]],REF_Target!$A$1:$E$6,2,FALSE)</f>
        <v>30000</v>
      </c>
      <c r="R766">
        <f>Table1[[#This Row],[Quantity]]*Table1[[#This Row],[Unit_Price]]</f>
        <v>6798.24</v>
      </c>
      <c r="S766">
        <f>Table1[[#This Row],[Gross_Sales]]*Table1[[#This Row],[Discount_Rate]]</f>
        <v>0</v>
      </c>
      <c r="T766">
        <f>Table1[[#This Row],[Gross_Sales]]-Table1[[#This Row],[Discount_Amount]]</f>
        <v>6798.24</v>
      </c>
      <c r="U766">
        <f>VLOOKUP(Table1[[#This Row],[Category]],REF_Cost!$A$1:$B$6,2,FALSE)*Table1[[#This Row],[Quantity]]</f>
        <v>1600</v>
      </c>
      <c r="V766">
        <f>Table1[[#This Row],[Net_Sales]]-Table1[[#This Row],[Total_Cost]]</f>
        <v>5198.24</v>
      </c>
      <c r="W766" t="str">
        <f>TEXT(Table1[[#This Row],[Order_Date]],"mmm")</f>
        <v>Jul</v>
      </c>
      <c r="X766">
        <f>ROUNDUP(MONTH(Table1[[#This Row],[Order_Date]])/3,0)</f>
        <v>3</v>
      </c>
      <c r="Y766">
        <f>YEAR(Table1[[#This Row],[Order_Date]])</f>
        <v>2024</v>
      </c>
    </row>
    <row r="767" spans="1:25" x14ac:dyDescent="0.25">
      <c r="A767" t="s">
        <v>3132</v>
      </c>
      <c r="B767" t="s">
        <v>3133</v>
      </c>
      <c r="C767" t="s">
        <v>3134</v>
      </c>
      <c r="D767" t="s">
        <v>3135</v>
      </c>
      <c r="E767" t="s">
        <v>64</v>
      </c>
      <c r="F767" t="s">
        <v>40</v>
      </c>
      <c r="G767" t="s">
        <v>315</v>
      </c>
      <c r="H767" t="s">
        <v>58</v>
      </c>
      <c r="I767" t="s">
        <v>96</v>
      </c>
      <c r="J767" t="s">
        <v>34</v>
      </c>
      <c r="K767">
        <v>7</v>
      </c>
      <c r="L767">
        <v>744.81</v>
      </c>
      <c r="M767" s="3">
        <v>0.1</v>
      </c>
      <c r="N767" t="str">
        <f>VLOOKUP(Table1[[#This Row],[Country]],REF_Country!$A$1:$D$11,2,FALSE)</f>
        <v>Southeast Asia</v>
      </c>
      <c r="O767" t="str">
        <f>VLOOKUP(Table1[[#This Row],[Country]],REF_Country!$A$1:$D$11,3,FALSE)</f>
        <v>ID</v>
      </c>
      <c r="P767">
        <f>VLOOKUP(Table1[[#This Row],[Country]],REF_Country!$A$1:$D$11,4,FALSE)</f>
        <v>0.11</v>
      </c>
      <c r="Q767">
        <f>VLOOKUP(Table1[[#This Row],[Category]],REF_Target!$A$1:$E$6,2,FALSE)</f>
        <v>45000</v>
      </c>
      <c r="R767">
        <f>Table1[[#This Row],[Quantity]]*Table1[[#This Row],[Unit_Price]]</f>
        <v>5213.67</v>
      </c>
      <c r="S767">
        <f>Table1[[#This Row],[Gross_Sales]]*Table1[[#This Row],[Discount_Rate]]</f>
        <v>521.36700000000008</v>
      </c>
      <c r="T767">
        <f>Table1[[#This Row],[Gross_Sales]]-Table1[[#This Row],[Discount_Amount]]</f>
        <v>4692.3029999999999</v>
      </c>
      <c r="U767">
        <f>VLOOKUP(Table1[[#This Row],[Category]],REF_Cost!$A$1:$B$6,2,FALSE)*Table1[[#This Row],[Quantity]]</f>
        <v>560</v>
      </c>
      <c r="V767">
        <f>Table1[[#This Row],[Net_Sales]]-Table1[[#This Row],[Total_Cost]]</f>
        <v>4132.3029999999999</v>
      </c>
      <c r="W767" t="str">
        <f>TEXT(Table1[[#This Row],[Order_Date]],"mmm")</f>
        <v>Mar</v>
      </c>
      <c r="X767">
        <f>ROUNDUP(MONTH(Table1[[#This Row],[Order_Date]])/3,0)</f>
        <v>1</v>
      </c>
      <c r="Y767">
        <f>YEAR(Table1[[#This Row],[Order_Date]])</f>
        <v>2024</v>
      </c>
    </row>
    <row r="768" spans="1:25" x14ac:dyDescent="0.25">
      <c r="A768" t="s">
        <v>3136</v>
      </c>
      <c r="B768" t="s">
        <v>3137</v>
      </c>
      <c r="C768" t="s">
        <v>3138</v>
      </c>
      <c r="D768" t="s">
        <v>3139</v>
      </c>
      <c r="E768" t="s">
        <v>149</v>
      </c>
      <c r="F768" t="s">
        <v>56</v>
      </c>
      <c r="G768" t="s">
        <v>101</v>
      </c>
      <c r="H768" t="s">
        <v>72</v>
      </c>
      <c r="I768" t="s">
        <v>96</v>
      </c>
      <c r="J768" t="s">
        <v>59</v>
      </c>
      <c r="K768">
        <v>10</v>
      </c>
      <c r="L768">
        <v>586.47</v>
      </c>
      <c r="M768" s="3">
        <v>0</v>
      </c>
      <c r="N768" t="str">
        <f>VLOOKUP(Table1[[#This Row],[Country]],REF_Country!$A$1:$D$11,2,FALSE)</f>
        <v>East Asia</v>
      </c>
      <c r="O768" t="str">
        <f>VLOOKUP(Table1[[#This Row],[Country]],REF_Country!$A$1:$D$11,3,FALSE)</f>
        <v>JP</v>
      </c>
      <c r="P768">
        <f>VLOOKUP(Table1[[#This Row],[Country]],REF_Country!$A$1:$D$11,4,FALSE)</f>
        <v>0.1</v>
      </c>
      <c r="Q768">
        <f>VLOOKUP(Table1[[#This Row],[Category]],REF_Target!$A$1:$E$6,2,FALSE)</f>
        <v>50000</v>
      </c>
      <c r="R768">
        <f>Table1[[#This Row],[Quantity]]*Table1[[#This Row],[Unit_Price]]</f>
        <v>5864.7000000000007</v>
      </c>
      <c r="S768">
        <f>Table1[[#This Row],[Gross_Sales]]*Table1[[#This Row],[Discount_Rate]]</f>
        <v>0</v>
      </c>
      <c r="T768">
        <f>Table1[[#This Row],[Gross_Sales]]-Table1[[#This Row],[Discount_Amount]]</f>
        <v>5864.7000000000007</v>
      </c>
      <c r="U768">
        <f>VLOOKUP(Table1[[#This Row],[Category]],REF_Cost!$A$1:$B$6,2,FALSE)*Table1[[#This Row],[Quantity]]</f>
        <v>4500</v>
      </c>
      <c r="V768">
        <f>Table1[[#This Row],[Net_Sales]]-Table1[[#This Row],[Total_Cost]]</f>
        <v>1364.7000000000007</v>
      </c>
      <c r="W768" t="str">
        <f>TEXT(Table1[[#This Row],[Order_Date]],"mmm")</f>
        <v>Nov</v>
      </c>
      <c r="X768">
        <f>ROUNDUP(MONTH(Table1[[#This Row],[Order_Date]])/3,0)</f>
        <v>4</v>
      </c>
      <c r="Y768">
        <f>YEAR(Table1[[#This Row],[Order_Date]])</f>
        <v>2024</v>
      </c>
    </row>
    <row r="769" spans="1:25" x14ac:dyDescent="0.25">
      <c r="A769" t="s">
        <v>3140</v>
      </c>
      <c r="B769" t="s">
        <v>3141</v>
      </c>
      <c r="C769" t="s">
        <v>3142</v>
      </c>
      <c r="D769" t="s">
        <v>3143</v>
      </c>
      <c r="E769" t="s">
        <v>71</v>
      </c>
      <c r="F769" t="s">
        <v>56</v>
      </c>
      <c r="G769" t="s">
        <v>57</v>
      </c>
      <c r="H769" t="s">
        <v>42</v>
      </c>
      <c r="I769" t="s">
        <v>51</v>
      </c>
      <c r="J769" t="s">
        <v>59</v>
      </c>
      <c r="K769">
        <v>4</v>
      </c>
      <c r="L769">
        <v>1390.88</v>
      </c>
      <c r="M769" s="3">
        <v>0</v>
      </c>
      <c r="N769" t="str">
        <f>VLOOKUP(Table1[[#This Row],[Country]],REF_Country!$A$1:$D$11,2,FALSE)</f>
        <v>Southeast Asia</v>
      </c>
      <c r="O769" t="str">
        <f>VLOOKUP(Table1[[#This Row],[Country]],REF_Country!$A$1:$D$11,3,FALSE)</f>
        <v>PH</v>
      </c>
      <c r="P769">
        <f>VLOOKUP(Table1[[#This Row],[Country]],REF_Country!$A$1:$D$11,4,FALSE)</f>
        <v>0.12</v>
      </c>
      <c r="Q769">
        <f>VLOOKUP(Table1[[#This Row],[Category]],REF_Target!$A$1:$E$6,2,FALSE)</f>
        <v>50000</v>
      </c>
      <c r="R769">
        <f>Table1[[#This Row],[Quantity]]*Table1[[#This Row],[Unit_Price]]</f>
        <v>5563.52</v>
      </c>
      <c r="S769">
        <f>Table1[[#This Row],[Gross_Sales]]*Table1[[#This Row],[Discount_Rate]]</f>
        <v>0</v>
      </c>
      <c r="T769">
        <f>Table1[[#This Row],[Gross_Sales]]-Table1[[#This Row],[Discount_Amount]]</f>
        <v>5563.52</v>
      </c>
      <c r="U769">
        <f>VLOOKUP(Table1[[#This Row],[Category]],REF_Cost!$A$1:$B$6,2,FALSE)*Table1[[#This Row],[Quantity]]</f>
        <v>1800</v>
      </c>
      <c r="V769">
        <f>Table1[[#This Row],[Net_Sales]]-Table1[[#This Row],[Total_Cost]]</f>
        <v>3763.5200000000004</v>
      </c>
      <c r="W769" t="str">
        <f>TEXT(Table1[[#This Row],[Order_Date]],"mmm")</f>
        <v>Sep</v>
      </c>
      <c r="X769">
        <f>ROUNDUP(MONTH(Table1[[#This Row],[Order_Date]])/3,0)</f>
        <v>3</v>
      </c>
      <c r="Y769">
        <f>YEAR(Table1[[#This Row],[Order_Date]])</f>
        <v>2024</v>
      </c>
    </row>
    <row r="770" spans="1:25" x14ac:dyDescent="0.25">
      <c r="A770" t="s">
        <v>3144</v>
      </c>
      <c r="B770" t="s">
        <v>3145</v>
      </c>
      <c r="C770" t="s">
        <v>3146</v>
      </c>
      <c r="D770" t="s">
        <v>3147</v>
      </c>
      <c r="E770" t="s">
        <v>48</v>
      </c>
      <c r="F770" t="s">
        <v>84</v>
      </c>
      <c r="G770" t="s">
        <v>90</v>
      </c>
      <c r="H770" t="s">
        <v>72</v>
      </c>
      <c r="I770" t="s">
        <v>33</v>
      </c>
      <c r="J770" t="s">
        <v>73</v>
      </c>
      <c r="K770">
        <v>3</v>
      </c>
      <c r="L770">
        <v>691.37</v>
      </c>
      <c r="M770" s="3">
        <v>0.05</v>
      </c>
      <c r="N770" t="str">
        <f>VLOOKUP(Table1[[#This Row],[Country]],REF_Country!$A$1:$D$11,2,FALSE)</f>
        <v>Southeast Asia</v>
      </c>
      <c r="O770" t="str">
        <f>VLOOKUP(Table1[[#This Row],[Country]],REF_Country!$A$1:$D$11,3,FALSE)</f>
        <v>SG</v>
      </c>
      <c r="P770">
        <f>VLOOKUP(Table1[[#This Row],[Country]],REF_Country!$A$1:$D$11,4,FALSE)</f>
        <v>7.0000000000000007E-2</v>
      </c>
      <c r="Q770">
        <f>VLOOKUP(Table1[[#This Row],[Category]],REF_Target!$A$1:$E$6,2,FALSE)</f>
        <v>30000</v>
      </c>
      <c r="R770">
        <f>Table1[[#This Row],[Quantity]]*Table1[[#This Row],[Unit_Price]]</f>
        <v>2074.11</v>
      </c>
      <c r="S770">
        <f>Table1[[#This Row],[Gross_Sales]]*Table1[[#This Row],[Discount_Rate]]</f>
        <v>103.70550000000001</v>
      </c>
      <c r="T770">
        <f>Table1[[#This Row],[Gross_Sales]]-Table1[[#This Row],[Discount_Amount]]</f>
        <v>1970.4045000000001</v>
      </c>
      <c r="U770">
        <f>VLOOKUP(Table1[[#This Row],[Category]],REF_Cost!$A$1:$B$6,2,FALSE)*Table1[[#This Row],[Quantity]]</f>
        <v>600</v>
      </c>
      <c r="V770">
        <f>Table1[[#This Row],[Net_Sales]]-Table1[[#This Row],[Total_Cost]]</f>
        <v>1370.4045000000001</v>
      </c>
      <c r="W770" t="str">
        <f>TEXT(Table1[[#This Row],[Order_Date]],"mmm")</f>
        <v>Dec</v>
      </c>
      <c r="X770">
        <f>ROUNDUP(MONTH(Table1[[#This Row],[Order_Date]])/3,0)</f>
        <v>4</v>
      </c>
      <c r="Y770">
        <f>YEAR(Table1[[#This Row],[Order_Date]])</f>
        <v>2024</v>
      </c>
    </row>
    <row r="771" spans="1:25" x14ac:dyDescent="0.25">
      <c r="A771" t="s">
        <v>3148</v>
      </c>
      <c r="B771" t="s">
        <v>3149</v>
      </c>
      <c r="C771" t="s">
        <v>3150</v>
      </c>
      <c r="D771" t="s">
        <v>3151</v>
      </c>
      <c r="E771" t="s">
        <v>149</v>
      </c>
      <c r="F771" t="s">
        <v>49</v>
      </c>
      <c r="G771" t="s">
        <v>259</v>
      </c>
      <c r="H771" t="s">
        <v>72</v>
      </c>
      <c r="I771" t="s">
        <v>96</v>
      </c>
      <c r="J771" t="s">
        <v>73</v>
      </c>
      <c r="K771">
        <v>2</v>
      </c>
      <c r="L771">
        <v>1461.61</v>
      </c>
      <c r="M771" s="3">
        <v>0.15</v>
      </c>
      <c r="N771" t="str">
        <f>VLOOKUP(Table1[[#This Row],[Country]],REF_Country!$A$1:$D$11,2,FALSE)</f>
        <v>East Asia</v>
      </c>
      <c r="O771" t="str">
        <f>VLOOKUP(Table1[[#This Row],[Country]],REF_Country!$A$1:$D$11,3,FALSE)</f>
        <v>JP</v>
      </c>
      <c r="P771">
        <f>VLOOKUP(Table1[[#This Row],[Country]],REF_Country!$A$1:$D$11,4,FALSE)</f>
        <v>0.1</v>
      </c>
      <c r="Q771">
        <f>VLOOKUP(Table1[[#This Row],[Category]],REF_Target!$A$1:$E$6,2,FALSE)</f>
        <v>35000</v>
      </c>
      <c r="R771">
        <f>Table1[[#This Row],[Quantity]]*Table1[[#This Row],[Unit_Price]]</f>
        <v>2923.22</v>
      </c>
      <c r="S771">
        <f>Table1[[#This Row],[Gross_Sales]]*Table1[[#This Row],[Discount_Rate]]</f>
        <v>438.48299999999995</v>
      </c>
      <c r="T771">
        <f>Table1[[#This Row],[Gross_Sales]]-Table1[[#This Row],[Discount_Amount]]</f>
        <v>2484.7370000000001</v>
      </c>
      <c r="U771">
        <f>VLOOKUP(Table1[[#This Row],[Category]],REF_Cost!$A$1:$B$6,2,FALSE)*Table1[[#This Row],[Quantity]]</f>
        <v>300</v>
      </c>
      <c r="V771">
        <f>Table1[[#This Row],[Net_Sales]]-Table1[[#This Row],[Total_Cost]]</f>
        <v>2184.7370000000001</v>
      </c>
      <c r="W771" t="str">
        <f>TEXT(Table1[[#This Row],[Order_Date]],"mmm")</f>
        <v>Feb</v>
      </c>
      <c r="X771">
        <f>ROUNDUP(MONTH(Table1[[#This Row],[Order_Date]])/3,0)</f>
        <v>1</v>
      </c>
      <c r="Y771">
        <f>YEAR(Table1[[#This Row],[Order_Date]])</f>
        <v>2024</v>
      </c>
    </row>
    <row r="772" spans="1:25" x14ac:dyDescent="0.25">
      <c r="A772" t="s">
        <v>3152</v>
      </c>
      <c r="B772" t="s">
        <v>3153</v>
      </c>
      <c r="C772" t="s">
        <v>3154</v>
      </c>
      <c r="D772" t="s">
        <v>3155</v>
      </c>
      <c r="E772" t="s">
        <v>78</v>
      </c>
      <c r="F772" t="s">
        <v>40</v>
      </c>
      <c r="G772" t="s">
        <v>565</v>
      </c>
      <c r="H772" t="s">
        <v>32</v>
      </c>
      <c r="I772" t="s">
        <v>51</v>
      </c>
      <c r="J772" t="s">
        <v>59</v>
      </c>
      <c r="K772">
        <v>7</v>
      </c>
      <c r="L772">
        <v>885.33</v>
      </c>
      <c r="M772" s="3">
        <v>0.2</v>
      </c>
      <c r="N772" t="str">
        <f>VLOOKUP(Table1[[#This Row],[Country]],REF_Country!$A$1:$D$11,2,FALSE)</f>
        <v>Oceania</v>
      </c>
      <c r="O772" t="str">
        <f>VLOOKUP(Table1[[#This Row],[Country]],REF_Country!$A$1:$D$11,3,FALSE)</f>
        <v>AU</v>
      </c>
      <c r="P772">
        <f>VLOOKUP(Table1[[#This Row],[Country]],REF_Country!$A$1:$D$11,4,FALSE)</f>
        <v>0.1</v>
      </c>
      <c r="Q772">
        <f>VLOOKUP(Table1[[#This Row],[Category]],REF_Target!$A$1:$E$6,2,FALSE)</f>
        <v>45000</v>
      </c>
      <c r="R772">
        <f>Table1[[#This Row],[Quantity]]*Table1[[#This Row],[Unit_Price]]</f>
        <v>6197.31</v>
      </c>
      <c r="S772">
        <f>Table1[[#This Row],[Gross_Sales]]*Table1[[#This Row],[Discount_Rate]]</f>
        <v>1239.4620000000002</v>
      </c>
      <c r="T772">
        <f>Table1[[#This Row],[Gross_Sales]]-Table1[[#This Row],[Discount_Amount]]</f>
        <v>4957.848</v>
      </c>
      <c r="U772">
        <f>VLOOKUP(Table1[[#This Row],[Category]],REF_Cost!$A$1:$B$6,2,FALSE)*Table1[[#This Row],[Quantity]]</f>
        <v>560</v>
      </c>
      <c r="V772">
        <f>Table1[[#This Row],[Net_Sales]]-Table1[[#This Row],[Total_Cost]]</f>
        <v>4397.848</v>
      </c>
      <c r="W772" t="str">
        <f>TEXT(Table1[[#This Row],[Order_Date]],"mmm")</f>
        <v>May</v>
      </c>
      <c r="X772">
        <f>ROUNDUP(MONTH(Table1[[#This Row],[Order_Date]])/3,0)</f>
        <v>2</v>
      </c>
      <c r="Y772">
        <f>YEAR(Table1[[#This Row],[Order_Date]])</f>
        <v>2024</v>
      </c>
    </row>
    <row r="773" spans="1:25" x14ac:dyDescent="0.25">
      <c r="A773" t="s">
        <v>3156</v>
      </c>
      <c r="B773" t="s">
        <v>3157</v>
      </c>
      <c r="C773" t="s">
        <v>3158</v>
      </c>
      <c r="D773" t="s">
        <v>3159</v>
      </c>
      <c r="E773" t="s">
        <v>149</v>
      </c>
      <c r="F773" t="s">
        <v>84</v>
      </c>
      <c r="G773" t="s">
        <v>205</v>
      </c>
      <c r="H773" t="s">
        <v>32</v>
      </c>
      <c r="I773" t="s">
        <v>51</v>
      </c>
      <c r="J773" t="s">
        <v>34</v>
      </c>
      <c r="K773">
        <v>8</v>
      </c>
      <c r="L773">
        <v>1480.73</v>
      </c>
      <c r="M773" s="3">
        <v>0</v>
      </c>
      <c r="N773" t="str">
        <f>VLOOKUP(Table1[[#This Row],[Country]],REF_Country!$A$1:$D$11,2,FALSE)</f>
        <v>East Asia</v>
      </c>
      <c r="O773" t="str">
        <f>VLOOKUP(Table1[[#This Row],[Country]],REF_Country!$A$1:$D$11,3,FALSE)</f>
        <v>JP</v>
      </c>
      <c r="P773">
        <f>VLOOKUP(Table1[[#This Row],[Country]],REF_Country!$A$1:$D$11,4,FALSE)</f>
        <v>0.1</v>
      </c>
      <c r="Q773">
        <f>VLOOKUP(Table1[[#This Row],[Category]],REF_Target!$A$1:$E$6,2,FALSE)</f>
        <v>30000</v>
      </c>
      <c r="R773">
        <f>Table1[[#This Row],[Quantity]]*Table1[[#This Row],[Unit_Price]]</f>
        <v>11845.84</v>
      </c>
      <c r="S773">
        <f>Table1[[#This Row],[Gross_Sales]]*Table1[[#This Row],[Discount_Rate]]</f>
        <v>0</v>
      </c>
      <c r="T773">
        <f>Table1[[#This Row],[Gross_Sales]]-Table1[[#This Row],[Discount_Amount]]</f>
        <v>11845.84</v>
      </c>
      <c r="U773">
        <f>VLOOKUP(Table1[[#This Row],[Category]],REF_Cost!$A$1:$B$6,2,FALSE)*Table1[[#This Row],[Quantity]]</f>
        <v>1600</v>
      </c>
      <c r="V773">
        <f>Table1[[#This Row],[Net_Sales]]-Table1[[#This Row],[Total_Cost]]</f>
        <v>10245.84</v>
      </c>
      <c r="W773" t="str">
        <f>TEXT(Table1[[#This Row],[Order_Date]],"mmm")</f>
        <v>May</v>
      </c>
      <c r="X773">
        <f>ROUNDUP(MONTH(Table1[[#This Row],[Order_Date]])/3,0)</f>
        <v>2</v>
      </c>
      <c r="Y773">
        <f>YEAR(Table1[[#This Row],[Order_Date]])</f>
        <v>2024</v>
      </c>
    </row>
    <row r="774" spans="1:25" x14ac:dyDescent="0.25">
      <c r="A774" t="s">
        <v>3160</v>
      </c>
      <c r="B774" t="s">
        <v>3161</v>
      </c>
      <c r="C774" t="s">
        <v>3162</v>
      </c>
      <c r="D774" t="s">
        <v>3163</v>
      </c>
      <c r="E774" t="s">
        <v>149</v>
      </c>
      <c r="F774" t="s">
        <v>30</v>
      </c>
      <c r="G774" t="s">
        <v>31</v>
      </c>
      <c r="H774" t="s">
        <v>42</v>
      </c>
      <c r="I774" t="s">
        <v>43</v>
      </c>
      <c r="J774" t="s">
        <v>126</v>
      </c>
      <c r="K774">
        <v>3</v>
      </c>
      <c r="L774">
        <v>571.36</v>
      </c>
      <c r="M774" s="3">
        <v>0</v>
      </c>
      <c r="N774" t="str">
        <f>VLOOKUP(Table1[[#This Row],[Country]],REF_Country!$A$1:$D$11,2,FALSE)</f>
        <v>East Asia</v>
      </c>
      <c r="O774" t="str">
        <f>VLOOKUP(Table1[[#This Row],[Country]],REF_Country!$A$1:$D$11,3,FALSE)</f>
        <v>JP</v>
      </c>
      <c r="P774">
        <f>VLOOKUP(Table1[[#This Row],[Country]],REF_Country!$A$1:$D$11,4,FALSE)</f>
        <v>0.1</v>
      </c>
      <c r="Q774">
        <f>VLOOKUP(Table1[[#This Row],[Category]],REF_Target!$A$1:$E$6,2,FALSE)</f>
        <v>40000</v>
      </c>
      <c r="R774">
        <f>Table1[[#This Row],[Quantity]]*Table1[[#This Row],[Unit_Price]]</f>
        <v>1714.08</v>
      </c>
      <c r="S774">
        <f>Table1[[#This Row],[Gross_Sales]]*Table1[[#This Row],[Discount_Rate]]</f>
        <v>0</v>
      </c>
      <c r="T774">
        <f>Table1[[#This Row],[Gross_Sales]]-Table1[[#This Row],[Discount_Amount]]</f>
        <v>1714.08</v>
      </c>
      <c r="U774">
        <f>VLOOKUP(Table1[[#This Row],[Category]],REF_Cost!$A$1:$B$6,2,FALSE)*Table1[[#This Row],[Quantity]]</f>
        <v>360</v>
      </c>
      <c r="V774">
        <f>Table1[[#This Row],[Net_Sales]]-Table1[[#This Row],[Total_Cost]]</f>
        <v>1354.08</v>
      </c>
      <c r="W774" t="str">
        <f>TEXT(Table1[[#This Row],[Order_Date]],"mmm")</f>
        <v>Aug</v>
      </c>
      <c r="X774">
        <f>ROUNDUP(MONTH(Table1[[#This Row],[Order_Date]])/3,0)</f>
        <v>3</v>
      </c>
      <c r="Y774">
        <f>YEAR(Table1[[#This Row],[Order_Date]])</f>
        <v>2024</v>
      </c>
    </row>
    <row r="775" spans="1:25" x14ac:dyDescent="0.25">
      <c r="A775" t="s">
        <v>3164</v>
      </c>
      <c r="B775" t="s">
        <v>3165</v>
      </c>
      <c r="C775" t="s">
        <v>3166</v>
      </c>
      <c r="D775" t="s">
        <v>3167</v>
      </c>
      <c r="E775" t="s">
        <v>39</v>
      </c>
      <c r="F775" t="s">
        <v>56</v>
      </c>
      <c r="G775" t="s">
        <v>95</v>
      </c>
      <c r="H775" t="s">
        <v>42</v>
      </c>
      <c r="I775" t="s">
        <v>96</v>
      </c>
      <c r="J775" t="s">
        <v>126</v>
      </c>
      <c r="K775">
        <v>4</v>
      </c>
      <c r="L775">
        <v>1216.6300000000001</v>
      </c>
      <c r="M775" s="3">
        <v>0.05</v>
      </c>
      <c r="N775" t="str">
        <f>VLOOKUP(Table1[[#This Row],[Country]],REF_Country!$A$1:$D$11,2,FALSE)</f>
        <v>Southeast Asia</v>
      </c>
      <c r="O775" t="str">
        <f>VLOOKUP(Table1[[#This Row],[Country]],REF_Country!$A$1:$D$11,3,FALSE)</f>
        <v>TH</v>
      </c>
      <c r="P775">
        <f>VLOOKUP(Table1[[#This Row],[Country]],REF_Country!$A$1:$D$11,4,FALSE)</f>
        <v>7.0000000000000007E-2</v>
      </c>
      <c r="Q775">
        <f>VLOOKUP(Table1[[#This Row],[Category]],REF_Target!$A$1:$E$6,2,FALSE)</f>
        <v>50000</v>
      </c>
      <c r="R775">
        <f>Table1[[#This Row],[Quantity]]*Table1[[#This Row],[Unit_Price]]</f>
        <v>4866.5200000000004</v>
      </c>
      <c r="S775">
        <f>Table1[[#This Row],[Gross_Sales]]*Table1[[#This Row],[Discount_Rate]]</f>
        <v>243.32600000000002</v>
      </c>
      <c r="T775">
        <f>Table1[[#This Row],[Gross_Sales]]-Table1[[#This Row],[Discount_Amount]]</f>
        <v>4623.1940000000004</v>
      </c>
      <c r="U775">
        <f>VLOOKUP(Table1[[#This Row],[Category]],REF_Cost!$A$1:$B$6,2,FALSE)*Table1[[#This Row],[Quantity]]</f>
        <v>1800</v>
      </c>
      <c r="V775">
        <f>Table1[[#This Row],[Net_Sales]]-Table1[[#This Row],[Total_Cost]]</f>
        <v>2823.1940000000004</v>
      </c>
      <c r="W775" t="str">
        <f>TEXT(Table1[[#This Row],[Order_Date]],"mmm")</f>
        <v>Oct</v>
      </c>
      <c r="X775">
        <f>ROUNDUP(MONTH(Table1[[#This Row],[Order_Date]])/3,0)</f>
        <v>4</v>
      </c>
      <c r="Y775">
        <f>YEAR(Table1[[#This Row],[Order_Date]])</f>
        <v>2024</v>
      </c>
    </row>
    <row r="776" spans="1:25" x14ac:dyDescent="0.25">
      <c r="A776" t="s">
        <v>3168</v>
      </c>
      <c r="B776" t="s">
        <v>3169</v>
      </c>
      <c r="C776" t="s">
        <v>3170</v>
      </c>
      <c r="D776" t="s">
        <v>3171</v>
      </c>
      <c r="E776" t="s">
        <v>116</v>
      </c>
      <c r="F776" t="s">
        <v>49</v>
      </c>
      <c r="G776" t="s">
        <v>117</v>
      </c>
      <c r="H776" t="s">
        <v>72</v>
      </c>
      <c r="I776" t="s">
        <v>96</v>
      </c>
      <c r="J776" t="s">
        <v>34</v>
      </c>
      <c r="K776">
        <v>6</v>
      </c>
      <c r="L776">
        <v>425.99</v>
      </c>
      <c r="M776" s="3">
        <v>0</v>
      </c>
      <c r="N776" t="str">
        <f>VLOOKUP(Table1[[#This Row],[Country]],REF_Country!$A$1:$D$11,2,FALSE)</f>
        <v>Southeast Asia</v>
      </c>
      <c r="O776" t="str">
        <f>VLOOKUP(Table1[[#This Row],[Country]],REF_Country!$A$1:$D$11,3,FALSE)</f>
        <v>MY</v>
      </c>
      <c r="P776">
        <f>VLOOKUP(Table1[[#This Row],[Country]],REF_Country!$A$1:$D$11,4,FALSE)</f>
        <v>0.06</v>
      </c>
      <c r="Q776">
        <f>VLOOKUP(Table1[[#This Row],[Category]],REF_Target!$A$1:$E$6,2,FALSE)</f>
        <v>35000</v>
      </c>
      <c r="R776">
        <f>Table1[[#This Row],[Quantity]]*Table1[[#This Row],[Unit_Price]]</f>
        <v>2555.94</v>
      </c>
      <c r="S776">
        <f>Table1[[#This Row],[Gross_Sales]]*Table1[[#This Row],[Discount_Rate]]</f>
        <v>0</v>
      </c>
      <c r="T776">
        <f>Table1[[#This Row],[Gross_Sales]]-Table1[[#This Row],[Discount_Amount]]</f>
        <v>2555.94</v>
      </c>
      <c r="U776">
        <f>VLOOKUP(Table1[[#This Row],[Category]],REF_Cost!$A$1:$B$6,2,FALSE)*Table1[[#This Row],[Quantity]]</f>
        <v>900</v>
      </c>
      <c r="V776">
        <f>Table1[[#This Row],[Net_Sales]]-Table1[[#This Row],[Total_Cost]]</f>
        <v>1655.94</v>
      </c>
      <c r="W776" t="str">
        <f>TEXT(Table1[[#This Row],[Order_Date]],"mmm")</f>
        <v>Mar</v>
      </c>
      <c r="X776">
        <f>ROUNDUP(MONTH(Table1[[#This Row],[Order_Date]])/3,0)</f>
        <v>1</v>
      </c>
      <c r="Y776">
        <f>YEAR(Table1[[#This Row],[Order_Date]])</f>
        <v>2024</v>
      </c>
    </row>
    <row r="777" spans="1:25" x14ac:dyDescent="0.25">
      <c r="A777" t="s">
        <v>3172</v>
      </c>
      <c r="B777" t="s">
        <v>3173</v>
      </c>
      <c r="C777" t="s">
        <v>3174</v>
      </c>
      <c r="D777" t="s">
        <v>3175</v>
      </c>
      <c r="E777" t="s">
        <v>29</v>
      </c>
      <c r="F777" t="s">
        <v>56</v>
      </c>
      <c r="G777" t="s">
        <v>111</v>
      </c>
      <c r="H777" t="s">
        <v>72</v>
      </c>
      <c r="I777" t="s">
        <v>33</v>
      </c>
      <c r="J777" t="s">
        <v>126</v>
      </c>
      <c r="K777">
        <v>1</v>
      </c>
      <c r="L777">
        <v>1186.97</v>
      </c>
      <c r="M777" s="3">
        <v>0</v>
      </c>
      <c r="N777" t="str">
        <f>VLOOKUP(Table1[[#This Row],[Country]],REF_Country!$A$1:$D$11,2,FALSE)</f>
        <v>Southeast Asia</v>
      </c>
      <c r="O777" t="str">
        <f>VLOOKUP(Table1[[#This Row],[Country]],REF_Country!$A$1:$D$11,3,FALSE)</f>
        <v>VN</v>
      </c>
      <c r="P777">
        <f>VLOOKUP(Table1[[#This Row],[Country]],REF_Country!$A$1:$D$11,4,FALSE)</f>
        <v>0.1</v>
      </c>
      <c r="Q777">
        <f>VLOOKUP(Table1[[#This Row],[Category]],REF_Target!$A$1:$E$6,2,FALSE)</f>
        <v>50000</v>
      </c>
      <c r="R777">
        <f>Table1[[#This Row],[Quantity]]*Table1[[#This Row],[Unit_Price]]</f>
        <v>1186.97</v>
      </c>
      <c r="S777">
        <f>Table1[[#This Row],[Gross_Sales]]*Table1[[#This Row],[Discount_Rate]]</f>
        <v>0</v>
      </c>
      <c r="T777">
        <f>Table1[[#This Row],[Gross_Sales]]-Table1[[#This Row],[Discount_Amount]]</f>
        <v>1186.97</v>
      </c>
      <c r="U777">
        <f>VLOOKUP(Table1[[#This Row],[Category]],REF_Cost!$A$1:$B$6,2,FALSE)*Table1[[#This Row],[Quantity]]</f>
        <v>450</v>
      </c>
      <c r="V777">
        <f>Table1[[#This Row],[Net_Sales]]-Table1[[#This Row],[Total_Cost]]</f>
        <v>736.97</v>
      </c>
      <c r="W777" t="str">
        <f>TEXT(Table1[[#This Row],[Order_Date]],"mmm")</f>
        <v>Feb</v>
      </c>
      <c r="X777">
        <f>ROUNDUP(MONTH(Table1[[#This Row],[Order_Date]])/3,0)</f>
        <v>1</v>
      </c>
      <c r="Y777">
        <f>YEAR(Table1[[#This Row],[Order_Date]])</f>
        <v>2024</v>
      </c>
    </row>
    <row r="778" spans="1:25" x14ac:dyDescent="0.25">
      <c r="A778" t="s">
        <v>3176</v>
      </c>
      <c r="B778" t="s">
        <v>3177</v>
      </c>
      <c r="C778" t="s">
        <v>3178</v>
      </c>
      <c r="D778" t="s">
        <v>3179</v>
      </c>
      <c r="E778" t="s">
        <v>29</v>
      </c>
      <c r="F778" t="s">
        <v>49</v>
      </c>
      <c r="G778" t="s">
        <v>226</v>
      </c>
      <c r="H778" t="s">
        <v>58</v>
      </c>
      <c r="I778" t="s">
        <v>66</v>
      </c>
      <c r="J778" t="s">
        <v>59</v>
      </c>
      <c r="K778">
        <v>10</v>
      </c>
      <c r="L778">
        <v>1139.01</v>
      </c>
      <c r="M778" s="3">
        <v>0.1</v>
      </c>
      <c r="N778" t="str">
        <f>VLOOKUP(Table1[[#This Row],[Country]],REF_Country!$A$1:$D$11,2,FALSE)</f>
        <v>Southeast Asia</v>
      </c>
      <c r="O778" t="str">
        <f>VLOOKUP(Table1[[#This Row],[Country]],REF_Country!$A$1:$D$11,3,FALSE)</f>
        <v>VN</v>
      </c>
      <c r="P778">
        <f>VLOOKUP(Table1[[#This Row],[Country]],REF_Country!$A$1:$D$11,4,FALSE)</f>
        <v>0.1</v>
      </c>
      <c r="Q778">
        <f>VLOOKUP(Table1[[#This Row],[Category]],REF_Target!$A$1:$E$6,2,FALSE)</f>
        <v>35000</v>
      </c>
      <c r="R778">
        <f>Table1[[#This Row],[Quantity]]*Table1[[#This Row],[Unit_Price]]</f>
        <v>11390.1</v>
      </c>
      <c r="S778">
        <f>Table1[[#This Row],[Gross_Sales]]*Table1[[#This Row],[Discount_Rate]]</f>
        <v>1139.01</v>
      </c>
      <c r="T778">
        <f>Table1[[#This Row],[Gross_Sales]]-Table1[[#This Row],[Discount_Amount]]</f>
        <v>10251.09</v>
      </c>
      <c r="U778">
        <f>VLOOKUP(Table1[[#This Row],[Category]],REF_Cost!$A$1:$B$6,2,FALSE)*Table1[[#This Row],[Quantity]]</f>
        <v>1500</v>
      </c>
      <c r="V778">
        <f>Table1[[#This Row],[Net_Sales]]-Table1[[#This Row],[Total_Cost]]</f>
        <v>8751.09</v>
      </c>
      <c r="W778" t="str">
        <f>TEXT(Table1[[#This Row],[Order_Date]],"mmm")</f>
        <v>Nov</v>
      </c>
      <c r="X778">
        <f>ROUNDUP(MONTH(Table1[[#This Row],[Order_Date]])/3,0)</f>
        <v>4</v>
      </c>
      <c r="Y778">
        <f>YEAR(Table1[[#This Row],[Order_Date]])</f>
        <v>2024</v>
      </c>
    </row>
    <row r="779" spans="1:25" x14ac:dyDescent="0.25">
      <c r="A779" t="s">
        <v>3180</v>
      </c>
      <c r="B779" t="s">
        <v>3181</v>
      </c>
      <c r="C779" t="s">
        <v>3182</v>
      </c>
      <c r="D779" t="s">
        <v>3183</v>
      </c>
      <c r="E779" t="s">
        <v>149</v>
      </c>
      <c r="F779" t="s">
        <v>49</v>
      </c>
      <c r="G779" t="s">
        <v>259</v>
      </c>
      <c r="H779" t="s">
        <v>32</v>
      </c>
      <c r="I779" t="s">
        <v>51</v>
      </c>
      <c r="J779" t="s">
        <v>34</v>
      </c>
      <c r="K779">
        <v>6</v>
      </c>
      <c r="L779">
        <v>100</v>
      </c>
      <c r="M779" s="3">
        <v>0.05</v>
      </c>
      <c r="N779" t="str">
        <f>VLOOKUP(Table1[[#This Row],[Country]],REF_Country!$A$1:$D$11,2,FALSE)</f>
        <v>East Asia</v>
      </c>
      <c r="O779" t="str">
        <f>VLOOKUP(Table1[[#This Row],[Country]],REF_Country!$A$1:$D$11,3,FALSE)</f>
        <v>JP</v>
      </c>
      <c r="P779">
        <f>VLOOKUP(Table1[[#This Row],[Country]],REF_Country!$A$1:$D$11,4,FALSE)</f>
        <v>0.1</v>
      </c>
      <c r="Q779">
        <f>VLOOKUP(Table1[[#This Row],[Category]],REF_Target!$A$1:$E$6,2,FALSE)</f>
        <v>35000</v>
      </c>
      <c r="R779">
        <f>Table1[[#This Row],[Quantity]]*Table1[[#This Row],[Unit_Price]]</f>
        <v>600</v>
      </c>
      <c r="S779">
        <f>Table1[[#This Row],[Gross_Sales]]*Table1[[#This Row],[Discount_Rate]]</f>
        <v>30</v>
      </c>
      <c r="T779">
        <f>Table1[[#This Row],[Gross_Sales]]-Table1[[#This Row],[Discount_Amount]]</f>
        <v>570</v>
      </c>
      <c r="U779">
        <f>VLOOKUP(Table1[[#This Row],[Category]],REF_Cost!$A$1:$B$6,2,FALSE)*Table1[[#This Row],[Quantity]]</f>
        <v>900</v>
      </c>
      <c r="V779">
        <f>Table1[[#This Row],[Net_Sales]]-Table1[[#This Row],[Total_Cost]]</f>
        <v>-330</v>
      </c>
      <c r="W779" t="str">
        <f>TEXT(Table1[[#This Row],[Order_Date]],"mmm")</f>
        <v>May</v>
      </c>
      <c r="X779">
        <f>ROUNDUP(MONTH(Table1[[#This Row],[Order_Date]])/3,0)</f>
        <v>2</v>
      </c>
      <c r="Y779">
        <f>YEAR(Table1[[#This Row],[Order_Date]])</f>
        <v>2024</v>
      </c>
    </row>
    <row r="780" spans="1:25" x14ac:dyDescent="0.25">
      <c r="A780" t="s">
        <v>3184</v>
      </c>
      <c r="B780" t="s">
        <v>3185</v>
      </c>
      <c r="C780" t="s">
        <v>3186</v>
      </c>
      <c r="D780" t="s">
        <v>3187</v>
      </c>
      <c r="E780" t="s">
        <v>116</v>
      </c>
      <c r="F780" t="s">
        <v>40</v>
      </c>
      <c r="G780" t="s">
        <v>315</v>
      </c>
      <c r="H780" t="s">
        <v>42</v>
      </c>
      <c r="I780" t="s">
        <v>33</v>
      </c>
      <c r="J780" t="s">
        <v>34</v>
      </c>
      <c r="K780">
        <v>4</v>
      </c>
      <c r="L780">
        <v>1427.33</v>
      </c>
      <c r="M780" s="3">
        <v>0.05</v>
      </c>
      <c r="N780" t="str">
        <f>VLOOKUP(Table1[[#This Row],[Country]],REF_Country!$A$1:$D$11,2,FALSE)</f>
        <v>Southeast Asia</v>
      </c>
      <c r="O780" t="str">
        <f>VLOOKUP(Table1[[#This Row],[Country]],REF_Country!$A$1:$D$11,3,FALSE)</f>
        <v>MY</v>
      </c>
      <c r="P780">
        <f>VLOOKUP(Table1[[#This Row],[Country]],REF_Country!$A$1:$D$11,4,FALSE)</f>
        <v>0.06</v>
      </c>
      <c r="Q780">
        <f>VLOOKUP(Table1[[#This Row],[Category]],REF_Target!$A$1:$E$6,2,FALSE)</f>
        <v>45000</v>
      </c>
      <c r="R780">
        <f>Table1[[#This Row],[Quantity]]*Table1[[#This Row],[Unit_Price]]</f>
        <v>5709.32</v>
      </c>
      <c r="S780">
        <f>Table1[[#This Row],[Gross_Sales]]*Table1[[#This Row],[Discount_Rate]]</f>
        <v>285.46600000000001</v>
      </c>
      <c r="T780">
        <f>Table1[[#This Row],[Gross_Sales]]-Table1[[#This Row],[Discount_Amount]]</f>
        <v>5423.8539999999994</v>
      </c>
      <c r="U780">
        <f>VLOOKUP(Table1[[#This Row],[Category]],REF_Cost!$A$1:$B$6,2,FALSE)*Table1[[#This Row],[Quantity]]</f>
        <v>320</v>
      </c>
      <c r="V780">
        <f>Table1[[#This Row],[Net_Sales]]-Table1[[#This Row],[Total_Cost]]</f>
        <v>5103.8539999999994</v>
      </c>
      <c r="W780" t="str">
        <f>TEXT(Table1[[#This Row],[Order_Date]],"mmm")</f>
        <v>Mar</v>
      </c>
      <c r="X780">
        <f>ROUNDUP(MONTH(Table1[[#This Row],[Order_Date]])/3,0)</f>
        <v>1</v>
      </c>
      <c r="Y780">
        <f>YEAR(Table1[[#This Row],[Order_Date]])</f>
        <v>2024</v>
      </c>
    </row>
    <row r="781" spans="1:25" x14ac:dyDescent="0.25">
      <c r="A781" t="s">
        <v>3188</v>
      </c>
      <c r="B781" t="s">
        <v>3189</v>
      </c>
      <c r="C781" t="s">
        <v>3190</v>
      </c>
      <c r="D781" t="s">
        <v>3191</v>
      </c>
      <c r="E781" t="s">
        <v>64</v>
      </c>
      <c r="F781" t="s">
        <v>84</v>
      </c>
      <c r="G781" t="s">
        <v>205</v>
      </c>
      <c r="H781" t="s">
        <v>58</v>
      </c>
      <c r="I781" t="s">
        <v>96</v>
      </c>
      <c r="J781" t="s">
        <v>73</v>
      </c>
      <c r="K781">
        <v>1</v>
      </c>
      <c r="L781">
        <v>956.16</v>
      </c>
      <c r="M781" s="3">
        <v>0.2</v>
      </c>
      <c r="N781" t="str">
        <f>VLOOKUP(Table1[[#This Row],[Country]],REF_Country!$A$1:$D$11,2,FALSE)</f>
        <v>Southeast Asia</v>
      </c>
      <c r="O781" t="str">
        <f>VLOOKUP(Table1[[#This Row],[Country]],REF_Country!$A$1:$D$11,3,FALSE)</f>
        <v>ID</v>
      </c>
      <c r="P781">
        <f>VLOOKUP(Table1[[#This Row],[Country]],REF_Country!$A$1:$D$11,4,FALSE)</f>
        <v>0.11</v>
      </c>
      <c r="Q781">
        <f>VLOOKUP(Table1[[#This Row],[Category]],REF_Target!$A$1:$E$6,2,FALSE)</f>
        <v>30000</v>
      </c>
      <c r="R781">
        <f>Table1[[#This Row],[Quantity]]*Table1[[#This Row],[Unit_Price]]</f>
        <v>956.16</v>
      </c>
      <c r="S781">
        <f>Table1[[#This Row],[Gross_Sales]]*Table1[[#This Row],[Discount_Rate]]</f>
        <v>191.232</v>
      </c>
      <c r="T781">
        <f>Table1[[#This Row],[Gross_Sales]]-Table1[[#This Row],[Discount_Amount]]</f>
        <v>764.928</v>
      </c>
      <c r="U781">
        <f>VLOOKUP(Table1[[#This Row],[Category]],REF_Cost!$A$1:$B$6,2,FALSE)*Table1[[#This Row],[Quantity]]</f>
        <v>200</v>
      </c>
      <c r="V781">
        <f>Table1[[#This Row],[Net_Sales]]-Table1[[#This Row],[Total_Cost]]</f>
        <v>564.928</v>
      </c>
      <c r="W781" t="str">
        <f>TEXT(Table1[[#This Row],[Order_Date]],"mmm")</f>
        <v>Jul</v>
      </c>
      <c r="X781">
        <f>ROUNDUP(MONTH(Table1[[#This Row],[Order_Date]])/3,0)</f>
        <v>3</v>
      </c>
      <c r="Y781">
        <f>YEAR(Table1[[#This Row],[Order_Date]])</f>
        <v>2024</v>
      </c>
    </row>
    <row r="782" spans="1:25" x14ac:dyDescent="0.25">
      <c r="A782" t="s">
        <v>3192</v>
      </c>
      <c r="B782" t="s">
        <v>3193</v>
      </c>
      <c r="C782" t="s">
        <v>3194</v>
      </c>
      <c r="D782" t="s">
        <v>3195</v>
      </c>
      <c r="E782" t="s">
        <v>83</v>
      </c>
      <c r="F782" t="s">
        <v>56</v>
      </c>
      <c r="G782" t="s">
        <v>190</v>
      </c>
      <c r="H782" t="s">
        <v>32</v>
      </c>
      <c r="I782" t="s">
        <v>96</v>
      </c>
      <c r="J782" t="s">
        <v>59</v>
      </c>
      <c r="K782">
        <v>8</v>
      </c>
      <c r="L782">
        <v>650.46</v>
      </c>
      <c r="M782" s="3">
        <v>0.2</v>
      </c>
      <c r="N782" t="str">
        <f>VLOOKUP(Table1[[#This Row],[Country]],REF_Country!$A$1:$D$11,2,FALSE)</f>
        <v>South Asia</v>
      </c>
      <c r="O782" t="str">
        <f>VLOOKUP(Table1[[#This Row],[Country]],REF_Country!$A$1:$D$11,3,FALSE)</f>
        <v>IN</v>
      </c>
      <c r="P782">
        <f>VLOOKUP(Table1[[#This Row],[Country]],REF_Country!$A$1:$D$11,4,FALSE)</f>
        <v>0.18</v>
      </c>
      <c r="Q782">
        <f>VLOOKUP(Table1[[#This Row],[Category]],REF_Target!$A$1:$E$6,2,FALSE)</f>
        <v>50000</v>
      </c>
      <c r="R782">
        <f>Table1[[#This Row],[Quantity]]*Table1[[#This Row],[Unit_Price]]</f>
        <v>5203.68</v>
      </c>
      <c r="S782">
        <f>Table1[[#This Row],[Gross_Sales]]*Table1[[#This Row],[Discount_Rate]]</f>
        <v>1040.7360000000001</v>
      </c>
      <c r="T782">
        <f>Table1[[#This Row],[Gross_Sales]]-Table1[[#This Row],[Discount_Amount]]</f>
        <v>4162.9440000000004</v>
      </c>
      <c r="U782">
        <f>VLOOKUP(Table1[[#This Row],[Category]],REF_Cost!$A$1:$B$6,2,FALSE)*Table1[[#This Row],[Quantity]]</f>
        <v>3600</v>
      </c>
      <c r="V782">
        <f>Table1[[#This Row],[Net_Sales]]-Table1[[#This Row],[Total_Cost]]</f>
        <v>562.94400000000041</v>
      </c>
      <c r="W782" t="str">
        <f>TEXT(Table1[[#This Row],[Order_Date]],"mmm")</f>
        <v>Sep</v>
      </c>
      <c r="X782">
        <f>ROUNDUP(MONTH(Table1[[#This Row],[Order_Date]])/3,0)</f>
        <v>3</v>
      </c>
      <c r="Y782">
        <f>YEAR(Table1[[#This Row],[Order_Date]])</f>
        <v>2024</v>
      </c>
    </row>
    <row r="783" spans="1:25" x14ac:dyDescent="0.25">
      <c r="A783" t="s">
        <v>3196</v>
      </c>
      <c r="B783" t="s">
        <v>3197</v>
      </c>
      <c r="C783" t="s">
        <v>3198</v>
      </c>
      <c r="D783" t="s">
        <v>3199</v>
      </c>
      <c r="E783" t="s">
        <v>78</v>
      </c>
      <c r="F783" t="s">
        <v>40</v>
      </c>
      <c r="G783" t="s">
        <v>41</v>
      </c>
      <c r="H783" t="s">
        <v>58</v>
      </c>
      <c r="I783" t="s">
        <v>33</v>
      </c>
      <c r="J783" t="s">
        <v>34</v>
      </c>
      <c r="K783">
        <v>8</v>
      </c>
      <c r="L783">
        <v>62.14</v>
      </c>
      <c r="M783" s="3">
        <v>0</v>
      </c>
      <c r="N783" t="str">
        <f>VLOOKUP(Table1[[#This Row],[Country]],REF_Country!$A$1:$D$11,2,FALSE)</f>
        <v>Oceania</v>
      </c>
      <c r="O783" t="str">
        <f>VLOOKUP(Table1[[#This Row],[Country]],REF_Country!$A$1:$D$11,3,FALSE)</f>
        <v>AU</v>
      </c>
      <c r="P783">
        <f>VLOOKUP(Table1[[#This Row],[Country]],REF_Country!$A$1:$D$11,4,FALSE)</f>
        <v>0.1</v>
      </c>
      <c r="Q783">
        <f>VLOOKUP(Table1[[#This Row],[Category]],REF_Target!$A$1:$E$6,2,FALSE)</f>
        <v>45000</v>
      </c>
      <c r="R783">
        <f>Table1[[#This Row],[Quantity]]*Table1[[#This Row],[Unit_Price]]</f>
        <v>497.12</v>
      </c>
      <c r="S783">
        <f>Table1[[#This Row],[Gross_Sales]]*Table1[[#This Row],[Discount_Rate]]</f>
        <v>0</v>
      </c>
      <c r="T783">
        <f>Table1[[#This Row],[Gross_Sales]]-Table1[[#This Row],[Discount_Amount]]</f>
        <v>497.12</v>
      </c>
      <c r="U783">
        <f>VLOOKUP(Table1[[#This Row],[Category]],REF_Cost!$A$1:$B$6,2,FALSE)*Table1[[#This Row],[Quantity]]</f>
        <v>640</v>
      </c>
      <c r="V783">
        <f>Table1[[#This Row],[Net_Sales]]-Table1[[#This Row],[Total_Cost]]</f>
        <v>-142.88</v>
      </c>
      <c r="W783" t="str">
        <f>TEXT(Table1[[#This Row],[Order_Date]],"mmm")</f>
        <v>Apr</v>
      </c>
      <c r="X783">
        <f>ROUNDUP(MONTH(Table1[[#This Row],[Order_Date]])/3,0)</f>
        <v>2</v>
      </c>
      <c r="Y783">
        <f>YEAR(Table1[[#This Row],[Order_Date]])</f>
        <v>2024</v>
      </c>
    </row>
    <row r="784" spans="1:25" x14ac:dyDescent="0.25">
      <c r="A784" t="s">
        <v>3200</v>
      </c>
      <c r="B784" t="s">
        <v>3201</v>
      </c>
      <c r="C784" t="s">
        <v>3202</v>
      </c>
      <c r="D784" t="s">
        <v>3203</v>
      </c>
      <c r="E784" t="s">
        <v>78</v>
      </c>
      <c r="F784" t="s">
        <v>30</v>
      </c>
      <c r="G784" t="s">
        <v>31</v>
      </c>
      <c r="H784" t="s">
        <v>42</v>
      </c>
      <c r="I784" t="s">
        <v>51</v>
      </c>
      <c r="J784" t="s">
        <v>73</v>
      </c>
      <c r="K784">
        <v>2</v>
      </c>
      <c r="L784">
        <v>329.29</v>
      </c>
      <c r="M784" s="3">
        <v>0</v>
      </c>
      <c r="N784" t="str">
        <f>VLOOKUP(Table1[[#This Row],[Country]],REF_Country!$A$1:$D$11,2,FALSE)</f>
        <v>Oceania</v>
      </c>
      <c r="O784" t="str">
        <f>VLOOKUP(Table1[[#This Row],[Country]],REF_Country!$A$1:$D$11,3,FALSE)</f>
        <v>AU</v>
      </c>
      <c r="P784">
        <f>VLOOKUP(Table1[[#This Row],[Country]],REF_Country!$A$1:$D$11,4,FALSE)</f>
        <v>0.1</v>
      </c>
      <c r="Q784">
        <f>VLOOKUP(Table1[[#This Row],[Category]],REF_Target!$A$1:$E$6,2,FALSE)</f>
        <v>40000</v>
      </c>
      <c r="R784">
        <f>Table1[[#This Row],[Quantity]]*Table1[[#This Row],[Unit_Price]]</f>
        <v>658.58</v>
      </c>
      <c r="S784">
        <f>Table1[[#This Row],[Gross_Sales]]*Table1[[#This Row],[Discount_Rate]]</f>
        <v>0</v>
      </c>
      <c r="T784">
        <f>Table1[[#This Row],[Gross_Sales]]-Table1[[#This Row],[Discount_Amount]]</f>
        <v>658.58</v>
      </c>
      <c r="U784">
        <f>VLOOKUP(Table1[[#This Row],[Category]],REF_Cost!$A$1:$B$6,2,FALSE)*Table1[[#This Row],[Quantity]]</f>
        <v>240</v>
      </c>
      <c r="V784">
        <f>Table1[[#This Row],[Net_Sales]]-Table1[[#This Row],[Total_Cost]]</f>
        <v>418.58000000000004</v>
      </c>
      <c r="W784" t="str">
        <f>TEXT(Table1[[#This Row],[Order_Date]],"mmm")</f>
        <v>Aug</v>
      </c>
      <c r="X784">
        <f>ROUNDUP(MONTH(Table1[[#This Row],[Order_Date]])/3,0)</f>
        <v>3</v>
      </c>
      <c r="Y784">
        <f>YEAR(Table1[[#This Row],[Order_Date]])</f>
        <v>2024</v>
      </c>
    </row>
    <row r="785" spans="1:25" x14ac:dyDescent="0.25">
      <c r="A785" t="s">
        <v>3204</v>
      </c>
      <c r="B785" t="s">
        <v>3205</v>
      </c>
      <c r="C785" t="s">
        <v>3206</v>
      </c>
      <c r="D785" t="s">
        <v>3207</v>
      </c>
      <c r="E785" t="s">
        <v>29</v>
      </c>
      <c r="F785" t="s">
        <v>49</v>
      </c>
      <c r="G785" t="s">
        <v>117</v>
      </c>
      <c r="H785" t="s">
        <v>42</v>
      </c>
      <c r="I785" t="s">
        <v>51</v>
      </c>
      <c r="J785" t="s">
        <v>59</v>
      </c>
      <c r="K785">
        <v>9</v>
      </c>
      <c r="L785">
        <v>1003.23</v>
      </c>
      <c r="M785" s="3">
        <v>0.2</v>
      </c>
      <c r="N785" t="str">
        <f>VLOOKUP(Table1[[#This Row],[Country]],REF_Country!$A$1:$D$11,2,FALSE)</f>
        <v>Southeast Asia</v>
      </c>
      <c r="O785" t="str">
        <f>VLOOKUP(Table1[[#This Row],[Country]],REF_Country!$A$1:$D$11,3,FALSE)</f>
        <v>VN</v>
      </c>
      <c r="P785">
        <f>VLOOKUP(Table1[[#This Row],[Country]],REF_Country!$A$1:$D$11,4,FALSE)</f>
        <v>0.1</v>
      </c>
      <c r="Q785">
        <f>VLOOKUP(Table1[[#This Row],[Category]],REF_Target!$A$1:$E$6,2,FALSE)</f>
        <v>35000</v>
      </c>
      <c r="R785">
        <f>Table1[[#This Row],[Quantity]]*Table1[[#This Row],[Unit_Price]]</f>
        <v>9029.07</v>
      </c>
      <c r="S785">
        <f>Table1[[#This Row],[Gross_Sales]]*Table1[[#This Row],[Discount_Rate]]</f>
        <v>1805.8140000000001</v>
      </c>
      <c r="T785">
        <f>Table1[[#This Row],[Gross_Sales]]-Table1[[#This Row],[Discount_Amount]]</f>
        <v>7223.2559999999994</v>
      </c>
      <c r="U785">
        <f>VLOOKUP(Table1[[#This Row],[Category]],REF_Cost!$A$1:$B$6,2,FALSE)*Table1[[#This Row],[Quantity]]</f>
        <v>1350</v>
      </c>
      <c r="V785">
        <f>Table1[[#This Row],[Net_Sales]]-Table1[[#This Row],[Total_Cost]]</f>
        <v>5873.2559999999994</v>
      </c>
      <c r="W785" t="str">
        <f>TEXT(Table1[[#This Row],[Order_Date]],"mmm")</f>
        <v>Jul</v>
      </c>
      <c r="X785">
        <f>ROUNDUP(MONTH(Table1[[#This Row],[Order_Date]])/3,0)</f>
        <v>3</v>
      </c>
      <c r="Y785">
        <f>YEAR(Table1[[#This Row],[Order_Date]])</f>
        <v>2024</v>
      </c>
    </row>
    <row r="786" spans="1:25" x14ac:dyDescent="0.25">
      <c r="A786" t="s">
        <v>3208</v>
      </c>
      <c r="B786" t="s">
        <v>3209</v>
      </c>
      <c r="C786" t="s">
        <v>3210</v>
      </c>
      <c r="D786" t="s">
        <v>3211</v>
      </c>
      <c r="E786" t="s">
        <v>71</v>
      </c>
      <c r="F786" t="s">
        <v>49</v>
      </c>
      <c r="G786" t="s">
        <v>226</v>
      </c>
      <c r="H786" t="s">
        <v>72</v>
      </c>
      <c r="I786" t="s">
        <v>43</v>
      </c>
      <c r="J786" t="s">
        <v>59</v>
      </c>
      <c r="K786">
        <v>9</v>
      </c>
      <c r="L786">
        <v>986.07</v>
      </c>
      <c r="M786" s="3">
        <v>0.1</v>
      </c>
      <c r="N786" t="str">
        <f>VLOOKUP(Table1[[#This Row],[Country]],REF_Country!$A$1:$D$11,2,FALSE)</f>
        <v>Southeast Asia</v>
      </c>
      <c r="O786" t="str">
        <f>VLOOKUP(Table1[[#This Row],[Country]],REF_Country!$A$1:$D$11,3,FALSE)</f>
        <v>PH</v>
      </c>
      <c r="P786">
        <f>VLOOKUP(Table1[[#This Row],[Country]],REF_Country!$A$1:$D$11,4,FALSE)</f>
        <v>0.12</v>
      </c>
      <c r="Q786">
        <f>VLOOKUP(Table1[[#This Row],[Category]],REF_Target!$A$1:$E$6,2,FALSE)</f>
        <v>35000</v>
      </c>
      <c r="R786">
        <f>Table1[[#This Row],[Quantity]]*Table1[[#This Row],[Unit_Price]]</f>
        <v>8874.630000000001</v>
      </c>
      <c r="S786">
        <f>Table1[[#This Row],[Gross_Sales]]*Table1[[#This Row],[Discount_Rate]]</f>
        <v>887.46300000000019</v>
      </c>
      <c r="T786">
        <f>Table1[[#This Row],[Gross_Sales]]-Table1[[#This Row],[Discount_Amount]]</f>
        <v>7987.1670000000013</v>
      </c>
      <c r="U786">
        <f>VLOOKUP(Table1[[#This Row],[Category]],REF_Cost!$A$1:$B$6,2,FALSE)*Table1[[#This Row],[Quantity]]</f>
        <v>1350</v>
      </c>
      <c r="V786">
        <f>Table1[[#This Row],[Net_Sales]]-Table1[[#This Row],[Total_Cost]]</f>
        <v>6637.1670000000013</v>
      </c>
      <c r="W786" t="str">
        <f>TEXT(Table1[[#This Row],[Order_Date]],"mmm")</f>
        <v>Oct</v>
      </c>
      <c r="X786">
        <f>ROUNDUP(MONTH(Table1[[#This Row],[Order_Date]])/3,0)</f>
        <v>4</v>
      </c>
      <c r="Y786">
        <f>YEAR(Table1[[#This Row],[Order_Date]])</f>
        <v>2024</v>
      </c>
    </row>
    <row r="787" spans="1:25" x14ac:dyDescent="0.25">
      <c r="A787" t="s">
        <v>3212</v>
      </c>
      <c r="B787" t="s">
        <v>3213</v>
      </c>
      <c r="C787" t="s">
        <v>3214</v>
      </c>
      <c r="D787" t="s">
        <v>3215</v>
      </c>
      <c r="E787" t="s">
        <v>116</v>
      </c>
      <c r="F787" t="s">
        <v>84</v>
      </c>
      <c r="G787" t="s">
        <v>90</v>
      </c>
      <c r="H787" t="s">
        <v>58</v>
      </c>
      <c r="I787" t="s">
        <v>43</v>
      </c>
      <c r="J787" t="s">
        <v>59</v>
      </c>
      <c r="K787">
        <v>2</v>
      </c>
      <c r="L787">
        <v>1406.76</v>
      </c>
      <c r="M787" s="3">
        <v>0.15</v>
      </c>
      <c r="N787" t="str">
        <f>VLOOKUP(Table1[[#This Row],[Country]],REF_Country!$A$1:$D$11,2,FALSE)</f>
        <v>Southeast Asia</v>
      </c>
      <c r="O787" t="str">
        <f>VLOOKUP(Table1[[#This Row],[Country]],REF_Country!$A$1:$D$11,3,FALSE)</f>
        <v>MY</v>
      </c>
      <c r="P787">
        <f>VLOOKUP(Table1[[#This Row],[Country]],REF_Country!$A$1:$D$11,4,FALSE)</f>
        <v>0.06</v>
      </c>
      <c r="Q787">
        <f>VLOOKUP(Table1[[#This Row],[Category]],REF_Target!$A$1:$E$6,2,FALSE)</f>
        <v>30000</v>
      </c>
      <c r="R787">
        <f>Table1[[#This Row],[Quantity]]*Table1[[#This Row],[Unit_Price]]</f>
        <v>2813.52</v>
      </c>
      <c r="S787">
        <f>Table1[[#This Row],[Gross_Sales]]*Table1[[#This Row],[Discount_Rate]]</f>
        <v>422.02799999999996</v>
      </c>
      <c r="T787">
        <f>Table1[[#This Row],[Gross_Sales]]-Table1[[#This Row],[Discount_Amount]]</f>
        <v>2391.4920000000002</v>
      </c>
      <c r="U787">
        <f>VLOOKUP(Table1[[#This Row],[Category]],REF_Cost!$A$1:$B$6,2,FALSE)*Table1[[#This Row],[Quantity]]</f>
        <v>400</v>
      </c>
      <c r="V787">
        <f>Table1[[#This Row],[Net_Sales]]-Table1[[#This Row],[Total_Cost]]</f>
        <v>1991.4920000000002</v>
      </c>
      <c r="W787" t="str">
        <f>TEXT(Table1[[#This Row],[Order_Date]],"mmm")</f>
        <v>May</v>
      </c>
      <c r="X787">
        <f>ROUNDUP(MONTH(Table1[[#This Row],[Order_Date]])/3,0)</f>
        <v>2</v>
      </c>
      <c r="Y787">
        <f>YEAR(Table1[[#This Row],[Order_Date]])</f>
        <v>2024</v>
      </c>
    </row>
    <row r="788" spans="1:25" x14ac:dyDescent="0.25">
      <c r="A788" t="s">
        <v>3216</v>
      </c>
      <c r="B788" t="s">
        <v>3217</v>
      </c>
      <c r="C788" t="s">
        <v>3218</v>
      </c>
      <c r="D788" t="s">
        <v>3219</v>
      </c>
      <c r="E788" t="s">
        <v>29</v>
      </c>
      <c r="F788" t="s">
        <v>56</v>
      </c>
      <c r="G788" t="s">
        <v>111</v>
      </c>
      <c r="H788" t="s">
        <v>58</v>
      </c>
      <c r="I788" t="s">
        <v>66</v>
      </c>
      <c r="J788" t="s">
        <v>73</v>
      </c>
      <c r="K788">
        <v>7</v>
      </c>
      <c r="L788">
        <v>810.37</v>
      </c>
      <c r="M788" s="3">
        <v>0.1</v>
      </c>
      <c r="N788" t="str">
        <f>VLOOKUP(Table1[[#This Row],[Country]],REF_Country!$A$1:$D$11,2,FALSE)</f>
        <v>Southeast Asia</v>
      </c>
      <c r="O788" t="str">
        <f>VLOOKUP(Table1[[#This Row],[Country]],REF_Country!$A$1:$D$11,3,FALSE)</f>
        <v>VN</v>
      </c>
      <c r="P788">
        <f>VLOOKUP(Table1[[#This Row],[Country]],REF_Country!$A$1:$D$11,4,FALSE)</f>
        <v>0.1</v>
      </c>
      <c r="Q788">
        <f>VLOOKUP(Table1[[#This Row],[Category]],REF_Target!$A$1:$E$6,2,FALSE)</f>
        <v>50000</v>
      </c>
      <c r="R788">
        <f>Table1[[#This Row],[Quantity]]*Table1[[#This Row],[Unit_Price]]</f>
        <v>5672.59</v>
      </c>
      <c r="S788">
        <f>Table1[[#This Row],[Gross_Sales]]*Table1[[#This Row],[Discount_Rate]]</f>
        <v>567.25900000000001</v>
      </c>
      <c r="T788">
        <f>Table1[[#This Row],[Gross_Sales]]-Table1[[#This Row],[Discount_Amount]]</f>
        <v>5105.3310000000001</v>
      </c>
      <c r="U788">
        <f>VLOOKUP(Table1[[#This Row],[Category]],REF_Cost!$A$1:$B$6,2,FALSE)*Table1[[#This Row],[Quantity]]</f>
        <v>3150</v>
      </c>
      <c r="V788">
        <f>Table1[[#This Row],[Net_Sales]]-Table1[[#This Row],[Total_Cost]]</f>
        <v>1955.3310000000001</v>
      </c>
      <c r="W788" t="str">
        <f>TEXT(Table1[[#This Row],[Order_Date]],"mmm")</f>
        <v>Oct</v>
      </c>
      <c r="X788">
        <f>ROUNDUP(MONTH(Table1[[#This Row],[Order_Date]])/3,0)</f>
        <v>4</v>
      </c>
      <c r="Y788">
        <f>YEAR(Table1[[#This Row],[Order_Date]])</f>
        <v>2024</v>
      </c>
    </row>
    <row r="789" spans="1:25" x14ac:dyDescent="0.25">
      <c r="A789" t="s">
        <v>3220</v>
      </c>
      <c r="B789" t="s">
        <v>3221</v>
      </c>
      <c r="C789" t="s">
        <v>3222</v>
      </c>
      <c r="D789" t="s">
        <v>3223</v>
      </c>
      <c r="E789" t="s">
        <v>39</v>
      </c>
      <c r="F789" t="s">
        <v>56</v>
      </c>
      <c r="G789" t="s">
        <v>57</v>
      </c>
      <c r="H789" t="s">
        <v>72</v>
      </c>
      <c r="I789" t="s">
        <v>66</v>
      </c>
      <c r="J789" t="s">
        <v>73</v>
      </c>
      <c r="K789">
        <v>8</v>
      </c>
      <c r="L789">
        <v>28.64</v>
      </c>
      <c r="M789" s="3">
        <v>0.05</v>
      </c>
      <c r="N789" t="str">
        <f>VLOOKUP(Table1[[#This Row],[Country]],REF_Country!$A$1:$D$11,2,FALSE)</f>
        <v>Southeast Asia</v>
      </c>
      <c r="O789" t="str">
        <f>VLOOKUP(Table1[[#This Row],[Country]],REF_Country!$A$1:$D$11,3,FALSE)</f>
        <v>TH</v>
      </c>
      <c r="P789">
        <f>VLOOKUP(Table1[[#This Row],[Country]],REF_Country!$A$1:$D$11,4,FALSE)</f>
        <v>7.0000000000000007E-2</v>
      </c>
      <c r="Q789">
        <f>VLOOKUP(Table1[[#This Row],[Category]],REF_Target!$A$1:$E$6,2,FALSE)</f>
        <v>50000</v>
      </c>
      <c r="R789">
        <f>Table1[[#This Row],[Quantity]]*Table1[[#This Row],[Unit_Price]]</f>
        <v>229.12</v>
      </c>
      <c r="S789">
        <f>Table1[[#This Row],[Gross_Sales]]*Table1[[#This Row],[Discount_Rate]]</f>
        <v>11.456000000000001</v>
      </c>
      <c r="T789">
        <f>Table1[[#This Row],[Gross_Sales]]-Table1[[#This Row],[Discount_Amount]]</f>
        <v>217.66400000000002</v>
      </c>
      <c r="U789">
        <f>VLOOKUP(Table1[[#This Row],[Category]],REF_Cost!$A$1:$B$6,2,FALSE)*Table1[[#This Row],[Quantity]]</f>
        <v>3600</v>
      </c>
      <c r="V789">
        <f>Table1[[#This Row],[Net_Sales]]-Table1[[#This Row],[Total_Cost]]</f>
        <v>-3382.3359999999998</v>
      </c>
      <c r="W789" t="str">
        <f>TEXT(Table1[[#This Row],[Order_Date]],"mmm")</f>
        <v>Dec</v>
      </c>
      <c r="X789">
        <f>ROUNDUP(MONTH(Table1[[#This Row],[Order_Date]])/3,0)</f>
        <v>4</v>
      </c>
      <c r="Y789">
        <f>YEAR(Table1[[#This Row],[Order_Date]])</f>
        <v>2024</v>
      </c>
    </row>
    <row r="790" spans="1:25" x14ac:dyDescent="0.25">
      <c r="A790" t="s">
        <v>3224</v>
      </c>
      <c r="B790" t="s">
        <v>3225</v>
      </c>
      <c r="C790" t="s">
        <v>3226</v>
      </c>
      <c r="D790" t="s">
        <v>3227</v>
      </c>
      <c r="E790" t="s">
        <v>83</v>
      </c>
      <c r="F790" t="s">
        <v>84</v>
      </c>
      <c r="G790" t="s">
        <v>85</v>
      </c>
      <c r="H790" t="s">
        <v>58</v>
      </c>
      <c r="I790" t="s">
        <v>66</v>
      </c>
      <c r="J790" t="s">
        <v>126</v>
      </c>
      <c r="K790">
        <v>1</v>
      </c>
      <c r="L790">
        <v>1124.3800000000001</v>
      </c>
      <c r="M790" s="3">
        <v>0.15</v>
      </c>
      <c r="N790" t="str">
        <f>VLOOKUP(Table1[[#This Row],[Country]],REF_Country!$A$1:$D$11,2,FALSE)</f>
        <v>South Asia</v>
      </c>
      <c r="O790" t="str">
        <f>VLOOKUP(Table1[[#This Row],[Country]],REF_Country!$A$1:$D$11,3,FALSE)</f>
        <v>IN</v>
      </c>
      <c r="P790">
        <f>VLOOKUP(Table1[[#This Row],[Country]],REF_Country!$A$1:$D$11,4,FALSE)</f>
        <v>0.18</v>
      </c>
      <c r="Q790">
        <f>VLOOKUP(Table1[[#This Row],[Category]],REF_Target!$A$1:$E$6,2,FALSE)</f>
        <v>30000</v>
      </c>
      <c r="R790">
        <f>Table1[[#This Row],[Quantity]]*Table1[[#This Row],[Unit_Price]]</f>
        <v>1124.3800000000001</v>
      </c>
      <c r="S790">
        <f>Table1[[#This Row],[Gross_Sales]]*Table1[[#This Row],[Discount_Rate]]</f>
        <v>168.65700000000001</v>
      </c>
      <c r="T790">
        <f>Table1[[#This Row],[Gross_Sales]]-Table1[[#This Row],[Discount_Amount]]</f>
        <v>955.72300000000007</v>
      </c>
      <c r="U790">
        <f>VLOOKUP(Table1[[#This Row],[Category]],REF_Cost!$A$1:$B$6,2,FALSE)*Table1[[#This Row],[Quantity]]</f>
        <v>200</v>
      </c>
      <c r="V790">
        <f>Table1[[#This Row],[Net_Sales]]-Table1[[#This Row],[Total_Cost]]</f>
        <v>755.72300000000007</v>
      </c>
      <c r="W790" t="str">
        <f>TEXT(Table1[[#This Row],[Order_Date]],"mmm")</f>
        <v>Dec</v>
      </c>
      <c r="X790">
        <f>ROUNDUP(MONTH(Table1[[#This Row],[Order_Date]])/3,0)</f>
        <v>4</v>
      </c>
      <c r="Y790">
        <f>YEAR(Table1[[#This Row],[Order_Date]])</f>
        <v>2024</v>
      </c>
    </row>
    <row r="791" spans="1:25" x14ac:dyDescent="0.25">
      <c r="A791" t="s">
        <v>3228</v>
      </c>
      <c r="B791" t="s">
        <v>3229</v>
      </c>
      <c r="C791" t="s">
        <v>3230</v>
      </c>
      <c r="D791" t="s">
        <v>3231</v>
      </c>
      <c r="E791" t="s">
        <v>39</v>
      </c>
      <c r="F791" t="s">
        <v>49</v>
      </c>
      <c r="G791" t="s">
        <v>50</v>
      </c>
      <c r="H791" t="s">
        <v>58</v>
      </c>
      <c r="I791" t="s">
        <v>43</v>
      </c>
      <c r="J791" t="s">
        <v>73</v>
      </c>
      <c r="K791">
        <v>7</v>
      </c>
      <c r="L791">
        <v>1060.6500000000001</v>
      </c>
      <c r="M791" s="3">
        <v>0</v>
      </c>
      <c r="N791" t="str">
        <f>VLOOKUP(Table1[[#This Row],[Country]],REF_Country!$A$1:$D$11,2,FALSE)</f>
        <v>Southeast Asia</v>
      </c>
      <c r="O791" t="str">
        <f>VLOOKUP(Table1[[#This Row],[Country]],REF_Country!$A$1:$D$11,3,FALSE)</f>
        <v>TH</v>
      </c>
      <c r="P791">
        <f>VLOOKUP(Table1[[#This Row],[Country]],REF_Country!$A$1:$D$11,4,FALSE)</f>
        <v>7.0000000000000007E-2</v>
      </c>
      <c r="Q791">
        <f>VLOOKUP(Table1[[#This Row],[Category]],REF_Target!$A$1:$E$6,2,FALSE)</f>
        <v>35000</v>
      </c>
      <c r="R791">
        <f>Table1[[#This Row],[Quantity]]*Table1[[#This Row],[Unit_Price]]</f>
        <v>7424.5500000000011</v>
      </c>
      <c r="S791">
        <f>Table1[[#This Row],[Gross_Sales]]*Table1[[#This Row],[Discount_Rate]]</f>
        <v>0</v>
      </c>
      <c r="T791">
        <f>Table1[[#This Row],[Gross_Sales]]-Table1[[#This Row],[Discount_Amount]]</f>
        <v>7424.5500000000011</v>
      </c>
      <c r="U791">
        <f>VLOOKUP(Table1[[#This Row],[Category]],REF_Cost!$A$1:$B$6,2,FALSE)*Table1[[#This Row],[Quantity]]</f>
        <v>1050</v>
      </c>
      <c r="V791">
        <f>Table1[[#This Row],[Net_Sales]]-Table1[[#This Row],[Total_Cost]]</f>
        <v>6374.5500000000011</v>
      </c>
      <c r="W791" t="str">
        <f>TEXT(Table1[[#This Row],[Order_Date]],"mmm")</f>
        <v>Dec</v>
      </c>
      <c r="X791">
        <f>ROUNDUP(MONTH(Table1[[#This Row],[Order_Date]])/3,0)</f>
        <v>4</v>
      </c>
      <c r="Y791">
        <f>YEAR(Table1[[#This Row],[Order_Date]])</f>
        <v>2024</v>
      </c>
    </row>
    <row r="792" spans="1:25" x14ac:dyDescent="0.25">
      <c r="A792" t="s">
        <v>3232</v>
      </c>
      <c r="B792" t="s">
        <v>3233</v>
      </c>
      <c r="C792" t="s">
        <v>3234</v>
      </c>
      <c r="D792" t="s">
        <v>3235</v>
      </c>
      <c r="E792" t="s">
        <v>48</v>
      </c>
      <c r="F792" t="s">
        <v>49</v>
      </c>
      <c r="G792" t="s">
        <v>226</v>
      </c>
      <c r="H792" t="s">
        <v>42</v>
      </c>
      <c r="I792" t="s">
        <v>66</v>
      </c>
      <c r="J792" t="s">
        <v>34</v>
      </c>
      <c r="K792">
        <v>3</v>
      </c>
      <c r="L792">
        <v>459.17</v>
      </c>
      <c r="M792" s="3">
        <v>0</v>
      </c>
      <c r="N792" t="str">
        <f>VLOOKUP(Table1[[#This Row],[Country]],REF_Country!$A$1:$D$11,2,FALSE)</f>
        <v>Southeast Asia</v>
      </c>
      <c r="O792" t="str">
        <f>VLOOKUP(Table1[[#This Row],[Country]],REF_Country!$A$1:$D$11,3,FALSE)</f>
        <v>SG</v>
      </c>
      <c r="P792">
        <f>VLOOKUP(Table1[[#This Row],[Country]],REF_Country!$A$1:$D$11,4,FALSE)</f>
        <v>7.0000000000000007E-2</v>
      </c>
      <c r="Q792">
        <f>VLOOKUP(Table1[[#This Row],[Category]],REF_Target!$A$1:$E$6,2,FALSE)</f>
        <v>35000</v>
      </c>
      <c r="R792">
        <f>Table1[[#This Row],[Quantity]]*Table1[[#This Row],[Unit_Price]]</f>
        <v>1377.51</v>
      </c>
      <c r="S792">
        <f>Table1[[#This Row],[Gross_Sales]]*Table1[[#This Row],[Discount_Rate]]</f>
        <v>0</v>
      </c>
      <c r="T792">
        <f>Table1[[#This Row],[Gross_Sales]]-Table1[[#This Row],[Discount_Amount]]</f>
        <v>1377.51</v>
      </c>
      <c r="U792">
        <f>VLOOKUP(Table1[[#This Row],[Category]],REF_Cost!$A$1:$B$6,2,FALSE)*Table1[[#This Row],[Quantity]]</f>
        <v>450</v>
      </c>
      <c r="V792">
        <f>Table1[[#This Row],[Net_Sales]]-Table1[[#This Row],[Total_Cost]]</f>
        <v>927.51</v>
      </c>
      <c r="W792" t="str">
        <f>TEXT(Table1[[#This Row],[Order_Date]],"mmm")</f>
        <v>Dec</v>
      </c>
      <c r="X792">
        <f>ROUNDUP(MONTH(Table1[[#This Row],[Order_Date]])/3,0)</f>
        <v>4</v>
      </c>
      <c r="Y792">
        <f>YEAR(Table1[[#This Row],[Order_Date]])</f>
        <v>2024</v>
      </c>
    </row>
    <row r="793" spans="1:25" x14ac:dyDescent="0.25">
      <c r="A793" t="s">
        <v>3236</v>
      </c>
      <c r="B793" t="s">
        <v>3237</v>
      </c>
      <c r="C793" t="s">
        <v>3238</v>
      </c>
      <c r="D793" t="s">
        <v>3239</v>
      </c>
      <c r="E793" t="s">
        <v>149</v>
      </c>
      <c r="F793" t="s">
        <v>49</v>
      </c>
      <c r="G793" t="s">
        <v>117</v>
      </c>
      <c r="H793" t="s">
        <v>72</v>
      </c>
      <c r="I793" t="s">
        <v>33</v>
      </c>
      <c r="J793" t="s">
        <v>34</v>
      </c>
      <c r="K793">
        <v>5</v>
      </c>
      <c r="L793">
        <v>798.85</v>
      </c>
      <c r="M793" s="3">
        <v>0.05</v>
      </c>
      <c r="N793" t="str">
        <f>VLOOKUP(Table1[[#This Row],[Country]],REF_Country!$A$1:$D$11,2,FALSE)</f>
        <v>East Asia</v>
      </c>
      <c r="O793" t="str">
        <f>VLOOKUP(Table1[[#This Row],[Country]],REF_Country!$A$1:$D$11,3,FALSE)</f>
        <v>JP</v>
      </c>
      <c r="P793">
        <f>VLOOKUP(Table1[[#This Row],[Country]],REF_Country!$A$1:$D$11,4,FALSE)</f>
        <v>0.1</v>
      </c>
      <c r="Q793">
        <f>VLOOKUP(Table1[[#This Row],[Category]],REF_Target!$A$1:$E$6,2,FALSE)</f>
        <v>35000</v>
      </c>
      <c r="R793">
        <f>Table1[[#This Row],[Quantity]]*Table1[[#This Row],[Unit_Price]]</f>
        <v>3994.25</v>
      </c>
      <c r="S793">
        <f>Table1[[#This Row],[Gross_Sales]]*Table1[[#This Row],[Discount_Rate]]</f>
        <v>199.71250000000001</v>
      </c>
      <c r="T793">
        <f>Table1[[#This Row],[Gross_Sales]]-Table1[[#This Row],[Discount_Amount]]</f>
        <v>3794.5374999999999</v>
      </c>
      <c r="U793">
        <f>VLOOKUP(Table1[[#This Row],[Category]],REF_Cost!$A$1:$B$6,2,FALSE)*Table1[[#This Row],[Quantity]]</f>
        <v>750</v>
      </c>
      <c r="V793">
        <f>Table1[[#This Row],[Net_Sales]]-Table1[[#This Row],[Total_Cost]]</f>
        <v>3044.5374999999999</v>
      </c>
      <c r="W793" t="str">
        <f>TEXT(Table1[[#This Row],[Order_Date]],"mmm")</f>
        <v>Aug</v>
      </c>
      <c r="X793">
        <f>ROUNDUP(MONTH(Table1[[#This Row],[Order_Date]])/3,0)</f>
        <v>3</v>
      </c>
      <c r="Y793">
        <f>YEAR(Table1[[#This Row],[Order_Date]])</f>
        <v>2024</v>
      </c>
    </row>
    <row r="794" spans="1:25" x14ac:dyDescent="0.25">
      <c r="A794" t="s">
        <v>3240</v>
      </c>
      <c r="B794" t="s">
        <v>3241</v>
      </c>
      <c r="C794" t="s">
        <v>3242</v>
      </c>
      <c r="D794" t="s">
        <v>3243</v>
      </c>
      <c r="E794" t="s">
        <v>83</v>
      </c>
      <c r="F794" t="s">
        <v>56</v>
      </c>
      <c r="G794" t="s">
        <v>190</v>
      </c>
      <c r="H794" t="s">
        <v>72</v>
      </c>
      <c r="I794" t="s">
        <v>96</v>
      </c>
      <c r="J794" t="s">
        <v>34</v>
      </c>
      <c r="K794">
        <v>3</v>
      </c>
      <c r="L794">
        <v>694.44</v>
      </c>
      <c r="M794" s="3">
        <v>0.15</v>
      </c>
      <c r="N794" t="str">
        <f>VLOOKUP(Table1[[#This Row],[Country]],REF_Country!$A$1:$D$11,2,FALSE)</f>
        <v>South Asia</v>
      </c>
      <c r="O794" t="str">
        <f>VLOOKUP(Table1[[#This Row],[Country]],REF_Country!$A$1:$D$11,3,FALSE)</f>
        <v>IN</v>
      </c>
      <c r="P794">
        <f>VLOOKUP(Table1[[#This Row],[Country]],REF_Country!$A$1:$D$11,4,FALSE)</f>
        <v>0.18</v>
      </c>
      <c r="Q794">
        <f>VLOOKUP(Table1[[#This Row],[Category]],REF_Target!$A$1:$E$6,2,FALSE)</f>
        <v>50000</v>
      </c>
      <c r="R794">
        <f>Table1[[#This Row],[Quantity]]*Table1[[#This Row],[Unit_Price]]</f>
        <v>2083.3200000000002</v>
      </c>
      <c r="S794">
        <f>Table1[[#This Row],[Gross_Sales]]*Table1[[#This Row],[Discount_Rate]]</f>
        <v>312.49799999999999</v>
      </c>
      <c r="T794">
        <f>Table1[[#This Row],[Gross_Sales]]-Table1[[#This Row],[Discount_Amount]]</f>
        <v>1770.8220000000001</v>
      </c>
      <c r="U794">
        <f>VLOOKUP(Table1[[#This Row],[Category]],REF_Cost!$A$1:$B$6,2,FALSE)*Table1[[#This Row],[Quantity]]</f>
        <v>1350</v>
      </c>
      <c r="V794">
        <f>Table1[[#This Row],[Net_Sales]]-Table1[[#This Row],[Total_Cost]]</f>
        <v>420.82200000000012</v>
      </c>
      <c r="W794" t="str">
        <f>TEXT(Table1[[#This Row],[Order_Date]],"mmm")</f>
        <v>Mar</v>
      </c>
      <c r="X794">
        <f>ROUNDUP(MONTH(Table1[[#This Row],[Order_Date]])/3,0)</f>
        <v>1</v>
      </c>
      <c r="Y794">
        <f>YEAR(Table1[[#This Row],[Order_Date]])</f>
        <v>2024</v>
      </c>
    </row>
    <row r="795" spans="1:25" x14ac:dyDescent="0.25">
      <c r="A795" t="s">
        <v>3244</v>
      </c>
      <c r="B795" t="s">
        <v>3245</v>
      </c>
      <c r="C795" t="s">
        <v>3246</v>
      </c>
      <c r="D795" t="s">
        <v>3247</v>
      </c>
      <c r="E795" t="s">
        <v>39</v>
      </c>
      <c r="F795" t="s">
        <v>56</v>
      </c>
      <c r="G795" t="s">
        <v>190</v>
      </c>
      <c r="H795" t="s">
        <v>72</v>
      </c>
      <c r="I795" t="s">
        <v>96</v>
      </c>
      <c r="J795" t="s">
        <v>34</v>
      </c>
      <c r="K795">
        <v>10</v>
      </c>
      <c r="L795">
        <v>1093.05</v>
      </c>
      <c r="M795" s="3">
        <v>0</v>
      </c>
      <c r="N795" t="str">
        <f>VLOOKUP(Table1[[#This Row],[Country]],REF_Country!$A$1:$D$11,2,FALSE)</f>
        <v>Southeast Asia</v>
      </c>
      <c r="O795" t="str">
        <f>VLOOKUP(Table1[[#This Row],[Country]],REF_Country!$A$1:$D$11,3,FALSE)</f>
        <v>TH</v>
      </c>
      <c r="P795">
        <f>VLOOKUP(Table1[[#This Row],[Country]],REF_Country!$A$1:$D$11,4,FALSE)</f>
        <v>7.0000000000000007E-2</v>
      </c>
      <c r="Q795">
        <f>VLOOKUP(Table1[[#This Row],[Category]],REF_Target!$A$1:$E$6,2,FALSE)</f>
        <v>50000</v>
      </c>
      <c r="R795">
        <f>Table1[[#This Row],[Quantity]]*Table1[[#This Row],[Unit_Price]]</f>
        <v>10930.5</v>
      </c>
      <c r="S795">
        <f>Table1[[#This Row],[Gross_Sales]]*Table1[[#This Row],[Discount_Rate]]</f>
        <v>0</v>
      </c>
      <c r="T795">
        <f>Table1[[#This Row],[Gross_Sales]]-Table1[[#This Row],[Discount_Amount]]</f>
        <v>10930.5</v>
      </c>
      <c r="U795">
        <f>VLOOKUP(Table1[[#This Row],[Category]],REF_Cost!$A$1:$B$6,2,FALSE)*Table1[[#This Row],[Quantity]]</f>
        <v>4500</v>
      </c>
      <c r="V795">
        <f>Table1[[#This Row],[Net_Sales]]-Table1[[#This Row],[Total_Cost]]</f>
        <v>6430.5</v>
      </c>
      <c r="W795" t="str">
        <f>TEXT(Table1[[#This Row],[Order_Date]],"mmm")</f>
        <v>Mar</v>
      </c>
      <c r="X795">
        <f>ROUNDUP(MONTH(Table1[[#This Row],[Order_Date]])/3,0)</f>
        <v>1</v>
      </c>
      <c r="Y795">
        <f>YEAR(Table1[[#This Row],[Order_Date]])</f>
        <v>2024</v>
      </c>
    </row>
    <row r="796" spans="1:25" x14ac:dyDescent="0.25">
      <c r="A796" t="s">
        <v>3248</v>
      </c>
      <c r="B796" t="s">
        <v>3249</v>
      </c>
      <c r="C796" t="s">
        <v>3250</v>
      </c>
      <c r="D796" t="s">
        <v>3251</v>
      </c>
      <c r="E796" t="s">
        <v>71</v>
      </c>
      <c r="F796" t="s">
        <v>49</v>
      </c>
      <c r="G796" t="s">
        <v>286</v>
      </c>
      <c r="H796" t="s">
        <v>58</v>
      </c>
      <c r="I796" t="s">
        <v>33</v>
      </c>
      <c r="J796" t="s">
        <v>34</v>
      </c>
      <c r="K796">
        <v>2</v>
      </c>
      <c r="L796">
        <v>1418.42</v>
      </c>
      <c r="M796" s="3">
        <v>0.15</v>
      </c>
      <c r="N796" t="str">
        <f>VLOOKUP(Table1[[#This Row],[Country]],REF_Country!$A$1:$D$11,2,FALSE)</f>
        <v>Southeast Asia</v>
      </c>
      <c r="O796" t="str">
        <f>VLOOKUP(Table1[[#This Row],[Country]],REF_Country!$A$1:$D$11,3,FALSE)</f>
        <v>PH</v>
      </c>
      <c r="P796">
        <f>VLOOKUP(Table1[[#This Row],[Country]],REF_Country!$A$1:$D$11,4,FALSE)</f>
        <v>0.12</v>
      </c>
      <c r="Q796">
        <f>VLOOKUP(Table1[[#This Row],[Category]],REF_Target!$A$1:$E$6,2,FALSE)</f>
        <v>35000</v>
      </c>
      <c r="R796">
        <f>Table1[[#This Row],[Quantity]]*Table1[[#This Row],[Unit_Price]]</f>
        <v>2836.84</v>
      </c>
      <c r="S796">
        <f>Table1[[#This Row],[Gross_Sales]]*Table1[[#This Row],[Discount_Rate]]</f>
        <v>425.52600000000001</v>
      </c>
      <c r="T796">
        <f>Table1[[#This Row],[Gross_Sales]]-Table1[[#This Row],[Discount_Amount]]</f>
        <v>2411.3140000000003</v>
      </c>
      <c r="U796">
        <f>VLOOKUP(Table1[[#This Row],[Category]],REF_Cost!$A$1:$B$6,2,FALSE)*Table1[[#This Row],[Quantity]]</f>
        <v>300</v>
      </c>
      <c r="V796">
        <f>Table1[[#This Row],[Net_Sales]]-Table1[[#This Row],[Total_Cost]]</f>
        <v>2111.3140000000003</v>
      </c>
      <c r="W796" t="str">
        <f>TEXT(Table1[[#This Row],[Order_Date]],"mmm")</f>
        <v>Mar</v>
      </c>
      <c r="X796">
        <f>ROUNDUP(MONTH(Table1[[#This Row],[Order_Date]])/3,0)</f>
        <v>1</v>
      </c>
      <c r="Y796">
        <f>YEAR(Table1[[#This Row],[Order_Date]])</f>
        <v>2024</v>
      </c>
    </row>
    <row r="797" spans="1:25" x14ac:dyDescent="0.25">
      <c r="A797" t="s">
        <v>3252</v>
      </c>
      <c r="B797" t="s">
        <v>3253</v>
      </c>
      <c r="C797" t="s">
        <v>3254</v>
      </c>
      <c r="D797" t="s">
        <v>3255</v>
      </c>
      <c r="E797" t="s">
        <v>39</v>
      </c>
      <c r="F797" t="s">
        <v>56</v>
      </c>
      <c r="G797" t="s">
        <v>101</v>
      </c>
      <c r="H797" t="s">
        <v>72</v>
      </c>
      <c r="I797" t="s">
        <v>96</v>
      </c>
      <c r="J797" t="s">
        <v>126</v>
      </c>
      <c r="K797">
        <v>8</v>
      </c>
      <c r="L797">
        <v>372.67</v>
      </c>
      <c r="M797" s="3">
        <v>0.05</v>
      </c>
      <c r="N797" t="str">
        <f>VLOOKUP(Table1[[#This Row],[Country]],REF_Country!$A$1:$D$11,2,FALSE)</f>
        <v>Southeast Asia</v>
      </c>
      <c r="O797" t="str">
        <f>VLOOKUP(Table1[[#This Row],[Country]],REF_Country!$A$1:$D$11,3,FALSE)</f>
        <v>TH</v>
      </c>
      <c r="P797">
        <f>VLOOKUP(Table1[[#This Row],[Country]],REF_Country!$A$1:$D$11,4,FALSE)</f>
        <v>7.0000000000000007E-2</v>
      </c>
      <c r="Q797">
        <f>VLOOKUP(Table1[[#This Row],[Category]],REF_Target!$A$1:$E$6,2,FALSE)</f>
        <v>50000</v>
      </c>
      <c r="R797">
        <f>Table1[[#This Row],[Quantity]]*Table1[[#This Row],[Unit_Price]]</f>
        <v>2981.36</v>
      </c>
      <c r="S797">
        <f>Table1[[#This Row],[Gross_Sales]]*Table1[[#This Row],[Discount_Rate]]</f>
        <v>149.06800000000001</v>
      </c>
      <c r="T797">
        <f>Table1[[#This Row],[Gross_Sales]]-Table1[[#This Row],[Discount_Amount]]</f>
        <v>2832.2919999999999</v>
      </c>
      <c r="U797">
        <f>VLOOKUP(Table1[[#This Row],[Category]],REF_Cost!$A$1:$B$6,2,FALSE)*Table1[[#This Row],[Quantity]]</f>
        <v>3600</v>
      </c>
      <c r="V797">
        <f>Table1[[#This Row],[Net_Sales]]-Table1[[#This Row],[Total_Cost]]</f>
        <v>-767.70800000000008</v>
      </c>
      <c r="W797" t="str">
        <f>TEXT(Table1[[#This Row],[Order_Date]],"mmm")</f>
        <v>Nov</v>
      </c>
      <c r="X797">
        <f>ROUNDUP(MONTH(Table1[[#This Row],[Order_Date]])/3,0)</f>
        <v>4</v>
      </c>
      <c r="Y797">
        <f>YEAR(Table1[[#This Row],[Order_Date]])</f>
        <v>2024</v>
      </c>
    </row>
    <row r="798" spans="1:25" x14ac:dyDescent="0.25">
      <c r="A798" t="s">
        <v>3256</v>
      </c>
      <c r="B798" t="s">
        <v>3257</v>
      </c>
      <c r="C798" t="s">
        <v>3258</v>
      </c>
      <c r="D798" t="s">
        <v>3259</v>
      </c>
      <c r="E798" t="s">
        <v>200</v>
      </c>
      <c r="F798" t="s">
        <v>84</v>
      </c>
      <c r="G798" t="s">
        <v>205</v>
      </c>
      <c r="H798" t="s">
        <v>42</v>
      </c>
      <c r="I798" t="s">
        <v>33</v>
      </c>
      <c r="J798" t="s">
        <v>73</v>
      </c>
      <c r="K798">
        <v>2</v>
      </c>
      <c r="L798">
        <v>193.2</v>
      </c>
      <c r="M798" s="3">
        <v>0</v>
      </c>
      <c r="N798" t="str">
        <f>VLOOKUP(Table1[[#This Row],[Country]],REF_Country!$A$1:$D$11,2,FALSE)</f>
        <v>East Asia</v>
      </c>
      <c r="O798" t="str">
        <f>VLOOKUP(Table1[[#This Row],[Country]],REF_Country!$A$1:$D$11,3,FALSE)</f>
        <v>KR</v>
      </c>
      <c r="P798">
        <f>VLOOKUP(Table1[[#This Row],[Country]],REF_Country!$A$1:$D$11,4,FALSE)</f>
        <v>0.1</v>
      </c>
      <c r="Q798">
        <f>VLOOKUP(Table1[[#This Row],[Category]],REF_Target!$A$1:$E$6,2,FALSE)</f>
        <v>30000</v>
      </c>
      <c r="R798">
        <f>Table1[[#This Row],[Quantity]]*Table1[[#This Row],[Unit_Price]]</f>
        <v>386.4</v>
      </c>
      <c r="S798">
        <f>Table1[[#This Row],[Gross_Sales]]*Table1[[#This Row],[Discount_Rate]]</f>
        <v>0</v>
      </c>
      <c r="T798">
        <f>Table1[[#This Row],[Gross_Sales]]-Table1[[#This Row],[Discount_Amount]]</f>
        <v>386.4</v>
      </c>
      <c r="U798">
        <f>VLOOKUP(Table1[[#This Row],[Category]],REF_Cost!$A$1:$B$6,2,FALSE)*Table1[[#This Row],[Quantity]]</f>
        <v>400</v>
      </c>
      <c r="V798">
        <f>Table1[[#This Row],[Net_Sales]]-Table1[[#This Row],[Total_Cost]]</f>
        <v>-13.600000000000023</v>
      </c>
      <c r="W798" t="str">
        <f>TEXT(Table1[[#This Row],[Order_Date]],"mmm")</f>
        <v>Nov</v>
      </c>
      <c r="X798">
        <f>ROUNDUP(MONTH(Table1[[#This Row],[Order_Date]])/3,0)</f>
        <v>4</v>
      </c>
      <c r="Y798">
        <f>YEAR(Table1[[#This Row],[Order_Date]])</f>
        <v>2024</v>
      </c>
    </row>
    <row r="799" spans="1:25" x14ac:dyDescent="0.25">
      <c r="A799" t="s">
        <v>3260</v>
      </c>
      <c r="B799" t="s">
        <v>3261</v>
      </c>
      <c r="C799" t="s">
        <v>3262</v>
      </c>
      <c r="D799" t="s">
        <v>3263</v>
      </c>
      <c r="E799" t="s">
        <v>200</v>
      </c>
      <c r="F799" t="s">
        <v>84</v>
      </c>
      <c r="G799" t="s">
        <v>205</v>
      </c>
      <c r="H799" t="s">
        <v>42</v>
      </c>
      <c r="I799" t="s">
        <v>96</v>
      </c>
      <c r="J799" t="s">
        <v>59</v>
      </c>
      <c r="K799">
        <v>3</v>
      </c>
      <c r="L799">
        <v>1194.5999999999999</v>
      </c>
      <c r="M799" s="3">
        <v>0.1</v>
      </c>
      <c r="N799" t="str">
        <f>VLOOKUP(Table1[[#This Row],[Country]],REF_Country!$A$1:$D$11,2,FALSE)</f>
        <v>East Asia</v>
      </c>
      <c r="O799" t="str">
        <f>VLOOKUP(Table1[[#This Row],[Country]],REF_Country!$A$1:$D$11,3,FALSE)</f>
        <v>KR</v>
      </c>
      <c r="P799">
        <f>VLOOKUP(Table1[[#This Row],[Country]],REF_Country!$A$1:$D$11,4,FALSE)</f>
        <v>0.1</v>
      </c>
      <c r="Q799">
        <f>VLOOKUP(Table1[[#This Row],[Category]],REF_Target!$A$1:$E$6,2,FALSE)</f>
        <v>30000</v>
      </c>
      <c r="R799">
        <f>Table1[[#This Row],[Quantity]]*Table1[[#This Row],[Unit_Price]]</f>
        <v>3583.7999999999997</v>
      </c>
      <c r="S799">
        <f>Table1[[#This Row],[Gross_Sales]]*Table1[[#This Row],[Discount_Rate]]</f>
        <v>358.38</v>
      </c>
      <c r="T799">
        <f>Table1[[#This Row],[Gross_Sales]]-Table1[[#This Row],[Discount_Amount]]</f>
        <v>3225.4199999999996</v>
      </c>
      <c r="U799">
        <f>VLOOKUP(Table1[[#This Row],[Category]],REF_Cost!$A$1:$B$6,2,FALSE)*Table1[[#This Row],[Quantity]]</f>
        <v>600</v>
      </c>
      <c r="V799">
        <f>Table1[[#This Row],[Net_Sales]]-Table1[[#This Row],[Total_Cost]]</f>
        <v>2625.4199999999996</v>
      </c>
      <c r="W799" t="str">
        <f>TEXT(Table1[[#This Row],[Order_Date]],"mmm")</f>
        <v>Oct</v>
      </c>
      <c r="X799">
        <f>ROUNDUP(MONTH(Table1[[#This Row],[Order_Date]])/3,0)</f>
        <v>4</v>
      </c>
      <c r="Y799">
        <f>YEAR(Table1[[#This Row],[Order_Date]])</f>
        <v>2024</v>
      </c>
    </row>
    <row r="800" spans="1:25" x14ac:dyDescent="0.25">
      <c r="A800" t="s">
        <v>3264</v>
      </c>
      <c r="B800" t="s">
        <v>3265</v>
      </c>
      <c r="C800" t="s">
        <v>3266</v>
      </c>
      <c r="D800" t="s">
        <v>3267</v>
      </c>
      <c r="E800" t="s">
        <v>116</v>
      </c>
      <c r="F800" t="s">
        <v>40</v>
      </c>
      <c r="G800" t="s">
        <v>106</v>
      </c>
      <c r="H800" t="s">
        <v>42</v>
      </c>
      <c r="I800" t="s">
        <v>51</v>
      </c>
      <c r="J800" t="s">
        <v>126</v>
      </c>
      <c r="K800">
        <v>1</v>
      </c>
      <c r="L800">
        <v>616.91999999999996</v>
      </c>
      <c r="M800" s="3">
        <v>0.1</v>
      </c>
      <c r="N800" t="str">
        <f>VLOOKUP(Table1[[#This Row],[Country]],REF_Country!$A$1:$D$11,2,FALSE)</f>
        <v>Southeast Asia</v>
      </c>
      <c r="O800" t="str">
        <f>VLOOKUP(Table1[[#This Row],[Country]],REF_Country!$A$1:$D$11,3,FALSE)</f>
        <v>MY</v>
      </c>
      <c r="P800">
        <f>VLOOKUP(Table1[[#This Row],[Country]],REF_Country!$A$1:$D$11,4,FALSE)</f>
        <v>0.06</v>
      </c>
      <c r="Q800">
        <f>VLOOKUP(Table1[[#This Row],[Category]],REF_Target!$A$1:$E$6,2,FALSE)</f>
        <v>45000</v>
      </c>
      <c r="R800">
        <f>Table1[[#This Row],[Quantity]]*Table1[[#This Row],[Unit_Price]]</f>
        <v>616.91999999999996</v>
      </c>
      <c r="S800">
        <f>Table1[[#This Row],[Gross_Sales]]*Table1[[#This Row],[Discount_Rate]]</f>
        <v>61.692</v>
      </c>
      <c r="T800">
        <f>Table1[[#This Row],[Gross_Sales]]-Table1[[#This Row],[Discount_Amount]]</f>
        <v>555.22799999999995</v>
      </c>
      <c r="U800">
        <f>VLOOKUP(Table1[[#This Row],[Category]],REF_Cost!$A$1:$B$6,2,FALSE)*Table1[[#This Row],[Quantity]]</f>
        <v>80</v>
      </c>
      <c r="V800">
        <f>Table1[[#This Row],[Net_Sales]]-Table1[[#This Row],[Total_Cost]]</f>
        <v>475.22799999999995</v>
      </c>
      <c r="W800" t="str">
        <f>TEXT(Table1[[#This Row],[Order_Date]],"mmm")</f>
        <v>Mar</v>
      </c>
      <c r="X800">
        <f>ROUNDUP(MONTH(Table1[[#This Row],[Order_Date]])/3,0)</f>
        <v>1</v>
      </c>
      <c r="Y800">
        <f>YEAR(Table1[[#This Row],[Order_Date]])</f>
        <v>2024</v>
      </c>
    </row>
    <row r="801" spans="1:25" x14ac:dyDescent="0.25">
      <c r="A801" t="s">
        <v>3268</v>
      </c>
      <c r="B801" t="s">
        <v>3269</v>
      </c>
      <c r="C801" t="s">
        <v>3270</v>
      </c>
      <c r="D801" t="s">
        <v>3271</v>
      </c>
      <c r="E801" t="s">
        <v>83</v>
      </c>
      <c r="F801" t="s">
        <v>30</v>
      </c>
      <c r="G801" t="s">
        <v>269</v>
      </c>
      <c r="H801" t="s">
        <v>32</v>
      </c>
      <c r="I801" t="s">
        <v>43</v>
      </c>
      <c r="J801" t="s">
        <v>73</v>
      </c>
      <c r="K801">
        <v>6</v>
      </c>
      <c r="L801">
        <v>838.76</v>
      </c>
      <c r="M801" s="3">
        <v>0</v>
      </c>
      <c r="N801" t="str">
        <f>VLOOKUP(Table1[[#This Row],[Country]],REF_Country!$A$1:$D$11,2,FALSE)</f>
        <v>South Asia</v>
      </c>
      <c r="O801" t="str">
        <f>VLOOKUP(Table1[[#This Row],[Country]],REF_Country!$A$1:$D$11,3,FALSE)</f>
        <v>IN</v>
      </c>
      <c r="P801">
        <f>VLOOKUP(Table1[[#This Row],[Country]],REF_Country!$A$1:$D$11,4,FALSE)</f>
        <v>0.18</v>
      </c>
      <c r="Q801">
        <f>VLOOKUP(Table1[[#This Row],[Category]],REF_Target!$A$1:$E$6,2,FALSE)</f>
        <v>40000</v>
      </c>
      <c r="R801">
        <f>Table1[[#This Row],[Quantity]]*Table1[[#This Row],[Unit_Price]]</f>
        <v>5032.5599999999995</v>
      </c>
      <c r="S801">
        <f>Table1[[#This Row],[Gross_Sales]]*Table1[[#This Row],[Discount_Rate]]</f>
        <v>0</v>
      </c>
      <c r="T801">
        <f>Table1[[#This Row],[Gross_Sales]]-Table1[[#This Row],[Discount_Amount]]</f>
        <v>5032.5599999999995</v>
      </c>
      <c r="U801">
        <f>VLOOKUP(Table1[[#This Row],[Category]],REF_Cost!$A$1:$B$6,2,FALSE)*Table1[[#This Row],[Quantity]]</f>
        <v>720</v>
      </c>
      <c r="V801">
        <f>Table1[[#This Row],[Net_Sales]]-Table1[[#This Row],[Total_Cost]]</f>
        <v>4312.5599999999995</v>
      </c>
      <c r="W801" t="str">
        <f>TEXT(Table1[[#This Row],[Order_Date]],"mmm")</f>
        <v>Dec</v>
      </c>
      <c r="X801">
        <f>ROUNDUP(MONTH(Table1[[#This Row],[Order_Date]])/3,0)</f>
        <v>4</v>
      </c>
      <c r="Y801">
        <f>YEAR(Table1[[#This Row],[Order_Date]])</f>
        <v>2024</v>
      </c>
    </row>
    <row r="802" spans="1:25" x14ac:dyDescent="0.25">
      <c r="A802" t="s">
        <v>3272</v>
      </c>
      <c r="B802" t="s">
        <v>3273</v>
      </c>
      <c r="C802" t="s">
        <v>3274</v>
      </c>
      <c r="D802" t="s">
        <v>3275</v>
      </c>
      <c r="E802" t="s">
        <v>29</v>
      </c>
      <c r="F802" t="s">
        <v>56</v>
      </c>
      <c r="G802" t="s">
        <v>101</v>
      </c>
      <c r="H802" t="s">
        <v>58</v>
      </c>
      <c r="I802" t="s">
        <v>33</v>
      </c>
      <c r="J802" t="s">
        <v>73</v>
      </c>
      <c r="K802">
        <v>9</v>
      </c>
      <c r="L802">
        <v>1470.19</v>
      </c>
      <c r="M802" s="3">
        <v>0.05</v>
      </c>
      <c r="N802" t="str">
        <f>VLOOKUP(Table1[[#This Row],[Country]],REF_Country!$A$1:$D$11,2,FALSE)</f>
        <v>Southeast Asia</v>
      </c>
      <c r="O802" t="str">
        <f>VLOOKUP(Table1[[#This Row],[Country]],REF_Country!$A$1:$D$11,3,FALSE)</f>
        <v>VN</v>
      </c>
      <c r="P802">
        <f>VLOOKUP(Table1[[#This Row],[Country]],REF_Country!$A$1:$D$11,4,FALSE)</f>
        <v>0.1</v>
      </c>
      <c r="Q802">
        <f>VLOOKUP(Table1[[#This Row],[Category]],REF_Target!$A$1:$E$6,2,FALSE)</f>
        <v>50000</v>
      </c>
      <c r="R802">
        <f>Table1[[#This Row],[Quantity]]*Table1[[#This Row],[Unit_Price]]</f>
        <v>13231.710000000001</v>
      </c>
      <c r="S802">
        <f>Table1[[#This Row],[Gross_Sales]]*Table1[[#This Row],[Discount_Rate]]</f>
        <v>661.58550000000014</v>
      </c>
      <c r="T802">
        <f>Table1[[#This Row],[Gross_Sales]]-Table1[[#This Row],[Discount_Amount]]</f>
        <v>12570.124500000002</v>
      </c>
      <c r="U802">
        <f>VLOOKUP(Table1[[#This Row],[Category]],REF_Cost!$A$1:$B$6,2,FALSE)*Table1[[#This Row],[Quantity]]</f>
        <v>4050</v>
      </c>
      <c r="V802">
        <f>Table1[[#This Row],[Net_Sales]]-Table1[[#This Row],[Total_Cost]]</f>
        <v>8520.1245000000017</v>
      </c>
      <c r="W802" t="str">
        <f>TEXT(Table1[[#This Row],[Order_Date]],"mmm")</f>
        <v>Mar</v>
      </c>
      <c r="X802">
        <f>ROUNDUP(MONTH(Table1[[#This Row],[Order_Date]])/3,0)</f>
        <v>1</v>
      </c>
      <c r="Y802">
        <f>YEAR(Table1[[#This Row],[Order_Date]])</f>
        <v>2024</v>
      </c>
    </row>
    <row r="803" spans="1:25" x14ac:dyDescent="0.25">
      <c r="A803" t="s">
        <v>3276</v>
      </c>
      <c r="B803" t="s">
        <v>3277</v>
      </c>
      <c r="C803" t="s">
        <v>3278</v>
      </c>
      <c r="D803" t="s">
        <v>3279</v>
      </c>
      <c r="E803" t="s">
        <v>29</v>
      </c>
      <c r="F803" t="s">
        <v>56</v>
      </c>
      <c r="G803" t="s">
        <v>111</v>
      </c>
      <c r="H803" t="s">
        <v>42</v>
      </c>
      <c r="I803" t="s">
        <v>43</v>
      </c>
      <c r="J803" t="s">
        <v>34</v>
      </c>
      <c r="K803">
        <v>5</v>
      </c>
      <c r="L803">
        <v>1358.36</v>
      </c>
      <c r="M803" s="3">
        <v>0.2</v>
      </c>
      <c r="N803" t="str">
        <f>VLOOKUP(Table1[[#This Row],[Country]],REF_Country!$A$1:$D$11,2,FALSE)</f>
        <v>Southeast Asia</v>
      </c>
      <c r="O803" t="str">
        <f>VLOOKUP(Table1[[#This Row],[Country]],REF_Country!$A$1:$D$11,3,FALSE)</f>
        <v>VN</v>
      </c>
      <c r="P803">
        <f>VLOOKUP(Table1[[#This Row],[Country]],REF_Country!$A$1:$D$11,4,FALSE)</f>
        <v>0.1</v>
      </c>
      <c r="Q803">
        <f>VLOOKUP(Table1[[#This Row],[Category]],REF_Target!$A$1:$E$6,2,FALSE)</f>
        <v>50000</v>
      </c>
      <c r="R803">
        <f>Table1[[#This Row],[Quantity]]*Table1[[#This Row],[Unit_Price]]</f>
        <v>6791.7999999999993</v>
      </c>
      <c r="S803">
        <f>Table1[[#This Row],[Gross_Sales]]*Table1[[#This Row],[Discount_Rate]]</f>
        <v>1358.36</v>
      </c>
      <c r="T803">
        <f>Table1[[#This Row],[Gross_Sales]]-Table1[[#This Row],[Discount_Amount]]</f>
        <v>5433.44</v>
      </c>
      <c r="U803">
        <f>VLOOKUP(Table1[[#This Row],[Category]],REF_Cost!$A$1:$B$6,2,FALSE)*Table1[[#This Row],[Quantity]]</f>
        <v>2250</v>
      </c>
      <c r="V803">
        <f>Table1[[#This Row],[Net_Sales]]-Table1[[#This Row],[Total_Cost]]</f>
        <v>3183.4399999999996</v>
      </c>
      <c r="W803" t="str">
        <f>TEXT(Table1[[#This Row],[Order_Date]],"mmm")</f>
        <v>Dec</v>
      </c>
      <c r="X803">
        <f>ROUNDUP(MONTH(Table1[[#This Row],[Order_Date]])/3,0)</f>
        <v>4</v>
      </c>
      <c r="Y803">
        <f>YEAR(Table1[[#This Row],[Order_Date]])</f>
        <v>2024</v>
      </c>
    </row>
    <row r="804" spans="1:25" x14ac:dyDescent="0.25">
      <c r="A804" t="s">
        <v>3280</v>
      </c>
      <c r="B804" t="s">
        <v>3281</v>
      </c>
      <c r="C804" t="s">
        <v>3282</v>
      </c>
      <c r="D804" t="s">
        <v>3283</v>
      </c>
      <c r="E804" t="s">
        <v>78</v>
      </c>
      <c r="F804" t="s">
        <v>40</v>
      </c>
      <c r="G804" t="s">
        <v>106</v>
      </c>
      <c r="H804" t="s">
        <v>32</v>
      </c>
      <c r="I804" t="s">
        <v>43</v>
      </c>
      <c r="J804" t="s">
        <v>73</v>
      </c>
      <c r="K804">
        <v>1</v>
      </c>
      <c r="L804">
        <v>1036.58</v>
      </c>
      <c r="M804" s="3">
        <v>0</v>
      </c>
      <c r="N804" t="str">
        <f>VLOOKUP(Table1[[#This Row],[Country]],REF_Country!$A$1:$D$11,2,FALSE)</f>
        <v>Oceania</v>
      </c>
      <c r="O804" t="str">
        <f>VLOOKUP(Table1[[#This Row],[Country]],REF_Country!$A$1:$D$11,3,FALSE)</f>
        <v>AU</v>
      </c>
      <c r="P804">
        <f>VLOOKUP(Table1[[#This Row],[Country]],REF_Country!$A$1:$D$11,4,FALSE)</f>
        <v>0.1</v>
      </c>
      <c r="Q804">
        <f>VLOOKUP(Table1[[#This Row],[Category]],REF_Target!$A$1:$E$6,2,FALSE)</f>
        <v>45000</v>
      </c>
      <c r="R804">
        <f>Table1[[#This Row],[Quantity]]*Table1[[#This Row],[Unit_Price]]</f>
        <v>1036.58</v>
      </c>
      <c r="S804">
        <f>Table1[[#This Row],[Gross_Sales]]*Table1[[#This Row],[Discount_Rate]]</f>
        <v>0</v>
      </c>
      <c r="T804">
        <f>Table1[[#This Row],[Gross_Sales]]-Table1[[#This Row],[Discount_Amount]]</f>
        <v>1036.58</v>
      </c>
      <c r="U804">
        <f>VLOOKUP(Table1[[#This Row],[Category]],REF_Cost!$A$1:$B$6,2,FALSE)*Table1[[#This Row],[Quantity]]</f>
        <v>80</v>
      </c>
      <c r="V804">
        <f>Table1[[#This Row],[Net_Sales]]-Table1[[#This Row],[Total_Cost]]</f>
        <v>956.57999999999993</v>
      </c>
      <c r="W804" t="str">
        <f>TEXT(Table1[[#This Row],[Order_Date]],"mmm")</f>
        <v>Sep</v>
      </c>
      <c r="X804">
        <f>ROUNDUP(MONTH(Table1[[#This Row],[Order_Date]])/3,0)</f>
        <v>3</v>
      </c>
      <c r="Y804">
        <f>YEAR(Table1[[#This Row],[Order_Date]])</f>
        <v>2024</v>
      </c>
    </row>
    <row r="805" spans="1:25" x14ac:dyDescent="0.25">
      <c r="A805" t="s">
        <v>3284</v>
      </c>
      <c r="B805" t="s">
        <v>3285</v>
      </c>
      <c r="C805" t="s">
        <v>3286</v>
      </c>
      <c r="D805" t="s">
        <v>3287</v>
      </c>
      <c r="E805" t="s">
        <v>78</v>
      </c>
      <c r="F805" t="s">
        <v>30</v>
      </c>
      <c r="G805" t="s">
        <v>139</v>
      </c>
      <c r="H805" t="s">
        <v>42</v>
      </c>
      <c r="I805" t="s">
        <v>51</v>
      </c>
      <c r="J805" t="s">
        <v>59</v>
      </c>
      <c r="K805">
        <v>3</v>
      </c>
      <c r="L805">
        <v>548.21</v>
      </c>
      <c r="M805" s="3">
        <v>0.2</v>
      </c>
      <c r="N805" t="str">
        <f>VLOOKUP(Table1[[#This Row],[Country]],REF_Country!$A$1:$D$11,2,FALSE)</f>
        <v>Oceania</v>
      </c>
      <c r="O805" t="str">
        <f>VLOOKUP(Table1[[#This Row],[Country]],REF_Country!$A$1:$D$11,3,FALSE)</f>
        <v>AU</v>
      </c>
      <c r="P805">
        <f>VLOOKUP(Table1[[#This Row],[Country]],REF_Country!$A$1:$D$11,4,FALSE)</f>
        <v>0.1</v>
      </c>
      <c r="Q805">
        <f>VLOOKUP(Table1[[#This Row],[Category]],REF_Target!$A$1:$E$6,2,FALSE)</f>
        <v>40000</v>
      </c>
      <c r="R805">
        <f>Table1[[#This Row],[Quantity]]*Table1[[#This Row],[Unit_Price]]</f>
        <v>1644.63</v>
      </c>
      <c r="S805">
        <f>Table1[[#This Row],[Gross_Sales]]*Table1[[#This Row],[Discount_Rate]]</f>
        <v>328.92600000000004</v>
      </c>
      <c r="T805">
        <f>Table1[[#This Row],[Gross_Sales]]-Table1[[#This Row],[Discount_Amount]]</f>
        <v>1315.7040000000002</v>
      </c>
      <c r="U805">
        <f>VLOOKUP(Table1[[#This Row],[Category]],REF_Cost!$A$1:$B$6,2,FALSE)*Table1[[#This Row],[Quantity]]</f>
        <v>360</v>
      </c>
      <c r="V805">
        <f>Table1[[#This Row],[Net_Sales]]-Table1[[#This Row],[Total_Cost]]</f>
        <v>955.70400000000018</v>
      </c>
      <c r="W805" t="str">
        <f>TEXT(Table1[[#This Row],[Order_Date]],"mmm")</f>
        <v>Apr</v>
      </c>
      <c r="X805">
        <f>ROUNDUP(MONTH(Table1[[#This Row],[Order_Date]])/3,0)</f>
        <v>2</v>
      </c>
      <c r="Y805">
        <f>YEAR(Table1[[#This Row],[Order_Date]])</f>
        <v>2024</v>
      </c>
    </row>
    <row r="806" spans="1:25" x14ac:dyDescent="0.25">
      <c r="A806" t="s">
        <v>3288</v>
      </c>
      <c r="B806" t="s">
        <v>3289</v>
      </c>
      <c r="C806" t="s">
        <v>3290</v>
      </c>
      <c r="D806" t="s">
        <v>3291</v>
      </c>
      <c r="E806" t="s">
        <v>48</v>
      </c>
      <c r="F806" t="s">
        <v>49</v>
      </c>
      <c r="G806" t="s">
        <v>226</v>
      </c>
      <c r="H806" t="s">
        <v>42</v>
      </c>
      <c r="I806" t="s">
        <v>43</v>
      </c>
      <c r="J806" t="s">
        <v>73</v>
      </c>
      <c r="K806">
        <v>5</v>
      </c>
      <c r="L806">
        <v>138.63</v>
      </c>
      <c r="M806" s="3">
        <v>0.2</v>
      </c>
      <c r="N806" t="str">
        <f>VLOOKUP(Table1[[#This Row],[Country]],REF_Country!$A$1:$D$11,2,FALSE)</f>
        <v>Southeast Asia</v>
      </c>
      <c r="O806" t="str">
        <f>VLOOKUP(Table1[[#This Row],[Country]],REF_Country!$A$1:$D$11,3,FALSE)</f>
        <v>SG</v>
      </c>
      <c r="P806">
        <f>VLOOKUP(Table1[[#This Row],[Country]],REF_Country!$A$1:$D$11,4,FALSE)</f>
        <v>7.0000000000000007E-2</v>
      </c>
      <c r="Q806">
        <f>VLOOKUP(Table1[[#This Row],[Category]],REF_Target!$A$1:$E$6,2,FALSE)</f>
        <v>35000</v>
      </c>
      <c r="R806">
        <f>Table1[[#This Row],[Quantity]]*Table1[[#This Row],[Unit_Price]]</f>
        <v>693.15</v>
      </c>
      <c r="S806">
        <f>Table1[[#This Row],[Gross_Sales]]*Table1[[#This Row],[Discount_Rate]]</f>
        <v>138.63</v>
      </c>
      <c r="T806">
        <f>Table1[[#This Row],[Gross_Sales]]-Table1[[#This Row],[Discount_Amount]]</f>
        <v>554.52</v>
      </c>
      <c r="U806">
        <f>VLOOKUP(Table1[[#This Row],[Category]],REF_Cost!$A$1:$B$6,2,FALSE)*Table1[[#This Row],[Quantity]]</f>
        <v>750</v>
      </c>
      <c r="V806">
        <f>Table1[[#This Row],[Net_Sales]]-Table1[[#This Row],[Total_Cost]]</f>
        <v>-195.48000000000002</v>
      </c>
      <c r="W806" t="str">
        <f>TEXT(Table1[[#This Row],[Order_Date]],"mmm")</f>
        <v>Jul</v>
      </c>
      <c r="X806">
        <f>ROUNDUP(MONTH(Table1[[#This Row],[Order_Date]])/3,0)</f>
        <v>3</v>
      </c>
      <c r="Y806">
        <f>YEAR(Table1[[#This Row],[Order_Date]])</f>
        <v>2024</v>
      </c>
    </row>
    <row r="807" spans="1:25" x14ac:dyDescent="0.25">
      <c r="A807" t="s">
        <v>3292</v>
      </c>
      <c r="B807" t="s">
        <v>3293</v>
      </c>
      <c r="C807" t="s">
        <v>3294</v>
      </c>
      <c r="D807" t="s">
        <v>3295</v>
      </c>
      <c r="E807" t="s">
        <v>39</v>
      </c>
      <c r="F807" t="s">
        <v>84</v>
      </c>
      <c r="G807" t="s">
        <v>90</v>
      </c>
      <c r="H807" t="s">
        <v>72</v>
      </c>
      <c r="I807" t="s">
        <v>96</v>
      </c>
      <c r="J807" t="s">
        <v>73</v>
      </c>
      <c r="K807">
        <v>9</v>
      </c>
      <c r="L807">
        <v>991.12</v>
      </c>
      <c r="M807" s="3">
        <v>0.15</v>
      </c>
      <c r="N807" t="str">
        <f>VLOOKUP(Table1[[#This Row],[Country]],REF_Country!$A$1:$D$11,2,FALSE)</f>
        <v>Southeast Asia</v>
      </c>
      <c r="O807" t="str">
        <f>VLOOKUP(Table1[[#This Row],[Country]],REF_Country!$A$1:$D$11,3,FALSE)</f>
        <v>TH</v>
      </c>
      <c r="P807">
        <f>VLOOKUP(Table1[[#This Row],[Country]],REF_Country!$A$1:$D$11,4,FALSE)</f>
        <v>7.0000000000000007E-2</v>
      </c>
      <c r="Q807">
        <f>VLOOKUP(Table1[[#This Row],[Category]],REF_Target!$A$1:$E$6,2,FALSE)</f>
        <v>30000</v>
      </c>
      <c r="R807">
        <f>Table1[[#This Row],[Quantity]]*Table1[[#This Row],[Unit_Price]]</f>
        <v>8920.08</v>
      </c>
      <c r="S807">
        <f>Table1[[#This Row],[Gross_Sales]]*Table1[[#This Row],[Discount_Rate]]</f>
        <v>1338.0119999999999</v>
      </c>
      <c r="T807">
        <f>Table1[[#This Row],[Gross_Sales]]-Table1[[#This Row],[Discount_Amount]]</f>
        <v>7582.0680000000002</v>
      </c>
      <c r="U807">
        <f>VLOOKUP(Table1[[#This Row],[Category]],REF_Cost!$A$1:$B$6,2,FALSE)*Table1[[#This Row],[Quantity]]</f>
        <v>1800</v>
      </c>
      <c r="V807">
        <f>Table1[[#This Row],[Net_Sales]]-Table1[[#This Row],[Total_Cost]]</f>
        <v>5782.0680000000002</v>
      </c>
      <c r="W807" t="str">
        <f>TEXT(Table1[[#This Row],[Order_Date]],"mmm")</f>
        <v>Nov</v>
      </c>
      <c r="X807">
        <f>ROUNDUP(MONTH(Table1[[#This Row],[Order_Date]])/3,0)</f>
        <v>4</v>
      </c>
      <c r="Y807">
        <f>YEAR(Table1[[#This Row],[Order_Date]])</f>
        <v>2024</v>
      </c>
    </row>
    <row r="808" spans="1:25" x14ac:dyDescent="0.25">
      <c r="A808" t="s">
        <v>3296</v>
      </c>
      <c r="B808" t="s">
        <v>3297</v>
      </c>
      <c r="C808" t="s">
        <v>3298</v>
      </c>
      <c r="D808" t="s">
        <v>3299</v>
      </c>
      <c r="E808" t="s">
        <v>83</v>
      </c>
      <c r="F808" t="s">
        <v>30</v>
      </c>
      <c r="G808" t="s">
        <v>269</v>
      </c>
      <c r="H808" t="s">
        <v>42</v>
      </c>
      <c r="I808" t="s">
        <v>51</v>
      </c>
      <c r="J808" t="s">
        <v>59</v>
      </c>
      <c r="K808">
        <v>9</v>
      </c>
      <c r="L808">
        <v>416.14</v>
      </c>
      <c r="M808" s="3">
        <v>0</v>
      </c>
      <c r="N808" t="str">
        <f>VLOOKUP(Table1[[#This Row],[Country]],REF_Country!$A$1:$D$11,2,FALSE)</f>
        <v>South Asia</v>
      </c>
      <c r="O808" t="str">
        <f>VLOOKUP(Table1[[#This Row],[Country]],REF_Country!$A$1:$D$11,3,FALSE)</f>
        <v>IN</v>
      </c>
      <c r="P808">
        <f>VLOOKUP(Table1[[#This Row],[Country]],REF_Country!$A$1:$D$11,4,FALSE)</f>
        <v>0.18</v>
      </c>
      <c r="Q808">
        <f>VLOOKUP(Table1[[#This Row],[Category]],REF_Target!$A$1:$E$6,2,FALSE)</f>
        <v>40000</v>
      </c>
      <c r="R808">
        <f>Table1[[#This Row],[Quantity]]*Table1[[#This Row],[Unit_Price]]</f>
        <v>3745.2599999999998</v>
      </c>
      <c r="S808">
        <f>Table1[[#This Row],[Gross_Sales]]*Table1[[#This Row],[Discount_Rate]]</f>
        <v>0</v>
      </c>
      <c r="T808">
        <f>Table1[[#This Row],[Gross_Sales]]-Table1[[#This Row],[Discount_Amount]]</f>
        <v>3745.2599999999998</v>
      </c>
      <c r="U808">
        <f>VLOOKUP(Table1[[#This Row],[Category]],REF_Cost!$A$1:$B$6,2,FALSE)*Table1[[#This Row],[Quantity]]</f>
        <v>1080</v>
      </c>
      <c r="V808">
        <f>Table1[[#This Row],[Net_Sales]]-Table1[[#This Row],[Total_Cost]]</f>
        <v>2665.2599999999998</v>
      </c>
      <c r="W808" t="str">
        <f>TEXT(Table1[[#This Row],[Order_Date]],"mmm")</f>
        <v>Aug</v>
      </c>
      <c r="X808">
        <f>ROUNDUP(MONTH(Table1[[#This Row],[Order_Date]])/3,0)</f>
        <v>3</v>
      </c>
      <c r="Y808">
        <f>YEAR(Table1[[#This Row],[Order_Date]])</f>
        <v>2024</v>
      </c>
    </row>
    <row r="809" spans="1:25" x14ac:dyDescent="0.25">
      <c r="A809" t="s">
        <v>3300</v>
      </c>
      <c r="B809" t="s">
        <v>3301</v>
      </c>
      <c r="C809" t="s">
        <v>3302</v>
      </c>
      <c r="D809" t="s">
        <v>3303</v>
      </c>
      <c r="E809" t="s">
        <v>71</v>
      </c>
      <c r="F809" t="s">
        <v>84</v>
      </c>
      <c r="G809" t="s">
        <v>85</v>
      </c>
      <c r="H809" t="s">
        <v>32</v>
      </c>
      <c r="I809" t="s">
        <v>51</v>
      </c>
      <c r="J809" t="s">
        <v>34</v>
      </c>
      <c r="K809">
        <v>4</v>
      </c>
      <c r="L809">
        <v>1305.25</v>
      </c>
      <c r="M809" s="3">
        <v>0.05</v>
      </c>
      <c r="N809" t="str">
        <f>VLOOKUP(Table1[[#This Row],[Country]],REF_Country!$A$1:$D$11,2,FALSE)</f>
        <v>Southeast Asia</v>
      </c>
      <c r="O809" t="str">
        <f>VLOOKUP(Table1[[#This Row],[Country]],REF_Country!$A$1:$D$11,3,FALSE)</f>
        <v>PH</v>
      </c>
      <c r="P809">
        <f>VLOOKUP(Table1[[#This Row],[Country]],REF_Country!$A$1:$D$11,4,FALSE)</f>
        <v>0.12</v>
      </c>
      <c r="Q809">
        <f>VLOOKUP(Table1[[#This Row],[Category]],REF_Target!$A$1:$E$6,2,FALSE)</f>
        <v>30000</v>
      </c>
      <c r="R809">
        <f>Table1[[#This Row],[Quantity]]*Table1[[#This Row],[Unit_Price]]</f>
        <v>5221</v>
      </c>
      <c r="S809">
        <f>Table1[[#This Row],[Gross_Sales]]*Table1[[#This Row],[Discount_Rate]]</f>
        <v>261.05</v>
      </c>
      <c r="T809">
        <f>Table1[[#This Row],[Gross_Sales]]-Table1[[#This Row],[Discount_Amount]]</f>
        <v>4959.95</v>
      </c>
      <c r="U809">
        <f>VLOOKUP(Table1[[#This Row],[Category]],REF_Cost!$A$1:$B$6,2,FALSE)*Table1[[#This Row],[Quantity]]</f>
        <v>800</v>
      </c>
      <c r="V809">
        <f>Table1[[#This Row],[Net_Sales]]-Table1[[#This Row],[Total_Cost]]</f>
        <v>4159.95</v>
      </c>
      <c r="W809" t="str">
        <f>TEXT(Table1[[#This Row],[Order_Date]],"mmm")</f>
        <v>Feb</v>
      </c>
      <c r="X809">
        <f>ROUNDUP(MONTH(Table1[[#This Row],[Order_Date]])/3,0)</f>
        <v>1</v>
      </c>
      <c r="Y809">
        <f>YEAR(Table1[[#This Row],[Order_Date]])</f>
        <v>2024</v>
      </c>
    </row>
    <row r="810" spans="1:25" x14ac:dyDescent="0.25">
      <c r="A810" t="s">
        <v>3304</v>
      </c>
      <c r="B810" t="s">
        <v>3305</v>
      </c>
      <c r="C810" t="s">
        <v>3306</v>
      </c>
      <c r="D810" t="s">
        <v>3307</v>
      </c>
      <c r="E810" t="s">
        <v>116</v>
      </c>
      <c r="F810" t="s">
        <v>30</v>
      </c>
      <c r="G810" t="s">
        <v>139</v>
      </c>
      <c r="H810" t="s">
        <v>42</v>
      </c>
      <c r="I810" t="s">
        <v>51</v>
      </c>
      <c r="J810" t="s">
        <v>59</v>
      </c>
      <c r="K810">
        <v>5</v>
      </c>
      <c r="L810">
        <v>1096.57</v>
      </c>
      <c r="M810" s="3">
        <v>0.15</v>
      </c>
      <c r="N810" t="str">
        <f>VLOOKUP(Table1[[#This Row],[Country]],REF_Country!$A$1:$D$11,2,FALSE)</f>
        <v>Southeast Asia</v>
      </c>
      <c r="O810" t="str">
        <f>VLOOKUP(Table1[[#This Row],[Country]],REF_Country!$A$1:$D$11,3,FALSE)</f>
        <v>MY</v>
      </c>
      <c r="P810">
        <f>VLOOKUP(Table1[[#This Row],[Country]],REF_Country!$A$1:$D$11,4,FALSE)</f>
        <v>0.06</v>
      </c>
      <c r="Q810">
        <f>VLOOKUP(Table1[[#This Row],[Category]],REF_Target!$A$1:$E$6,2,FALSE)</f>
        <v>40000</v>
      </c>
      <c r="R810">
        <f>Table1[[#This Row],[Quantity]]*Table1[[#This Row],[Unit_Price]]</f>
        <v>5482.8499999999995</v>
      </c>
      <c r="S810">
        <f>Table1[[#This Row],[Gross_Sales]]*Table1[[#This Row],[Discount_Rate]]</f>
        <v>822.4274999999999</v>
      </c>
      <c r="T810">
        <f>Table1[[#This Row],[Gross_Sales]]-Table1[[#This Row],[Discount_Amount]]</f>
        <v>4660.4224999999997</v>
      </c>
      <c r="U810">
        <f>VLOOKUP(Table1[[#This Row],[Category]],REF_Cost!$A$1:$B$6,2,FALSE)*Table1[[#This Row],[Quantity]]</f>
        <v>600</v>
      </c>
      <c r="V810">
        <f>Table1[[#This Row],[Net_Sales]]-Table1[[#This Row],[Total_Cost]]</f>
        <v>4060.4224999999997</v>
      </c>
      <c r="W810" t="str">
        <f>TEXT(Table1[[#This Row],[Order_Date]],"mmm")</f>
        <v>Jul</v>
      </c>
      <c r="X810">
        <f>ROUNDUP(MONTH(Table1[[#This Row],[Order_Date]])/3,0)</f>
        <v>3</v>
      </c>
      <c r="Y810">
        <f>YEAR(Table1[[#This Row],[Order_Date]])</f>
        <v>2024</v>
      </c>
    </row>
    <row r="811" spans="1:25" x14ac:dyDescent="0.25">
      <c r="A811" t="s">
        <v>3308</v>
      </c>
      <c r="B811" t="s">
        <v>3309</v>
      </c>
      <c r="C811" t="s">
        <v>3310</v>
      </c>
      <c r="D811" t="s">
        <v>3311</v>
      </c>
      <c r="E811" t="s">
        <v>83</v>
      </c>
      <c r="F811" t="s">
        <v>56</v>
      </c>
      <c r="G811" t="s">
        <v>101</v>
      </c>
      <c r="H811" t="s">
        <v>58</v>
      </c>
      <c r="I811" t="s">
        <v>33</v>
      </c>
      <c r="J811" t="s">
        <v>34</v>
      </c>
      <c r="K811">
        <v>7</v>
      </c>
      <c r="L811">
        <v>268.56</v>
      </c>
      <c r="M811" s="3">
        <v>0</v>
      </c>
      <c r="N811" t="str">
        <f>VLOOKUP(Table1[[#This Row],[Country]],REF_Country!$A$1:$D$11,2,FALSE)</f>
        <v>South Asia</v>
      </c>
      <c r="O811" t="str">
        <f>VLOOKUP(Table1[[#This Row],[Country]],REF_Country!$A$1:$D$11,3,FALSE)</f>
        <v>IN</v>
      </c>
      <c r="P811">
        <f>VLOOKUP(Table1[[#This Row],[Country]],REF_Country!$A$1:$D$11,4,FALSE)</f>
        <v>0.18</v>
      </c>
      <c r="Q811">
        <f>VLOOKUP(Table1[[#This Row],[Category]],REF_Target!$A$1:$E$6,2,FALSE)</f>
        <v>50000</v>
      </c>
      <c r="R811">
        <f>Table1[[#This Row],[Quantity]]*Table1[[#This Row],[Unit_Price]]</f>
        <v>1879.92</v>
      </c>
      <c r="S811">
        <f>Table1[[#This Row],[Gross_Sales]]*Table1[[#This Row],[Discount_Rate]]</f>
        <v>0</v>
      </c>
      <c r="T811">
        <f>Table1[[#This Row],[Gross_Sales]]-Table1[[#This Row],[Discount_Amount]]</f>
        <v>1879.92</v>
      </c>
      <c r="U811">
        <f>VLOOKUP(Table1[[#This Row],[Category]],REF_Cost!$A$1:$B$6,2,FALSE)*Table1[[#This Row],[Quantity]]</f>
        <v>3150</v>
      </c>
      <c r="V811">
        <f>Table1[[#This Row],[Net_Sales]]-Table1[[#This Row],[Total_Cost]]</f>
        <v>-1270.08</v>
      </c>
      <c r="W811" t="str">
        <f>TEXT(Table1[[#This Row],[Order_Date]],"mmm")</f>
        <v>May</v>
      </c>
      <c r="X811">
        <f>ROUNDUP(MONTH(Table1[[#This Row],[Order_Date]])/3,0)</f>
        <v>2</v>
      </c>
      <c r="Y811">
        <f>YEAR(Table1[[#This Row],[Order_Date]])</f>
        <v>2024</v>
      </c>
    </row>
    <row r="812" spans="1:25" x14ac:dyDescent="0.25">
      <c r="A812" t="s">
        <v>3312</v>
      </c>
      <c r="B812" t="s">
        <v>3313</v>
      </c>
      <c r="C812" t="s">
        <v>3314</v>
      </c>
      <c r="D812" t="s">
        <v>3315</v>
      </c>
      <c r="E812" t="s">
        <v>64</v>
      </c>
      <c r="F812" t="s">
        <v>40</v>
      </c>
      <c r="G812" t="s">
        <v>106</v>
      </c>
      <c r="H812" t="s">
        <v>58</v>
      </c>
      <c r="I812" t="s">
        <v>51</v>
      </c>
      <c r="J812" t="s">
        <v>59</v>
      </c>
      <c r="K812">
        <v>3</v>
      </c>
      <c r="L812">
        <v>991.48</v>
      </c>
      <c r="M812" s="3">
        <v>0.1</v>
      </c>
      <c r="N812" t="str">
        <f>VLOOKUP(Table1[[#This Row],[Country]],REF_Country!$A$1:$D$11,2,FALSE)</f>
        <v>Southeast Asia</v>
      </c>
      <c r="O812" t="str">
        <f>VLOOKUP(Table1[[#This Row],[Country]],REF_Country!$A$1:$D$11,3,FALSE)</f>
        <v>ID</v>
      </c>
      <c r="P812">
        <f>VLOOKUP(Table1[[#This Row],[Country]],REF_Country!$A$1:$D$11,4,FALSE)</f>
        <v>0.11</v>
      </c>
      <c r="Q812">
        <f>VLOOKUP(Table1[[#This Row],[Category]],REF_Target!$A$1:$E$6,2,FALSE)</f>
        <v>45000</v>
      </c>
      <c r="R812">
        <f>Table1[[#This Row],[Quantity]]*Table1[[#This Row],[Unit_Price]]</f>
        <v>2974.44</v>
      </c>
      <c r="S812">
        <f>Table1[[#This Row],[Gross_Sales]]*Table1[[#This Row],[Discount_Rate]]</f>
        <v>297.44400000000002</v>
      </c>
      <c r="T812">
        <f>Table1[[#This Row],[Gross_Sales]]-Table1[[#This Row],[Discount_Amount]]</f>
        <v>2676.9960000000001</v>
      </c>
      <c r="U812">
        <f>VLOOKUP(Table1[[#This Row],[Category]],REF_Cost!$A$1:$B$6,2,FALSE)*Table1[[#This Row],[Quantity]]</f>
        <v>240</v>
      </c>
      <c r="V812">
        <f>Table1[[#This Row],[Net_Sales]]-Table1[[#This Row],[Total_Cost]]</f>
        <v>2436.9960000000001</v>
      </c>
      <c r="W812" t="str">
        <f>TEXT(Table1[[#This Row],[Order_Date]],"mmm")</f>
        <v>Oct</v>
      </c>
      <c r="X812">
        <f>ROUNDUP(MONTH(Table1[[#This Row],[Order_Date]])/3,0)</f>
        <v>4</v>
      </c>
      <c r="Y812">
        <f>YEAR(Table1[[#This Row],[Order_Date]])</f>
        <v>2024</v>
      </c>
    </row>
    <row r="813" spans="1:25" x14ac:dyDescent="0.25">
      <c r="A813" t="s">
        <v>3316</v>
      </c>
      <c r="B813" t="s">
        <v>3317</v>
      </c>
      <c r="C813" t="s">
        <v>3318</v>
      </c>
      <c r="D813" t="s">
        <v>3319</v>
      </c>
      <c r="E813" t="s">
        <v>200</v>
      </c>
      <c r="F813" t="s">
        <v>30</v>
      </c>
      <c r="G813" t="s">
        <v>195</v>
      </c>
      <c r="H813" t="s">
        <v>58</v>
      </c>
      <c r="I813" t="s">
        <v>66</v>
      </c>
      <c r="J813" t="s">
        <v>34</v>
      </c>
      <c r="K813">
        <v>8</v>
      </c>
      <c r="L813">
        <v>1479.58</v>
      </c>
      <c r="M813" s="3">
        <v>0.15</v>
      </c>
      <c r="N813" t="str">
        <f>VLOOKUP(Table1[[#This Row],[Country]],REF_Country!$A$1:$D$11,2,FALSE)</f>
        <v>East Asia</v>
      </c>
      <c r="O813" t="str">
        <f>VLOOKUP(Table1[[#This Row],[Country]],REF_Country!$A$1:$D$11,3,FALSE)</f>
        <v>KR</v>
      </c>
      <c r="P813">
        <f>VLOOKUP(Table1[[#This Row],[Country]],REF_Country!$A$1:$D$11,4,FALSE)</f>
        <v>0.1</v>
      </c>
      <c r="Q813">
        <f>VLOOKUP(Table1[[#This Row],[Category]],REF_Target!$A$1:$E$6,2,FALSE)</f>
        <v>40000</v>
      </c>
      <c r="R813">
        <f>Table1[[#This Row],[Quantity]]*Table1[[#This Row],[Unit_Price]]</f>
        <v>11836.64</v>
      </c>
      <c r="S813">
        <f>Table1[[#This Row],[Gross_Sales]]*Table1[[#This Row],[Discount_Rate]]</f>
        <v>1775.4959999999999</v>
      </c>
      <c r="T813">
        <f>Table1[[#This Row],[Gross_Sales]]-Table1[[#This Row],[Discount_Amount]]</f>
        <v>10061.144</v>
      </c>
      <c r="U813">
        <f>VLOOKUP(Table1[[#This Row],[Category]],REF_Cost!$A$1:$B$6,2,FALSE)*Table1[[#This Row],[Quantity]]</f>
        <v>960</v>
      </c>
      <c r="V813">
        <f>Table1[[#This Row],[Net_Sales]]-Table1[[#This Row],[Total_Cost]]</f>
        <v>9101.1440000000002</v>
      </c>
      <c r="W813" t="str">
        <f>TEXT(Table1[[#This Row],[Order_Date]],"mmm")</f>
        <v>Dec</v>
      </c>
      <c r="X813">
        <f>ROUNDUP(MONTH(Table1[[#This Row],[Order_Date]])/3,0)</f>
        <v>4</v>
      </c>
      <c r="Y813">
        <f>YEAR(Table1[[#This Row],[Order_Date]])</f>
        <v>2024</v>
      </c>
    </row>
    <row r="814" spans="1:25" x14ac:dyDescent="0.25">
      <c r="A814" t="s">
        <v>3320</v>
      </c>
      <c r="B814" t="s">
        <v>3321</v>
      </c>
      <c r="C814" t="s">
        <v>3322</v>
      </c>
      <c r="D814" t="s">
        <v>3323</v>
      </c>
      <c r="E814" t="s">
        <v>116</v>
      </c>
      <c r="F814" t="s">
        <v>84</v>
      </c>
      <c r="G814" t="s">
        <v>264</v>
      </c>
      <c r="H814" t="s">
        <v>32</v>
      </c>
      <c r="I814" t="s">
        <v>51</v>
      </c>
      <c r="J814" t="s">
        <v>73</v>
      </c>
      <c r="K814">
        <v>2</v>
      </c>
      <c r="L814">
        <v>1159.31</v>
      </c>
      <c r="M814" s="3">
        <v>0.2</v>
      </c>
      <c r="N814" t="str">
        <f>VLOOKUP(Table1[[#This Row],[Country]],REF_Country!$A$1:$D$11,2,FALSE)</f>
        <v>Southeast Asia</v>
      </c>
      <c r="O814" t="str">
        <f>VLOOKUP(Table1[[#This Row],[Country]],REF_Country!$A$1:$D$11,3,FALSE)</f>
        <v>MY</v>
      </c>
      <c r="P814">
        <f>VLOOKUP(Table1[[#This Row],[Country]],REF_Country!$A$1:$D$11,4,FALSE)</f>
        <v>0.06</v>
      </c>
      <c r="Q814">
        <f>VLOOKUP(Table1[[#This Row],[Category]],REF_Target!$A$1:$E$6,2,FALSE)</f>
        <v>30000</v>
      </c>
      <c r="R814">
        <f>Table1[[#This Row],[Quantity]]*Table1[[#This Row],[Unit_Price]]</f>
        <v>2318.62</v>
      </c>
      <c r="S814">
        <f>Table1[[#This Row],[Gross_Sales]]*Table1[[#This Row],[Discount_Rate]]</f>
        <v>463.72399999999999</v>
      </c>
      <c r="T814">
        <f>Table1[[#This Row],[Gross_Sales]]-Table1[[#This Row],[Discount_Amount]]</f>
        <v>1854.896</v>
      </c>
      <c r="U814">
        <f>VLOOKUP(Table1[[#This Row],[Category]],REF_Cost!$A$1:$B$6,2,FALSE)*Table1[[#This Row],[Quantity]]</f>
        <v>400</v>
      </c>
      <c r="V814">
        <f>Table1[[#This Row],[Net_Sales]]-Table1[[#This Row],[Total_Cost]]</f>
        <v>1454.896</v>
      </c>
      <c r="W814" t="str">
        <f>TEXT(Table1[[#This Row],[Order_Date]],"mmm")</f>
        <v>Apr</v>
      </c>
      <c r="X814">
        <f>ROUNDUP(MONTH(Table1[[#This Row],[Order_Date]])/3,0)</f>
        <v>2</v>
      </c>
      <c r="Y814">
        <f>YEAR(Table1[[#This Row],[Order_Date]])</f>
        <v>2024</v>
      </c>
    </row>
    <row r="815" spans="1:25" x14ac:dyDescent="0.25">
      <c r="A815" t="s">
        <v>3324</v>
      </c>
      <c r="B815" t="s">
        <v>3325</v>
      </c>
      <c r="C815" t="s">
        <v>3326</v>
      </c>
      <c r="D815" t="s">
        <v>3327</v>
      </c>
      <c r="E815" t="s">
        <v>116</v>
      </c>
      <c r="F815" t="s">
        <v>84</v>
      </c>
      <c r="G815" t="s">
        <v>90</v>
      </c>
      <c r="H815" t="s">
        <v>72</v>
      </c>
      <c r="I815" t="s">
        <v>96</v>
      </c>
      <c r="J815" t="s">
        <v>34</v>
      </c>
      <c r="K815">
        <v>1</v>
      </c>
      <c r="L815">
        <v>1395.44</v>
      </c>
      <c r="M815" s="3">
        <v>0.1</v>
      </c>
      <c r="N815" t="str">
        <f>VLOOKUP(Table1[[#This Row],[Country]],REF_Country!$A$1:$D$11,2,FALSE)</f>
        <v>Southeast Asia</v>
      </c>
      <c r="O815" t="str">
        <f>VLOOKUP(Table1[[#This Row],[Country]],REF_Country!$A$1:$D$11,3,FALSE)</f>
        <v>MY</v>
      </c>
      <c r="P815">
        <f>VLOOKUP(Table1[[#This Row],[Country]],REF_Country!$A$1:$D$11,4,FALSE)</f>
        <v>0.06</v>
      </c>
      <c r="Q815">
        <f>VLOOKUP(Table1[[#This Row],[Category]],REF_Target!$A$1:$E$6,2,FALSE)</f>
        <v>30000</v>
      </c>
      <c r="R815">
        <f>Table1[[#This Row],[Quantity]]*Table1[[#This Row],[Unit_Price]]</f>
        <v>1395.44</v>
      </c>
      <c r="S815">
        <f>Table1[[#This Row],[Gross_Sales]]*Table1[[#This Row],[Discount_Rate]]</f>
        <v>139.54400000000001</v>
      </c>
      <c r="T815">
        <f>Table1[[#This Row],[Gross_Sales]]-Table1[[#This Row],[Discount_Amount]]</f>
        <v>1255.896</v>
      </c>
      <c r="U815">
        <f>VLOOKUP(Table1[[#This Row],[Category]],REF_Cost!$A$1:$B$6,2,FALSE)*Table1[[#This Row],[Quantity]]</f>
        <v>200</v>
      </c>
      <c r="V815">
        <f>Table1[[#This Row],[Net_Sales]]-Table1[[#This Row],[Total_Cost]]</f>
        <v>1055.896</v>
      </c>
      <c r="W815" t="str">
        <f>TEXT(Table1[[#This Row],[Order_Date]],"mmm")</f>
        <v>Mar</v>
      </c>
      <c r="X815">
        <f>ROUNDUP(MONTH(Table1[[#This Row],[Order_Date]])/3,0)</f>
        <v>1</v>
      </c>
      <c r="Y815">
        <f>YEAR(Table1[[#This Row],[Order_Date]])</f>
        <v>2024</v>
      </c>
    </row>
    <row r="816" spans="1:25" x14ac:dyDescent="0.25">
      <c r="A816" t="s">
        <v>3328</v>
      </c>
      <c r="B816" t="s">
        <v>3329</v>
      </c>
      <c r="C816" t="s">
        <v>3330</v>
      </c>
      <c r="D816" t="s">
        <v>3331</v>
      </c>
      <c r="E816" t="s">
        <v>78</v>
      </c>
      <c r="F816" t="s">
        <v>56</v>
      </c>
      <c r="G816" t="s">
        <v>57</v>
      </c>
      <c r="H816" t="s">
        <v>32</v>
      </c>
      <c r="I816" t="s">
        <v>96</v>
      </c>
      <c r="J816" t="s">
        <v>59</v>
      </c>
      <c r="K816">
        <v>4</v>
      </c>
      <c r="L816">
        <v>35.64</v>
      </c>
      <c r="M816" s="3">
        <v>0.2</v>
      </c>
      <c r="N816" t="str">
        <f>VLOOKUP(Table1[[#This Row],[Country]],REF_Country!$A$1:$D$11,2,FALSE)</f>
        <v>Oceania</v>
      </c>
      <c r="O816" t="str">
        <f>VLOOKUP(Table1[[#This Row],[Country]],REF_Country!$A$1:$D$11,3,FALSE)</f>
        <v>AU</v>
      </c>
      <c r="P816">
        <f>VLOOKUP(Table1[[#This Row],[Country]],REF_Country!$A$1:$D$11,4,FALSE)</f>
        <v>0.1</v>
      </c>
      <c r="Q816">
        <f>VLOOKUP(Table1[[#This Row],[Category]],REF_Target!$A$1:$E$6,2,FALSE)</f>
        <v>50000</v>
      </c>
      <c r="R816">
        <f>Table1[[#This Row],[Quantity]]*Table1[[#This Row],[Unit_Price]]</f>
        <v>142.56</v>
      </c>
      <c r="S816">
        <f>Table1[[#This Row],[Gross_Sales]]*Table1[[#This Row],[Discount_Rate]]</f>
        <v>28.512</v>
      </c>
      <c r="T816">
        <f>Table1[[#This Row],[Gross_Sales]]-Table1[[#This Row],[Discount_Amount]]</f>
        <v>114.048</v>
      </c>
      <c r="U816">
        <f>VLOOKUP(Table1[[#This Row],[Category]],REF_Cost!$A$1:$B$6,2,FALSE)*Table1[[#This Row],[Quantity]]</f>
        <v>1800</v>
      </c>
      <c r="V816">
        <f>Table1[[#This Row],[Net_Sales]]-Table1[[#This Row],[Total_Cost]]</f>
        <v>-1685.952</v>
      </c>
      <c r="W816" t="str">
        <f>TEXT(Table1[[#This Row],[Order_Date]],"mmm")</f>
        <v>Dec</v>
      </c>
      <c r="X816">
        <f>ROUNDUP(MONTH(Table1[[#This Row],[Order_Date]])/3,0)</f>
        <v>4</v>
      </c>
      <c r="Y816">
        <f>YEAR(Table1[[#This Row],[Order_Date]])</f>
        <v>2024</v>
      </c>
    </row>
    <row r="817" spans="1:25" x14ac:dyDescent="0.25">
      <c r="A817" t="s">
        <v>3332</v>
      </c>
      <c r="B817" t="s">
        <v>3333</v>
      </c>
      <c r="C817" t="s">
        <v>3334</v>
      </c>
      <c r="D817" t="s">
        <v>3335</v>
      </c>
      <c r="E817" t="s">
        <v>83</v>
      </c>
      <c r="F817" t="s">
        <v>56</v>
      </c>
      <c r="G817" t="s">
        <v>111</v>
      </c>
      <c r="H817" t="s">
        <v>72</v>
      </c>
      <c r="I817" t="s">
        <v>43</v>
      </c>
      <c r="J817" t="s">
        <v>126</v>
      </c>
      <c r="K817">
        <v>3</v>
      </c>
      <c r="L817">
        <v>681.25</v>
      </c>
      <c r="M817" s="3">
        <v>0.2</v>
      </c>
      <c r="N817" t="str">
        <f>VLOOKUP(Table1[[#This Row],[Country]],REF_Country!$A$1:$D$11,2,FALSE)</f>
        <v>South Asia</v>
      </c>
      <c r="O817" t="str">
        <f>VLOOKUP(Table1[[#This Row],[Country]],REF_Country!$A$1:$D$11,3,FALSE)</f>
        <v>IN</v>
      </c>
      <c r="P817">
        <f>VLOOKUP(Table1[[#This Row],[Country]],REF_Country!$A$1:$D$11,4,FALSE)</f>
        <v>0.18</v>
      </c>
      <c r="Q817">
        <f>VLOOKUP(Table1[[#This Row],[Category]],REF_Target!$A$1:$E$6,2,FALSE)</f>
        <v>50000</v>
      </c>
      <c r="R817">
        <f>Table1[[#This Row],[Quantity]]*Table1[[#This Row],[Unit_Price]]</f>
        <v>2043.75</v>
      </c>
      <c r="S817">
        <f>Table1[[#This Row],[Gross_Sales]]*Table1[[#This Row],[Discount_Rate]]</f>
        <v>408.75</v>
      </c>
      <c r="T817">
        <f>Table1[[#This Row],[Gross_Sales]]-Table1[[#This Row],[Discount_Amount]]</f>
        <v>1635</v>
      </c>
      <c r="U817">
        <f>VLOOKUP(Table1[[#This Row],[Category]],REF_Cost!$A$1:$B$6,2,FALSE)*Table1[[#This Row],[Quantity]]</f>
        <v>1350</v>
      </c>
      <c r="V817">
        <f>Table1[[#This Row],[Net_Sales]]-Table1[[#This Row],[Total_Cost]]</f>
        <v>285</v>
      </c>
      <c r="W817" t="str">
        <f>TEXT(Table1[[#This Row],[Order_Date]],"mmm")</f>
        <v>Dec</v>
      </c>
      <c r="X817">
        <f>ROUNDUP(MONTH(Table1[[#This Row],[Order_Date]])/3,0)</f>
        <v>4</v>
      </c>
      <c r="Y817">
        <f>YEAR(Table1[[#This Row],[Order_Date]])</f>
        <v>2024</v>
      </c>
    </row>
    <row r="818" spans="1:25" x14ac:dyDescent="0.25">
      <c r="A818" t="s">
        <v>3336</v>
      </c>
      <c r="B818" t="s">
        <v>3337</v>
      </c>
      <c r="C818" t="s">
        <v>3338</v>
      </c>
      <c r="D818" t="s">
        <v>3339</v>
      </c>
      <c r="E818" t="s">
        <v>64</v>
      </c>
      <c r="F818" t="s">
        <v>49</v>
      </c>
      <c r="G818" t="s">
        <v>226</v>
      </c>
      <c r="H818" t="s">
        <v>58</v>
      </c>
      <c r="I818" t="s">
        <v>43</v>
      </c>
      <c r="J818" t="s">
        <v>126</v>
      </c>
      <c r="K818">
        <v>6</v>
      </c>
      <c r="L818">
        <v>577.96</v>
      </c>
      <c r="M818" s="3">
        <v>0</v>
      </c>
      <c r="N818" t="str">
        <f>VLOOKUP(Table1[[#This Row],[Country]],REF_Country!$A$1:$D$11,2,FALSE)</f>
        <v>Southeast Asia</v>
      </c>
      <c r="O818" t="str">
        <f>VLOOKUP(Table1[[#This Row],[Country]],REF_Country!$A$1:$D$11,3,FALSE)</f>
        <v>ID</v>
      </c>
      <c r="P818">
        <f>VLOOKUP(Table1[[#This Row],[Country]],REF_Country!$A$1:$D$11,4,FALSE)</f>
        <v>0.11</v>
      </c>
      <c r="Q818">
        <f>VLOOKUP(Table1[[#This Row],[Category]],REF_Target!$A$1:$E$6,2,FALSE)</f>
        <v>35000</v>
      </c>
      <c r="R818">
        <f>Table1[[#This Row],[Quantity]]*Table1[[#This Row],[Unit_Price]]</f>
        <v>3467.76</v>
      </c>
      <c r="S818">
        <f>Table1[[#This Row],[Gross_Sales]]*Table1[[#This Row],[Discount_Rate]]</f>
        <v>0</v>
      </c>
      <c r="T818">
        <f>Table1[[#This Row],[Gross_Sales]]-Table1[[#This Row],[Discount_Amount]]</f>
        <v>3467.76</v>
      </c>
      <c r="U818">
        <f>VLOOKUP(Table1[[#This Row],[Category]],REF_Cost!$A$1:$B$6,2,FALSE)*Table1[[#This Row],[Quantity]]</f>
        <v>900</v>
      </c>
      <c r="V818">
        <f>Table1[[#This Row],[Net_Sales]]-Table1[[#This Row],[Total_Cost]]</f>
        <v>2567.7600000000002</v>
      </c>
      <c r="W818" t="str">
        <f>TEXT(Table1[[#This Row],[Order_Date]],"mmm")</f>
        <v>Mar</v>
      </c>
      <c r="X818">
        <f>ROUNDUP(MONTH(Table1[[#This Row],[Order_Date]])/3,0)</f>
        <v>1</v>
      </c>
      <c r="Y818">
        <f>YEAR(Table1[[#This Row],[Order_Date]])</f>
        <v>2024</v>
      </c>
    </row>
    <row r="819" spans="1:25" x14ac:dyDescent="0.25">
      <c r="A819" t="s">
        <v>3340</v>
      </c>
      <c r="B819" t="s">
        <v>3341</v>
      </c>
      <c r="C819" t="s">
        <v>3342</v>
      </c>
      <c r="D819" t="s">
        <v>3343</v>
      </c>
      <c r="E819" t="s">
        <v>29</v>
      </c>
      <c r="F819" t="s">
        <v>30</v>
      </c>
      <c r="G819" t="s">
        <v>269</v>
      </c>
      <c r="H819" t="s">
        <v>72</v>
      </c>
      <c r="I819" t="s">
        <v>66</v>
      </c>
      <c r="J819" t="s">
        <v>126</v>
      </c>
      <c r="K819">
        <v>10</v>
      </c>
      <c r="L819">
        <v>1110.97</v>
      </c>
      <c r="M819" s="3">
        <v>0.1</v>
      </c>
      <c r="N819" t="str">
        <f>VLOOKUP(Table1[[#This Row],[Country]],REF_Country!$A$1:$D$11,2,FALSE)</f>
        <v>Southeast Asia</v>
      </c>
      <c r="O819" t="str">
        <f>VLOOKUP(Table1[[#This Row],[Country]],REF_Country!$A$1:$D$11,3,FALSE)</f>
        <v>VN</v>
      </c>
      <c r="P819">
        <f>VLOOKUP(Table1[[#This Row],[Country]],REF_Country!$A$1:$D$11,4,FALSE)</f>
        <v>0.1</v>
      </c>
      <c r="Q819">
        <f>VLOOKUP(Table1[[#This Row],[Category]],REF_Target!$A$1:$E$6,2,FALSE)</f>
        <v>40000</v>
      </c>
      <c r="R819">
        <f>Table1[[#This Row],[Quantity]]*Table1[[#This Row],[Unit_Price]]</f>
        <v>11109.7</v>
      </c>
      <c r="S819">
        <f>Table1[[#This Row],[Gross_Sales]]*Table1[[#This Row],[Discount_Rate]]</f>
        <v>1110.97</v>
      </c>
      <c r="T819">
        <f>Table1[[#This Row],[Gross_Sales]]-Table1[[#This Row],[Discount_Amount]]</f>
        <v>9998.7300000000014</v>
      </c>
      <c r="U819">
        <f>VLOOKUP(Table1[[#This Row],[Category]],REF_Cost!$A$1:$B$6,2,FALSE)*Table1[[#This Row],[Quantity]]</f>
        <v>1200</v>
      </c>
      <c r="V819">
        <f>Table1[[#This Row],[Net_Sales]]-Table1[[#This Row],[Total_Cost]]</f>
        <v>8798.7300000000014</v>
      </c>
      <c r="W819" t="str">
        <f>TEXT(Table1[[#This Row],[Order_Date]],"mmm")</f>
        <v>Jun</v>
      </c>
      <c r="X819">
        <f>ROUNDUP(MONTH(Table1[[#This Row],[Order_Date]])/3,0)</f>
        <v>2</v>
      </c>
      <c r="Y819">
        <f>YEAR(Table1[[#This Row],[Order_Date]])</f>
        <v>2024</v>
      </c>
    </row>
    <row r="820" spans="1:25" x14ac:dyDescent="0.25">
      <c r="A820" t="s">
        <v>3344</v>
      </c>
      <c r="B820" t="s">
        <v>3345</v>
      </c>
      <c r="C820" t="s">
        <v>3346</v>
      </c>
      <c r="D820" t="s">
        <v>3347</v>
      </c>
      <c r="E820" t="s">
        <v>71</v>
      </c>
      <c r="F820" t="s">
        <v>56</v>
      </c>
      <c r="G820" t="s">
        <v>111</v>
      </c>
      <c r="H820" t="s">
        <v>32</v>
      </c>
      <c r="I820" t="s">
        <v>51</v>
      </c>
      <c r="J820" t="s">
        <v>59</v>
      </c>
      <c r="K820">
        <v>5</v>
      </c>
      <c r="L820">
        <v>698.63</v>
      </c>
      <c r="M820" s="3">
        <v>0.05</v>
      </c>
      <c r="N820" t="str">
        <f>VLOOKUP(Table1[[#This Row],[Country]],REF_Country!$A$1:$D$11,2,FALSE)</f>
        <v>Southeast Asia</v>
      </c>
      <c r="O820" t="str">
        <f>VLOOKUP(Table1[[#This Row],[Country]],REF_Country!$A$1:$D$11,3,FALSE)</f>
        <v>PH</v>
      </c>
      <c r="P820">
        <f>VLOOKUP(Table1[[#This Row],[Country]],REF_Country!$A$1:$D$11,4,FALSE)</f>
        <v>0.12</v>
      </c>
      <c r="Q820">
        <f>VLOOKUP(Table1[[#This Row],[Category]],REF_Target!$A$1:$E$6,2,FALSE)</f>
        <v>50000</v>
      </c>
      <c r="R820">
        <f>Table1[[#This Row],[Quantity]]*Table1[[#This Row],[Unit_Price]]</f>
        <v>3493.15</v>
      </c>
      <c r="S820">
        <f>Table1[[#This Row],[Gross_Sales]]*Table1[[#This Row],[Discount_Rate]]</f>
        <v>174.65750000000003</v>
      </c>
      <c r="T820">
        <f>Table1[[#This Row],[Gross_Sales]]-Table1[[#This Row],[Discount_Amount]]</f>
        <v>3318.4925000000003</v>
      </c>
      <c r="U820">
        <f>VLOOKUP(Table1[[#This Row],[Category]],REF_Cost!$A$1:$B$6,2,FALSE)*Table1[[#This Row],[Quantity]]</f>
        <v>2250</v>
      </c>
      <c r="V820">
        <f>Table1[[#This Row],[Net_Sales]]-Table1[[#This Row],[Total_Cost]]</f>
        <v>1068.4925000000003</v>
      </c>
      <c r="W820" t="str">
        <f>TEXT(Table1[[#This Row],[Order_Date]],"mmm")</f>
        <v>Nov</v>
      </c>
      <c r="X820">
        <f>ROUNDUP(MONTH(Table1[[#This Row],[Order_Date]])/3,0)</f>
        <v>4</v>
      </c>
      <c r="Y820">
        <f>YEAR(Table1[[#This Row],[Order_Date]])</f>
        <v>2024</v>
      </c>
    </row>
    <row r="821" spans="1:25" x14ac:dyDescent="0.25">
      <c r="A821" t="s">
        <v>3348</v>
      </c>
      <c r="B821" t="s">
        <v>3349</v>
      </c>
      <c r="C821" t="s">
        <v>3350</v>
      </c>
      <c r="D821" t="s">
        <v>3351</v>
      </c>
      <c r="E821" t="s">
        <v>116</v>
      </c>
      <c r="F821" t="s">
        <v>49</v>
      </c>
      <c r="G821" t="s">
        <v>226</v>
      </c>
      <c r="H821" t="s">
        <v>72</v>
      </c>
      <c r="I821" t="s">
        <v>96</v>
      </c>
      <c r="J821" t="s">
        <v>126</v>
      </c>
      <c r="K821">
        <v>9</v>
      </c>
      <c r="L821">
        <v>308.35000000000002</v>
      </c>
      <c r="M821" s="3">
        <v>0.15</v>
      </c>
      <c r="N821" t="str">
        <f>VLOOKUP(Table1[[#This Row],[Country]],REF_Country!$A$1:$D$11,2,FALSE)</f>
        <v>Southeast Asia</v>
      </c>
      <c r="O821" t="str">
        <f>VLOOKUP(Table1[[#This Row],[Country]],REF_Country!$A$1:$D$11,3,FALSE)</f>
        <v>MY</v>
      </c>
      <c r="P821">
        <f>VLOOKUP(Table1[[#This Row],[Country]],REF_Country!$A$1:$D$11,4,FALSE)</f>
        <v>0.06</v>
      </c>
      <c r="Q821">
        <f>VLOOKUP(Table1[[#This Row],[Category]],REF_Target!$A$1:$E$6,2,FALSE)</f>
        <v>35000</v>
      </c>
      <c r="R821">
        <f>Table1[[#This Row],[Quantity]]*Table1[[#This Row],[Unit_Price]]</f>
        <v>2775.15</v>
      </c>
      <c r="S821">
        <f>Table1[[#This Row],[Gross_Sales]]*Table1[[#This Row],[Discount_Rate]]</f>
        <v>416.27249999999998</v>
      </c>
      <c r="T821">
        <f>Table1[[#This Row],[Gross_Sales]]-Table1[[#This Row],[Discount_Amount]]</f>
        <v>2358.8775000000001</v>
      </c>
      <c r="U821">
        <f>VLOOKUP(Table1[[#This Row],[Category]],REF_Cost!$A$1:$B$6,2,FALSE)*Table1[[#This Row],[Quantity]]</f>
        <v>1350</v>
      </c>
      <c r="V821">
        <f>Table1[[#This Row],[Net_Sales]]-Table1[[#This Row],[Total_Cost]]</f>
        <v>1008.8775000000001</v>
      </c>
      <c r="W821" t="str">
        <f>TEXT(Table1[[#This Row],[Order_Date]],"mmm")</f>
        <v>Jul</v>
      </c>
      <c r="X821">
        <f>ROUNDUP(MONTH(Table1[[#This Row],[Order_Date]])/3,0)</f>
        <v>3</v>
      </c>
      <c r="Y821">
        <f>YEAR(Table1[[#This Row],[Order_Date]])</f>
        <v>2024</v>
      </c>
    </row>
    <row r="822" spans="1:25" x14ac:dyDescent="0.25">
      <c r="A822" t="s">
        <v>3352</v>
      </c>
      <c r="B822" t="s">
        <v>3353</v>
      </c>
      <c r="C822" t="s">
        <v>3354</v>
      </c>
      <c r="D822" t="s">
        <v>3355</v>
      </c>
      <c r="E822" t="s">
        <v>29</v>
      </c>
      <c r="F822" t="s">
        <v>30</v>
      </c>
      <c r="G822" t="s">
        <v>195</v>
      </c>
      <c r="H822" t="s">
        <v>42</v>
      </c>
      <c r="I822" t="s">
        <v>43</v>
      </c>
      <c r="J822" t="s">
        <v>59</v>
      </c>
      <c r="K822">
        <v>5</v>
      </c>
      <c r="L822">
        <v>602.11</v>
      </c>
      <c r="M822" s="3">
        <v>0.05</v>
      </c>
      <c r="N822" t="str">
        <f>VLOOKUP(Table1[[#This Row],[Country]],REF_Country!$A$1:$D$11,2,FALSE)</f>
        <v>Southeast Asia</v>
      </c>
      <c r="O822" t="str">
        <f>VLOOKUP(Table1[[#This Row],[Country]],REF_Country!$A$1:$D$11,3,FALSE)</f>
        <v>VN</v>
      </c>
      <c r="P822">
        <f>VLOOKUP(Table1[[#This Row],[Country]],REF_Country!$A$1:$D$11,4,FALSE)</f>
        <v>0.1</v>
      </c>
      <c r="Q822">
        <f>VLOOKUP(Table1[[#This Row],[Category]],REF_Target!$A$1:$E$6,2,FALSE)</f>
        <v>40000</v>
      </c>
      <c r="R822">
        <f>Table1[[#This Row],[Quantity]]*Table1[[#This Row],[Unit_Price]]</f>
        <v>3010.55</v>
      </c>
      <c r="S822">
        <f>Table1[[#This Row],[Gross_Sales]]*Table1[[#This Row],[Discount_Rate]]</f>
        <v>150.5275</v>
      </c>
      <c r="T822">
        <f>Table1[[#This Row],[Gross_Sales]]-Table1[[#This Row],[Discount_Amount]]</f>
        <v>2860.0225</v>
      </c>
      <c r="U822">
        <f>VLOOKUP(Table1[[#This Row],[Category]],REF_Cost!$A$1:$B$6,2,FALSE)*Table1[[#This Row],[Quantity]]</f>
        <v>600</v>
      </c>
      <c r="V822">
        <f>Table1[[#This Row],[Net_Sales]]-Table1[[#This Row],[Total_Cost]]</f>
        <v>2260.0225</v>
      </c>
      <c r="W822" t="str">
        <f>TEXT(Table1[[#This Row],[Order_Date]],"mmm")</f>
        <v>Jan</v>
      </c>
      <c r="X822">
        <f>ROUNDUP(MONTH(Table1[[#This Row],[Order_Date]])/3,0)</f>
        <v>1</v>
      </c>
      <c r="Y822">
        <f>YEAR(Table1[[#This Row],[Order_Date]])</f>
        <v>2024</v>
      </c>
    </row>
    <row r="823" spans="1:25" x14ac:dyDescent="0.25">
      <c r="A823" t="s">
        <v>3356</v>
      </c>
      <c r="B823" t="s">
        <v>3357</v>
      </c>
      <c r="C823" t="s">
        <v>3358</v>
      </c>
      <c r="D823" t="s">
        <v>3359</v>
      </c>
      <c r="E823" t="s">
        <v>200</v>
      </c>
      <c r="F823" t="s">
        <v>30</v>
      </c>
      <c r="G823" t="s">
        <v>31</v>
      </c>
      <c r="H823" t="s">
        <v>58</v>
      </c>
      <c r="I823" t="s">
        <v>43</v>
      </c>
      <c r="J823" t="s">
        <v>126</v>
      </c>
      <c r="K823">
        <v>7</v>
      </c>
      <c r="L823">
        <v>540.29999999999995</v>
      </c>
      <c r="M823" s="3">
        <v>0</v>
      </c>
      <c r="N823" t="str">
        <f>VLOOKUP(Table1[[#This Row],[Country]],REF_Country!$A$1:$D$11,2,FALSE)</f>
        <v>East Asia</v>
      </c>
      <c r="O823" t="str">
        <f>VLOOKUP(Table1[[#This Row],[Country]],REF_Country!$A$1:$D$11,3,FALSE)</f>
        <v>KR</v>
      </c>
      <c r="P823">
        <f>VLOOKUP(Table1[[#This Row],[Country]],REF_Country!$A$1:$D$11,4,FALSE)</f>
        <v>0.1</v>
      </c>
      <c r="Q823">
        <f>VLOOKUP(Table1[[#This Row],[Category]],REF_Target!$A$1:$E$6,2,FALSE)</f>
        <v>40000</v>
      </c>
      <c r="R823">
        <f>Table1[[#This Row],[Quantity]]*Table1[[#This Row],[Unit_Price]]</f>
        <v>3782.0999999999995</v>
      </c>
      <c r="S823">
        <f>Table1[[#This Row],[Gross_Sales]]*Table1[[#This Row],[Discount_Rate]]</f>
        <v>0</v>
      </c>
      <c r="T823">
        <f>Table1[[#This Row],[Gross_Sales]]-Table1[[#This Row],[Discount_Amount]]</f>
        <v>3782.0999999999995</v>
      </c>
      <c r="U823">
        <f>VLOOKUP(Table1[[#This Row],[Category]],REF_Cost!$A$1:$B$6,2,FALSE)*Table1[[#This Row],[Quantity]]</f>
        <v>840</v>
      </c>
      <c r="V823">
        <f>Table1[[#This Row],[Net_Sales]]-Table1[[#This Row],[Total_Cost]]</f>
        <v>2942.0999999999995</v>
      </c>
      <c r="W823" t="str">
        <f>TEXT(Table1[[#This Row],[Order_Date]],"mmm")</f>
        <v>Aug</v>
      </c>
      <c r="X823">
        <f>ROUNDUP(MONTH(Table1[[#This Row],[Order_Date]])/3,0)</f>
        <v>3</v>
      </c>
      <c r="Y823">
        <f>YEAR(Table1[[#This Row],[Order_Date]])</f>
        <v>2024</v>
      </c>
    </row>
    <row r="824" spans="1:25" x14ac:dyDescent="0.25">
      <c r="A824" t="s">
        <v>3360</v>
      </c>
      <c r="B824" t="s">
        <v>3361</v>
      </c>
      <c r="C824" t="s">
        <v>3362</v>
      </c>
      <c r="D824" t="s">
        <v>3363</v>
      </c>
      <c r="E824" t="s">
        <v>149</v>
      </c>
      <c r="F824" t="s">
        <v>49</v>
      </c>
      <c r="G824" t="s">
        <v>50</v>
      </c>
      <c r="H824" t="s">
        <v>72</v>
      </c>
      <c r="I824" t="s">
        <v>96</v>
      </c>
      <c r="J824" t="s">
        <v>59</v>
      </c>
      <c r="K824">
        <v>3</v>
      </c>
      <c r="L824">
        <v>1352.98</v>
      </c>
      <c r="M824" s="3">
        <v>0.2</v>
      </c>
      <c r="N824" t="str">
        <f>VLOOKUP(Table1[[#This Row],[Country]],REF_Country!$A$1:$D$11,2,FALSE)</f>
        <v>East Asia</v>
      </c>
      <c r="O824" t="str">
        <f>VLOOKUP(Table1[[#This Row],[Country]],REF_Country!$A$1:$D$11,3,FALSE)</f>
        <v>JP</v>
      </c>
      <c r="P824">
        <f>VLOOKUP(Table1[[#This Row],[Country]],REF_Country!$A$1:$D$11,4,FALSE)</f>
        <v>0.1</v>
      </c>
      <c r="Q824">
        <f>VLOOKUP(Table1[[#This Row],[Category]],REF_Target!$A$1:$E$6,2,FALSE)</f>
        <v>35000</v>
      </c>
      <c r="R824">
        <f>Table1[[#This Row],[Quantity]]*Table1[[#This Row],[Unit_Price]]</f>
        <v>4058.94</v>
      </c>
      <c r="S824">
        <f>Table1[[#This Row],[Gross_Sales]]*Table1[[#This Row],[Discount_Rate]]</f>
        <v>811.78800000000001</v>
      </c>
      <c r="T824">
        <f>Table1[[#This Row],[Gross_Sales]]-Table1[[#This Row],[Discount_Amount]]</f>
        <v>3247.152</v>
      </c>
      <c r="U824">
        <f>VLOOKUP(Table1[[#This Row],[Category]],REF_Cost!$A$1:$B$6,2,FALSE)*Table1[[#This Row],[Quantity]]</f>
        <v>450</v>
      </c>
      <c r="V824">
        <f>Table1[[#This Row],[Net_Sales]]-Table1[[#This Row],[Total_Cost]]</f>
        <v>2797.152</v>
      </c>
      <c r="W824" t="str">
        <f>TEXT(Table1[[#This Row],[Order_Date]],"mmm")</f>
        <v>May</v>
      </c>
      <c r="X824">
        <f>ROUNDUP(MONTH(Table1[[#This Row],[Order_Date]])/3,0)</f>
        <v>2</v>
      </c>
      <c r="Y824">
        <f>YEAR(Table1[[#This Row],[Order_Date]])</f>
        <v>2024</v>
      </c>
    </row>
    <row r="825" spans="1:25" x14ac:dyDescent="0.25">
      <c r="A825" t="s">
        <v>3364</v>
      </c>
      <c r="B825" t="s">
        <v>3365</v>
      </c>
      <c r="C825" t="s">
        <v>3366</v>
      </c>
      <c r="D825" t="s">
        <v>3367</v>
      </c>
      <c r="E825" t="s">
        <v>200</v>
      </c>
      <c r="F825" t="s">
        <v>30</v>
      </c>
      <c r="G825" t="s">
        <v>65</v>
      </c>
      <c r="H825" t="s">
        <v>42</v>
      </c>
      <c r="I825" t="s">
        <v>43</v>
      </c>
      <c r="J825" t="s">
        <v>126</v>
      </c>
      <c r="K825">
        <v>7</v>
      </c>
      <c r="L825">
        <v>1130.3699999999999</v>
      </c>
      <c r="M825" s="3">
        <v>0.15</v>
      </c>
      <c r="N825" t="str">
        <f>VLOOKUP(Table1[[#This Row],[Country]],REF_Country!$A$1:$D$11,2,FALSE)</f>
        <v>East Asia</v>
      </c>
      <c r="O825" t="str">
        <f>VLOOKUP(Table1[[#This Row],[Country]],REF_Country!$A$1:$D$11,3,FALSE)</f>
        <v>KR</v>
      </c>
      <c r="P825">
        <f>VLOOKUP(Table1[[#This Row],[Country]],REF_Country!$A$1:$D$11,4,FALSE)</f>
        <v>0.1</v>
      </c>
      <c r="Q825">
        <f>VLOOKUP(Table1[[#This Row],[Category]],REF_Target!$A$1:$E$6,2,FALSE)</f>
        <v>40000</v>
      </c>
      <c r="R825">
        <f>Table1[[#This Row],[Quantity]]*Table1[[#This Row],[Unit_Price]]</f>
        <v>7912.5899999999992</v>
      </c>
      <c r="S825">
        <f>Table1[[#This Row],[Gross_Sales]]*Table1[[#This Row],[Discount_Rate]]</f>
        <v>1186.8884999999998</v>
      </c>
      <c r="T825">
        <f>Table1[[#This Row],[Gross_Sales]]-Table1[[#This Row],[Discount_Amount]]</f>
        <v>6725.7014999999992</v>
      </c>
      <c r="U825">
        <f>VLOOKUP(Table1[[#This Row],[Category]],REF_Cost!$A$1:$B$6,2,FALSE)*Table1[[#This Row],[Quantity]]</f>
        <v>840</v>
      </c>
      <c r="V825">
        <f>Table1[[#This Row],[Net_Sales]]-Table1[[#This Row],[Total_Cost]]</f>
        <v>5885.7014999999992</v>
      </c>
      <c r="W825" t="str">
        <f>TEXT(Table1[[#This Row],[Order_Date]],"mmm")</f>
        <v>Aug</v>
      </c>
      <c r="X825">
        <f>ROUNDUP(MONTH(Table1[[#This Row],[Order_Date]])/3,0)</f>
        <v>3</v>
      </c>
      <c r="Y825">
        <f>YEAR(Table1[[#This Row],[Order_Date]])</f>
        <v>2024</v>
      </c>
    </row>
    <row r="826" spans="1:25" x14ac:dyDescent="0.25">
      <c r="A826" t="s">
        <v>3368</v>
      </c>
      <c r="B826" t="s">
        <v>3369</v>
      </c>
      <c r="C826" t="s">
        <v>3370</v>
      </c>
      <c r="D826" t="s">
        <v>3371</v>
      </c>
      <c r="E826" t="s">
        <v>71</v>
      </c>
      <c r="F826" t="s">
        <v>40</v>
      </c>
      <c r="G826" t="s">
        <v>144</v>
      </c>
      <c r="H826" t="s">
        <v>58</v>
      </c>
      <c r="I826" t="s">
        <v>96</v>
      </c>
      <c r="J826" t="s">
        <v>126</v>
      </c>
      <c r="K826">
        <v>4</v>
      </c>
      <c r="L826">
        <v>1154.57</v>
      </c>
      <c r="M826" s="3">
        <v>0</v>
      </c>
      <c r="N826" t="str">
        <f>VLOOKUP(Table1[[#This Row],[Country]],REF_Country!$A$1:$D$11,2,FALSE)</f>
        <v>Southeast Asia</v>
      </c>
      <c r="O826" t="str">
        <f>VLOOKUP(Table1[[#This Row],[Country]],REF_Country!$A$1:$D$11,3,FALSE)</f>
        <v>PH</v>
      </c>
      <c r="P826">
        <f>VLOOKUP(Table1[[#This Row],[Country]],REF_Country!$A$1:$D$11,4,FALSE)</f>
        <v>0.12</v>
      </c>
      <c r="Q826">
        <f>VLOOKUP(Table1[[#This Row],[Category]],REF_Target!$A$1:$E$6,2,FALSE)</f>
        <v>45000</v>
      </c>
      <c r="R826">
        <f>Table1[[#This Row],[Quantity]]*Table1[[#This Row],[Unit_Price]]</f>
        <v>4618.28</v>
      </c>
      <c r="S826">
        <f>Table1[[#This Row],[Gross_Sales]]*Table1[[#This Row],[Discount_Rate]]</f>
        <v>0</v>
      </c>
      <c r="T826">
        <f>Table1[[#This Row],[Gross_Sales]]-Table1[[#This Row],[Discount_Amount]]</f>
        <v>4618.28</v>
      </c>
      <c r="U826">
        <f>VLOOKUP(Table1[[#This Row],[Category]],REF_Cost!$A$1:$B$6,2,FALSE)*Table1[[#This Row],[Quantity]]</f>
        <v>320</v>
      </c>
      <c r="V826">
        <f>Table1[[#This Row],[Net_Sales]]-Table1[[#This Row],[Total_Cost]]</f>
        <v>4298.28</v>
      </c>
      <c r="W826" t="str">
        <f>TEXT(Table1[[#This Row],[Order_Date]],"mmm")</f>
        <v>Jan</v>
      </c>
      <c r="X826">
        <f>ROUNDUP(MONTH(Table1[[#This Row],[Order_Date]])/3,0)</f>
        <v>1</v>
      </c>
      <c r="Y826">
        <f>YEAR(Table1[[#This Row],[Order_Date]])</f>
        <v>2024</v>
      </c>
    </row>
    <row r="827" spans="1:25" x14ac:dyDescent="0.25">
      <c r="A827" t="s">
        <v>3372</v>
      </c>
      <c r="B827" t="s">
        <v>3373</v>
      </c>
      <c r="C827" t="s">
        <v>3374</v>
      </c>
      <c r="D827" t="s">
        <v>3375</v>
      </c>
      <c r="E827" t="s">
        <v>200</v>
      </c>
      <c r="F827" t="s">
        <v>56</v>
      </c>
      <c r="G827" t="s">
        <v>57</v>
      </c>
      <c r="H827" t="s">
        <v>72</v>
      </c>
      <c r="I827" t="s">
        <v>43</v>
      </c>
      <c r="J827" t="s">
        <v>59</v>
      </c>
      <c r="K827">
        <v>3</v>
      </c>
      <c r="L827">
        <v>382.9</v>
      </c>
      <c r="M827" s="3">
        <v>0.2</v>
      </c>
      <c r="N827" t="str">
        <f>VLOOKUP(Table1[[#This Row],[Country]],REF_Country!$A$1:$D$11,2,FALSE)</f>
        <v>East Asia</v>
      </c>
      <c r="O827" t="str">
        <f>VLOOKUP(Table1[[#This Row],[Country]],REF_Country!$A$1:$D$11,3,FALSE)</f>
        <v>KR</v>
      </c>
      <c r="P827">
        <f>VLOOKUP(Table1[[#This Row],[Country]],REF_Country!$A$1:$D$11,4,FALSE)</f>
        <v>0.1</v>
      </c>
      <c r="Q827">
        <f>VLOOKUP(Table1[[#This Row],[Category]],REF_Target!$A$1:$E$6,2,FALSE)</f>
        <v>50000</v>
      </c>
      <c r="R827">
        <f>Table1[[#This Row],[Quantity]]*Table1[[#This Row],[Unit_Price]]</f>
        <v>1148.6999999999998</v>
      </c>
      <c r="S827">
        <f>Table1[[#This Row],[Gross_Sales]]*Table1[[#This Row],[Discount_Rate]]</f>
        <v>229.73999999999998</v>
      </c>
      <c r="T827">
        <f>Table1[[#This Row],[Gross_Sales]]-Table1[[#This Row],[Discount_Amount]]</f>
        <v>918.95999999999981</v>
      </c>
      <c r="U827">
        <f>VLOOKUP(Table1[[#This Row],[Category]],REF_Cost!$A$1:$B$6,2,FALSE)*Table1[[#This Row],[Quantity]]</f>
        <v>1350</v>
      </c>
      <c r="V827">
        <f>Table1[[#This Row],[Net_Sales]]-Table1[[#This Row],[Total_Cost]]</f>
        <v>-431.04000000000019</v>
      </c>
      <c r="W827" t="str">
        <f>TEXT(Table1[[#This Row],[Order_Date]],"mmm")</f>
        <v>Sep</v>
      </c>
      <c r="X827">
        <f>ROUNDUP(MONTH(Table1[[#This Row],[Order_Date]])/3,0)</f>
        <v>3</v>
      </c>
      <c r="Y827">
        <f>YEAR(Table1[[#This Row],[Order_Date]])</f>
        <v>2024</v>
      </c>
    </row>
    <row r="828" spans="1:25" x14ac:dyDescent="0.25">
      <c r="A828" t="s">
        <v>3376</v>
      </c>
      <c r="B828" t="s">
        <v>3377</v>
      </c>
      <c r="C828" t="s">
        <v>419</v>
      </c>
      <c r="D828" t="s">
        <v>3378</v>
      </c>
      <c r="E828" t="s">
        <v>149</v>
      </c>
      <c r="F828" t="s">
        <v>30</v>
      </c>
      <c r="G828" t="s">
        <v>195</v>
      </c>
      <c r="H828" t="s">
        <v>72</v>
      </c>
      <c r="I828" t="s">
        <v>43</v>
      </c>
      <c r="J828" t="s">
        <v>73</v>
      </c>
      <c r="K828">
        <v>2</v>
      </c>
      <c r="L828">
        <v>1064.0899999999999</v>
      </c>
      <c r="M828" s="3">
        <v>0.2</v>
      </c>
      <c r="N828" t="str">
        <f>VLOOKUP(Table1[[#This Row],[Country]],REF_Country!$A$1:$D$11,2,FALSE)</f>
        <v>East Asia</v>
      </c>
      <c r="O828" t="str">
        <f>VLOOKUP(Table1[[#This Row],[Country]],REF_Country!$A$1:$D$11,3,FALSE)</f>
        <v>JP</v>
      </c>
      <c r="P828">
        <f>VLOOKUP(Table1[[#This Row],[Country]],REF_Country!$A$1:$D$11,4,FALSE)</f>
        <v>0.1</v>
      </c>
      <c r="Q828">
        <f>VLOOKUP(Table1[[#This Row],[Category]],REF_Target!$A$1:$E$6,2,FALSE)</f>
        <v>40000</v>
      </c>
      <c r="R828">
        <f>Table1[[#This Row],[Quantity]]*Table1[[#This Row],[Unit_Price]]</f>
        <v>2128.1799999999998</v>
      </c>
      <c r="S828">
        <f>Table1[[#This Row],[Gross_Sales]]*Table1[[#This Row],[Discount_Rate]]</f>
        <v>425.63599999999997</v>
      </c>
      <c r="T828">
        <f>Table1[[#This Row],[Gross_Sales]]-Table1[[#This Row],[Discount_Amount]]</f>
        <v>1702.5439999999999</v>
      </c>
      <c r="U828">
        <f>VLOOKUP(Table1[[#This Row],[Category]],REF_Cost!$A$1:$B$6,2,FALSE)*Table1[[#This Row],[Quantity]]</f>
        <v>240</v>
      </c>
      <c r="V828">
        <f>Table1[[#This Row],[Net_Sales]]-Table1[[#This Row],[Total_Cost]]</f>
        <v>1462.5439999999999</v>
      </c>
      <c r="W828" t="str">
        <f>TEXT(Table1[[#This Row],[Order_Date]],"mmm")</f>
        <v>May</v>
      </c>
      <c r="X828">
        <f>ROUNDUP(MONTH(Table1[[#This Row],[Order_Date]])/3,0)</f>
        <v>2</v>
      </c>
      <c r="Y828">
        <f>YEAR(Table1[[#This Row],[Order_Date]])</f>
        <v>2024</v>
      </c>
    </row>
    <row r="829" spans="1:25" x14ac:dyDescent="0.25">
      <c r="A829" t="s">
        <v>3379</v>
      </c>
      <c r="B829" t="s">
        <v>3380</v>
      </c>
      <c r="C829" t="s">
        <v>3381</v>
      </c>
      <c r="D829" t="s">
        <v>3382</v>
      </c>
      <c r="E829" t="s">
        <v>64</v>
      </c>
      <c r="F829" t="s">
        <v>84</v>
      </c>
      <c r="G829" t="s">
        <v>85</v>
      </c>
      <c r="H829" t="s">
        <v>72</v>
      </c>
      <c r="I829" t="s">
        <v>51</v>
      </c>
      <c r="J829" t="s">
        <v>126</v>
      </c>
      <c r="K829">
        <v>7</v>
      </c>
      <c r="L829">
        <v>1394.71</v>
      </c>
      <c r="M829" s="3">
        <v>0</v>
      </c>
      <c r="N829" t="str">
        <f>VLOOKUP(Table1[[#This Row],[Country]],REF_Country!$A$1:$D$11,2,FALSE)</f>
        <v>Southeast Asia</v>
      </c>
      <c r="O829" t="str">
        <f>VLOOKUP(Table1[[#This Row],[Country]],REF_Country!$A$1:$D$11,3,FALSE)</f>
        <v>ID</v>
      </c>
      <c r="P829">
        <f>VLOOKUP(Table1[[#This Row],[Country]],REF_Country!$A$1:$D$11,4,FALSE)</f>
        <v>0.11</v>
      </c>
      <c r="Q829">
        <f>VLOOKUP(Table1[[#This Row],[Category]],REF_Target!$A$1:$E$6,2,FALSE)</f>
        <v>30000</v>
      </c>
      <c r="R829">
        <f>Table1[[#This Row],[Quantity]]*Table1[[#This Row],[Unit_Price]]</f>
        <v>9762.9700000000012</v>
      </c>
      <c r="S829">
        <f>Table1[[#This Row],[Gross_Sales]]*Table1[[#This Row],[Discount_Rate]]</f>
        <v>0</v>
      </c>
      <c r="T829">
        <f>Table1[[#This Row],[Gross_Sales]]-Table1[[#This Row],[Discount_Amount]]</f>
        <v>9762.9700000000012</v>
      </c>
      <c r="U829">
        <f>VLOOKUP(Table1[[#This Row],[Category]],REF_Cost!$A$1:$B$6,2,FALSE)*Table1[[#This Row],[Quantity]]</f>
        <v>1400</v>
      </c>
      <c r="V829">
        <f>Table1[[#This Row],[Net_Sales]]-Table1[[#This Row],[Total_Cost]]</f>
        <v>8362.9700000000012</v>
      </c>
      <c r="W829" t="str">
        <f>TEXT(Table1[[#This Row],[Order_Date]],"mmm")</f>
        <v>Mar</v>
      </c>
      <c r="X829">
        <f>ROUNDUP(MONTH(Table1[[#This Row],[Order_Date]])/3,0)</f>
        <v>1</v>
      </c>
      <c r="Y829">
        <f>YEAR(Table1[[#This Row],[Order_Date]])</f>
        <v>2024</v>
      </c>
    </row>
    <row r="830" spans="1:25" x14ac:dyDescent="0.25">
      <c r="A830" t="s">
        <v>3383</v>
      </c>
      <c r="B830" t="s">
        <v>3384</v>
      </c>
      <c r="C830" t="s">
        <v>3385</v>
      </c>
      <c r="D830" t="s">
        <v>3386</v>
      </c>
      <c r="E830" t="s">
        <v>39</v>
      </c>
      <c r="F830" t="s">
        <v>30</v>
      </c>
      <c r="G830" t="s">
        <v>65</v>
      </c>
      <c r="H830" t="s">
        <v>42</v>
      </c>
      <c r="I830" t="s">
        <v>51</v>
      </c>
      <c r="J830" t="s">
        <v>59</v>
      </c>
      <c r="K830">
        <v>1</v>
      </c>
      <c r="L830">
        <v>647.72</v>
      </c>
      <c r="M830" s="3">
        <v>0.15</v>
      </c>
      <c r="N830" t="str">
        <f>VLOOKUP(Table1[[#This Row],[Country]],REF_Country!$A$1:$D$11,2,FALSE)</f>
        <v>Southeast Asia</v>
      </c>
      <c r="O830" t="str">
        <f>VLOOKUP(Table1[[#This Row],[Country]],REF_Country!$A$1:$D$11,3,FALSE)</f>
        <v>TH</v>
      </c>
      <c r="P830">
        <f>VLOOKUP(Table1[[#This Row],[Country]],REF_Country!$A$1:$D$11,4,FALSE)</f>
        <v>7.0000000000000007E-2</v>
      </c>
      <c r="Q830">
        <f>VLOOKUP(Table1[[#This Row],[Category]],REF_Target!$A$1:$E$6,2,FALSE)</f>
        <v>40000</v>
      </c>
      <c r="R830">
        <f>Table1[[#This Row],[Quantity]]*Table1[[#This Row],[Unit_Price]]</f>
        <v>647.72</v>
      </c>
      <c r="S830">
        <f>Table1[[#This Row],[Gross_Sales]]*Table1[[#This Row],[Discount_Rate]]</f>
        <v>97.158000000000001</v>
      </c>
      <c r="T830">
        <f>Table1[[#This Row],[Gross_Sales]]-Table1[[#This Row],[Discount_Amount]]</f>
        <v>550.56200000000001</v>
      </c>
      <c r="U830">
        <f>VLOOKUP(Table1[[#This Row],[Category]],REF_Cost!$A$1:$B$6,2,FALSE)*Table1[[#This Row],[Quantity]]</f>
        <v>120</v>
      </c>
      <c r="V830">
        <f>Table1[[#This Row],[Net_Sales]]-Table1[[#This Row],[Total_Cost]]</f>
        <v>430.56200000000001</v>
      </c>
      <c r="W830" t="str">
        <f>TEXT(Table1[[#This Row],[Order_Date]],"mmm")</f>
        <v>Jul</v>
      </c>
      <c r="X830">
        <f>ROUNDUP(MONTH(Table1[[#This Row],[Order_Date]])/3,0)</f>
        <v>3</v>
      </c>
      <c r="Y830">
        <f>YEAR(Table1[[#This Row],[Order_Date]])</f>
        <v>2024</v>
      </c>
    </row>
    <row r="831" spans="1:25" x14ac:dyDescent="0.25">
      <c r="A831" t="s">
        <v>3387</v>
      </c>
      <c r="B831" t="s">
        <v>3388</v>
      </c>
      <c r="C831" t="s">
        <v>3389</v>
      </c>
      <c r="D831" t="s">
        <v>3390</v>
      </c>
      <c r="E831" t="s">
        <v>71</v>
      </c>
      <c r="F831" t="s">
        <v>49</v>
      </c>
      <c r="G831" t="s">
        <v>286</v>
      </c>
      <c r="H831" t="s">
        <v>32</v>
      </c>
      <c r="I831" t="s">
        <v>51</v>
      </c>
      <c r="J831" t="s">
        <v>126</v>
      </c>
      <c r="K831">
        <v>1</v>
      </c>
      <c r="L831">
        <v>489.96</v>
      </c>
      <c r="M831" s="3">
        <v>0</v>
      </c>
      <c r="N831" t="str">
        <f>VLOOKUP(Table1[[#This Row],[Country]],REF_Country!$A$1:$D$11,2,FALSE)</f>
        <v>Southeast Asia</v>
      </c>
      <c r="O831" t="str">
        <f>VLOOKUP(Table1[[#This Row],[Country]],REF_Country!$A$1:$D$11,3,FALSE)</f>
        <v>PH</v>
      </c>
      <c r="P831">
        <f>VLOOKUP(Table1[[#This Row],[Country]],REF_Country!$A$1:$D$11,4,FALSE)</f>
        <v>0.12</v>
      </c>
      <c r="Q831">
        <f>VLOOKUP(Table1[[#This Row],[Category]],REF_Target!$A$1:$E$6,2,FALSE)</f>
        <v>35000</v>
      </c>
      <c r="R831">
        <f>Table1[[#This Row],[Quantity]]*Table1[[#This Row],[Unit_Price]]</f>
        <v>489.96</v>
      </c>
      <c r="S831">
        <f>Table1[[#This Row],[Gross_Sales]]*Table1[[#This Row],[Discount_Rate]]</f>
        <v>0</v>
      </c>
      <c r="T831">
        <f>Table1[[#This Row],[Gross_Sales]]-Table1[[#This Row],[Discount_Amount]]</f>
        <v>489.96</v>
      </c>
      <c r="U831">
        <f>VLOOKUP(Table1[[#This Row],[Category]],REF_Cost!$A$1:$B$6,2,FALSE)*Table1[[#This Row],[Quantity]]</f>
        <v>150</v>
      </c>
      <c r="V831">
        <f>Table1[[#This Row],[Net_Sales]]-Table1[[#This Row],[Total_Cost]]</f>
        <v>339.96</v>
      </c>
      <c r="W831" t="str">
        <f>TEXT(Table1[[#This Row],[Order_Date]],"mmm")</f>
        <v>May</v>
      </c>
      <c r="X831">
        <f>ROUNDUP(MONTH(Table1[[#This Row],[Order_Date]])/3,0)</f>
        <v>2</v>
      </c>
      <c r="Y831">
        <f>YEAR(Table1[[#This Row],[Order_Date]])</f>
        <v>2024</v>
      </c>
    </row>
    <row r="832" spans="1:25" x14ac:dyDescent="0.25">
      <c r="A832" t="s">
        <v>3391</v>
      </c>
      <c r="B832" t="s">
        <v>3392</v>
      </c>
      <c r="C832" t="s">
        <v>3393</v>
      </c>
      <c r="D832" t="s">
        <v>3394</v>
      </c>
      <c r="E832" t="s">
        <v>200</v>
      </c>
      <c r="F832" t="s">
        <v>84</v>
      </c>
      <c r="G832" t="s">
        <v>90</v>
      </c>
      <c r="H832" t="s">
        <v>42</v>
      </c>
      <c r="I832" t="s">
        <v>66</v>
      </c>
      <c r="J832" t="s">
        <v>59</v>
      </c>
      <c r="K832">
        <v>3</v>
      </c>
      <c r="L832">
        <v>164.63</v>
      </c>
      <c r="M832" s="3">
        <v>0.05</v>
      </c>
      <c r="N832" t="str">
        <f>VLOOKUP(Table1[[#This Row],[Country]],REF_Country!$A$1:$D$11,2,FALSE)</f>
        <v>East Asia</v>
      </c>
      <c r="O832" t="str">
        <f>VLOOKUP(Table1[[#This Row],[Country]],REF_Country!$A$1:$D$11,3,FALSE)</f>
        <v>KR</v>
      </c>
      <c r="P832">
        <f>VLOOKUP(Table1[[#This Row],[Country]],REF_Country!$A$1:$D$11,4,FALSE)</f>
        <v>0.1</v>
      </c>
      <c r="Q832">
        <f>VLOOKUP(Table1[[#This Row],[Category]],REF_Target!$A$1:$E$6,2,FALSE)</f>
        <v>30000</v>
      </c>
      <c r="R832">
        <f>Table1[[#This Row],[Quantity]]*Table1[[#This Row],[Unit_Price]]</f>
        <v>493.89</v>
      </c>
      <c r="S832">
        <f>Table1[[#This Row],[Gross_Sales]]*Table1[[#This Row],[Discount_Rate]]</f>
        <v>24.694500000000001</v>
      </c>
      <c r="T832">
        <f>Table1[[#This Row],[Gross_Sales]]-Table1[[#This Row],[Discount_Amount]]</f>
        <v>469.19549999999998</v>
      </c>
      <c r="U832">
        <f>VLOOKUP(Table1[[#This Row],[Category]],REF_Cost!$A$1:$B$6,2,FALSE)*Table1[[#This Row],[Quantity]]</f>
        <v>600</v>
      </c>
      <c r="V832">
        <f>Table1[[#This Row],[Net_Sales]]-Table1[[#This Row],[Total_Cost]]</f>
        <v>-130.80450000000002</v>
      </c>
      <c r="W832" t="str">
        <f>TEXT(Table1[[#This Row],[Order_Date]],"mmm")</f>
        <v>Jun</v>
      </c>
      <c r="X832">
        <f>ROUNDUP(MONTH(Table1[[#This Row],[Order_Date]])/3,0)</f>
        <v>2</v>
      </c>
      <c r="Y832">
        <f>YEAR(Table1[[#This Row],[Order_Date]])</f>
        <v>2024</v>
      </c>
    </row>
    <row r="833" spans="1:25" x14ac:dyDescent="0.25">
      <c r="A833" t="s">
        <v>3395</v>
      </c>
      <c r="B833" t="s">
        <v>3396</v>
      </c>
      <c r="C833" t="s">
        <v>3397</v>
      </c>
      <c r="D833" t="s">
        <v>3398</v>
      </c>
      <c r="E833" t="s">
        <v>64</v>
      </c>
      <c r="F833" t="s">
        <v>40</v>
      </c>
      <c r="G833" t="s">
        <v>106</v>
      </c>
      <c r="H833" t="s">
        <v>58</v>
      </c>
      <c r="I833" t="s">
        <v>43</v>
      </c>
      <c r="J833" t="s">
        <v>59</v>
      </c>
      <c r="K833">
        <v>6</v>
      </c>
      <c r="L833">
        <v>506.85</v>
      </c>
      <c r="M833" s="3">
        <v>0.2</v>
      </c>
      <c r="N833" t="str">
        <f>VLOOKUP(Table1[[#This Row],[Country]],REF_Country!$A$1:$D$11,2,FALSE)</f>
        <v>Southeast Asia</v>
      </c>
      <c r="O833" t="str">
        <f>VLOOKUP(Table1[[#This Row],[Country]],REF_Country!$A$1:$D$11,3,FALSE)</f>
        <v>ID</v>
      </c>
      <c r="P833">
        <f>VLOOKUP(Table1[[#This Row],[Country]],REF_Country!$A$1:$D$11,4,FALSE)</f>
        <v>0.11</v>
      </c>
      <c r="Q833">
        <f>VLOOKUP(Table1[[#This Row],[Category]],REF_Target!$A$1:$E$6,2,FALSE)</f>
        <v>45000</v>
      </c>
      <c r="R833">
        <f>Table1[[#This Row],[Quantity]]*Table1[[#This Row],[Unit_Price]]</f>
        <v>3041.1000000000004</v>
      </c>
      <c r="S833">
        <f>Table1[[#This Row],[Gross_Sales]]*Table1[[#This Row],[Discount_Rate]]</f>
        <v>608.22000000000014</v>
      </c>
      <c r="T833">
        <f>Table1[[#This Row],[Gross_Sales]]-Table1[[#This Row],[Discount_Amount]]</f>
        <v>2432.88</v>
      </c>
      <c r="U833">
        <f>VLOOKUP(Table1[[#This Row],[Category]],REF_Cost!$A$1:$B$6,2,FALSE)*Table1[[#This Row],[Quantity]]</f>
        <v>480</v>
      </c>
      <c r="V833">
        <f>Table1[[#This Row],[Net_Sales]]-Table1[[#This Row],[Total_Cost]]</f>
        <v>1952.88</v>
      </c>
      <c r="W833" t="str">
        <f>TEXT(Table1[[#This Row],[Order_Date]],"mmm")</f>
        <v>Feb</v>
      </c>
      <c r="X833">
        <f>ROUNDUP(MONTH(Table1[[#This Row],[Order_Date]])/3,0)</f>
        <v>1</v>
      </c>
      <c r="Y833">
        <f>YEAR(Table1[[#This Row],[Order_Date]])</f>
        <v>2024</v>
      </c>
    </row>
    <row r="834" spans="1:25" x14ac:dyDescent="0.25">
      <c r="A834" t="s">
        <v>3399</v>
      </c>
      <c r="B834" t="s">
        <v>3400</v>
      </c>
      <c r="C834" t="s">
        <v>3401</v>
      </c>
      <c r="D834" t="s">
        <v>3402</v>
      </c>
      <c r="E834" t="s">
        <v>116</v>
      </c>
      <c r="F834" t="s">
        <v>30</v>
      </c>
      <c r="G834" t="s">
        <v>139</v>
      </c>
      <c r="H834" t="s">
        <v>72</v>
      </c>
      <c r="I834" t="s">
        <v>43</v>
      </c>
      <c r="J834" t="s">
        <v>34</v>
      </c>
      <c r="K834">
        <v>10</v>
      </c>
      <c r="L834">
        <v>193.73</v>
      </c>
      <c r="M834" s="3">
        <v>0.2</v>
      </c>
      <c r="N834" t="str">
        <f>VLOOKUP(Table1[[#This Row],[Country]],REF_Country!$A$1:$D$11,2,FALSE)</f>
        <v>Southeast Asia</v>
      </c>
      <c r="O834" t="str">
        <f>VLOOKUP(Table1[[#This Row],[Country]],REF_Country!$A$1:$D$11,3,FALSE)</f>
        <v>MY</v>
      </c>
      <c r="P834">
        <f>VLOOKUP(Table1[[#This Row],[Country]],REF_Country!$A$1:$D$11,4,FALSE)</f>
        <v>0.06</v>
      </c>
      <c r="Q834">
        <f>VLOOKUP(Table1[[#This Row],[Category]],REF_Target!$A$1:$E$6,2,FALSE)</f>
        <v>40000</v>
      </c>
      <c r="R834">
        <f>Table1[[#This Row],[Quantity]]*Table1[[#This Row],[Unit_Price]]</f>
        <v>1937.3</v>
      </c>
      <c r="S834">
        <f>Table1[[#This Row],[Gross_Sales]]*Table1[[#This Row],[Discount_Rate]]</f>
        <v>387.46000000000004</v>
      </c>
      <c r="T834">
        <f>Table1[[#This Row],[Gross_Sales]]-Table1[[#This Row],[Discount_Amount]]</f>
        <v>1549.84</v>
      </c>
      <c r="U834">
        <f>VLOOKUP(Table1[[#This Row],[Category]],REF_Cost!$A$1:$B$6,2,FALSE)*Table1[[#This Row],[Quantity]]</f>
        <v>1200</v>
      </c>
      <c r="V834">
        <f>Table1[[#This Row],[Net_Sales]]-Table1[[#This Row],[Total_Cost]]</f>
        <v>349.83999999999992</v>
      </c>
      <c r="W834" t="str">
        <f>TEXT(Table1[[#This Row],[Order_Date]],"mmm")</f>
        <v>Oct</v>
      </c>
      <c r="X834">
        <f>ROUNDUP(MONTH(Table1[[#This Row],[Order_Date]])/3,0)</f>
        <v>4</v>
      </c>
      <c r="Y834">
        <f>YEAR(Table1[[#This Row],[Order_Date]])</f>
        <v>2024</v>
      </c>
    </row>
    <row r="835" spans="1:25" x14ac:dyDescent="0.25">
      <c r="A835" t="s">
        <v>3403</v>
      </c>
      <c r="B835" t="s">
        <v>3404</v>
      </c>
      <c r="C835" t="s">
        <v>3405</v>
      </c>
      <c r="D835" t="s">
        <v>3406</v>
      </c>
      <c r="E835" t="s">
        <v>71</v>
      </c>
      <c r="F835" t="s">
        <v>84</v>
      </c>
      <c r="G835" t="s">
        <v>264</v>
      </c>
      <c r="H835" t="s">
        <v>72</v>
      </c>
      <c r="I835" t="s">
        <v>51</v>
      </c>
      <c r="J835" t="s">
        <v>73</v>
      </c>
      <c r="K835">
        <v>4</v>
      </c>
      <c r="L835">
        <v>1484.62</v>
      </c>
      <c r="M835" s="3">
        <v>0.15</v>
      </c>
      <c r="N835" t="str">
        <f>VLOOKUP(Table1[[#This Row],[Country]],REF_Country!$A$1:$D$11,2,FALSE)</f>
        <v>Southeast Asia</v>
      </c>
      <c r="O835" t="str">
        <f>VLOOKUP(Table1[[#This Row],[Country]],REF_Country!$A$1:$D$11,3,FALSE)</f>
        <v>PH</v>
      </c>
      <c r="P835">
        <f>VLOOKUP(Table1[[#This Row],[Country]],REF_Country!$A$1:$D$11,4,FALSE)</f>
        <v>0.12</v>
      </c>
      <c r="Q835">
        <f>VLOOKUP(Table1[[#This Row],[Category]],REF_Target!$A$1:$E$6,2,FALSE)</f>
        <v>30000</v>
      </c>
      <c r="R835">
        <f>Table1[[#This Row],[Quantity]]*Table1[[#This Row],[Unit_Price]]</f>
        <v>5938.48</v>
      </c>
      <c r="S835">
        <f>Table1[[#This Row],[Gross_Sales]]*Table1[[#This Row],[Discount_Rate]]</f>
        <v>890.77199999999993</v>
      </c>
      <c r="T835">
        <f>Table1[[#This Row],[Gross_Sales]]-Table1[[#This Row],[Discount_Amount]]</f>
        <v>5047.7079999999996</v>
      </c>
      <c r="U835">
        <f>VLOOKUP(Table1[[#This Row],[Category]],REF_Cost!$A$1:$B$6,2,FALSE)*Table1[[#This Row],[Quantity]]</f>
        <v>800</v>
      </c>
      <c r="V835">
        <f>Table1[[#This Row],[Net_Sales]]-Table1[[#This Row],[Total_Cost]]</f>
        <v>4247.7079999999996</v>
      </c>
      <c r="W835" t="str">
        <f>TEXT(Table1[[#This Row],[Order_Date]],"mmm")</f>
        <v>Feb</v>
      </c>
      <c r="X835">
        <f>ROUNDUP(MONTH(Table1[[#This Row],[Order_Date]])/3,0)</f>
        <v>1</v>
      </c>
      <c r="Y835">
        <f>YEAR(Table1[[#This Row],[Order_Date]])</f>
        <v>2024</v>
      </c>
    </row>
    <row r="836" spans="1:25" x14ac:dyDescent="0.25">
      <c r="A836" t="s">
        <v>3407</v>
      </c>
      <c r="B836" t="s">
        <v>3408</v>
      </c>
      <c r="C836" t="s">
        <v>3409</v>
      </c>
      <c r="D836" t="s">
        <v>3410</v>
      </c>
      <c r="E836" t="s">
        <v>29</v>
      </c>
      <c r="F836" t="s">
        <v>40</v>
      </c>
      <c r="G836" t="s">
        <v>315</v>
      </c>
      <c r="H836" t="s">
        <v>32</v>
      </c>
      <c r="I836" t="s">
        <v>96</v>
      </c>
      <c r="J836" t="s">
        <v>126</v>
      </c>
      <c r="K836">
        <v>8</v>
      </c>
      <c r="L836">
        <v>1343.95</v>
      </c>
      <c r="M836" s="3">
        <v>0.2</v>
      </c>
      <c r="N836" t="str">
        <f>VLOOKUP(Table1[[#This Row],[Country]],REF_Country!$A$1:$D$11,2,FALSE)</f>
        <v>Southeast Asia</v>
      </c>
      <c r="O836" t="str">
        <f>VLOOKUP(Table1[[#This Row],[Country]],REF_Country!$A$1:$D$11,3,FALSE)</f>
        <v>VN</v>
      </c>
      <c r="P836">
        <f>VLOOKUP(Table1[[#This Row],[Country]],REF_Country!$A$1:$D$11,4,FALSE)</f>
        <v>0.1</v>
      </c>
      <c r="Q836">
        <f>VLOOKUP(Table1[[#This Row],[Category]],REF_Target!$A$1:$E$6,2,FALSE)</f>
        <v>45000</v>
      </c>
      <c r="R836">
        <f>Table1[[#This Row],[Quantity]]*Table1[[#This Row],[Unit_Price]]</f>
        <v>10751.6</v>
      </c>
      <c r="S836">
        <f>Table1[[#This Row],[Gross_Sales]]*Table1[[#This Row],[Discount_Rate]]</f>
        <v>2150.3200000000002</v>
      </c>
      <c r="T836">
        <f>Table1[[#This Row],[Gross_Sales]]-Table1[[#This Row],[Discount_Amount]]</f>
        <v>8601.2800000000007</v>
      </c>
      <c r="U836">
        <f>VLOOKUP(Table1[[#This Row],[Category]],REF_Cost!$A$1:$B$6,2,FALSE)*Table1[[#This Row],[Quantity]]</f>
        <v>640</v>
      </c>
      <c r="V836">
        <f>Table1[[#This Row],[Net_Sales]]-Table1[[#This Row],[Total_Cost]]</f>
        <v>7961.2800000000007</v>
      </c>
      <c r="W836" t="str">
        <f>TEXT(Table1[[#This Row],[Order_Date]],"mmm")</f>
        <v>Aug</v>
      </c>
      <c r="X836">
        <f>ROUNDUP(MONTH(Table1[[#This Row],[Order_Date]])/3,0)</f>
        <v>3</v>
      </c>
      <c r="Y836">
        <f>YEAR(Table1[[#This Row],[Order_Date]])</f>
        <v>2024</v>
      </c>
    </row>
    <row r="837" spans="1:25" x14ac:dyDescent="0.25">
      <c r="A837" t="s">
        <v>3411</v>
      </c>
      <c r="B837" t="s">
        <v>3412</v>
      </c>
      <c r="C837" t="s">
        <v>3413</v>
      </c>
      <c r="D837" t="s">
        <v>3414</v>
      </c>
      <c r="E837" t="s">
        <v>78</v>
      </c>
      <c r="F837" t="s">
        <v>56</v>
      </c>
      <c r="G837" t="s">
        <v>95</v>
      </c>
      <c r="H837" t="s">
        <v>32</v>
      </c>
      <c r="I837" t="s">
        <v>33</v>
      </c>
      <c r="J837" t="s">
        <v>126</v>
      </c>
      <c r="K837">
        <v>3</v>
      </c>
      <c r="L837">
        <v>904.74</v>
      </c>
      <c r="M837" s="3">
        <v>0.05</v>
      </c>
      <c r="N837" t="str">
        <f>VLOOKUP(Table1[[#This Row],[Country]],REF_Country!$A$1:$D$11,2,FALSE)</f>
        <v>Oceania</v>
      </c>
      <c r="O837" t="str">
        <f>VLOOKUP(Table1[[#This Row],[Country]],REF_Country!$A$1:$D$11,3,FALSE)</f>
        <v>AU</v>
      </c>
      <c r="P837">
        <f>VLOOKUP(Table1[[#This Row],[Country]],REF_Country!$A$1:$D$11,4,FALSE)</f>
        <v>0.1</v>
      </c>
      <c r="Q837">
        <f>VLOOKUP(Table1[[#This Row],[Category]],REF_Target!$A$1:$E$6,2,FALSE)</f>
        <v>50000</v>
      </c>
      <c r="R837">
        <f>Table1[[#This Row],[Quantity]]*Table1[[#This Row],[Unit_Price]]</f>
        <v>2714.2200000000003</v>
      </c>
      <c r="S837">
        <f>Table1[[#This Row],[Gross_Sales]]*Table1[[#This Row],[Discount_Rate]]</f>
        <v>135.71100000000001</v>
      </c>
      <c r="T837">
        <f>Table1[[#This Row],[Gross_Sales]]-Table1[[#This Row],[Discount_Amount]]</f>
        <v>2578.509</v>
      </c>
      <c r="U837">
        <f>VLOOKUP(Table1[[#This Row],[Category]],REF_Cost!$A$1:$B$6,2,FALSE)*Table1[[#This Row],[Quantity]]</f>
        <v>1350</v>
      </c>
      <c r="V837">
        <f>Table1[[#This Row],[Net_Sales]]-Table1[[#This Row],[Total_Cost]]</f>
        <v>1228.509</v>
      </c>
      <c r="W837" t="str">
        <f>TEXT(Table1[[#This Row],[Order_Date]],"mmm")</f>
        <v>Aug</v>
      </c>
      <c r="X837">
        <f>ROUNDUP(MONTH(Table1[[#This Row],[Order_Date]])/3,0)</f>
        <v>3</v>
      </c>
      <c r="Y837">
        <f>YEAR(Table1[[#This Row],[Order_Date]])</f>
        <v>2024</v>
      </c>
    </row>
    <row r="838" spans="1:25" x14ac:dyDescent="0.25">
      <c r="A838" t="s">
        <v>3415</v>
      </c>
      <c r="B838" t="s">
        <v>3416</v>
      </c>
      <c r="C838" t="s">
        <v>3417</v>
      </c>
      <c r="D838" t="s">
        <v>3418</v>
      </c>
      <c r="E838" t="s">
        <v>78</v>
      </c>
      <c r="F838" t="s">
        <v>40</v>
      </c>
      <c r="G838" t="s">
        <v>144</v>
      </c>
      <c r="H838" t="s">
        <v>42</v>
      </c>
      <c r="I838" t="s">
        <v>96</v>
      </c>
      <c r="J838" t="s">
        <v>59</v>
      </c>
      <c r="K838">
        <v>9</v>
      </c>
      <c r="L838">
        <v>260.79000000000002</v>
      </c>
      <c r="M838" s="3">
        <v>0.1</v>
      </c>
      <c r="N838" t="str">
        <f>VLOOKUP(Table1[[#This Row],[Country]],REF_Country!$A$1:$D$11,2,FALSE)</f>
        <v>Oceania</v>
      </c>
      <c r="O838" t="str">
        <f>VLOOKUP(Table1[[#This Row],[Country]],REF_Country!$A$1:$D$11,3,FALSE)</f>
        <v>AU</v>
      </c>
      <c r="P838">
        <f>VLOOKUP(Table1[[#This Row],[Country]],REF_Country!$A$1:$D$11,4,FALSE)</f>
        <v>0.1</v>
      </c>
      <c r="Q838">
        <f>VLOOKUP(Table1[[#This Row],[Category]],REF_Target!$A$1:$E$6,2,FALSE)</f>
        <v>45000</v>
      </c>
      <c r="R838">
        <f>Table1[[#This Row],[Quantity]]*Table1[[#This Row],[Unit_Price]]</f>
        <v>2347.11</v>
      </c>
      <c r="S838">
        <f>Table1[[#This Row],[Gross_Sales]]*Table1[[#This Row],[Discount_Rate]]</f>
        <v>234.71100000000001</v>
      </c>
      <c r="T838">
        <f>Table1[[#This Row],[Gross_Sales]]-Table1[[#This Row],[Discount_Amount]]</f>
        <v>2112.3990000000003</v>
      </c>
      <c r="U838">
        <f>VLOOKUP(Table1[[#This Row],[Category]],REF_Cost!$A$1:$B$6,2,FALSE)*Table1[[#This Row],[Quantity]]</f>
        <v>720</v>
      </c>
      <c r="V838">
        <f>Table1[[#This Row],[Net_Sales]]-Table1[[#This Row],[Total_Cost]]</f>
        <v>1392.3990000000003</v>
      </c>
      <c r="W838" t="str">
        <f>TEXT(Table1[[#This Row],[Order_Date]],"mmm")</f>
        <v>Jul</v>
      </c>
      <c r="X838">
        <f>ROUNDUP(MONTH(Table1[[#This Row],[Order_Date]])/3,0)</f>
        <v>3</v>
      </c>
      <c r="Y838">
        <f>YEAR(Table1[[#This Row],[Order_Date]])</f>
        <v>2024</v>
      </c>
    </row>
    <row r="839" spans="1:25" x14ac:dyDescent="0.25">
      <c r="A839" t="s">
        <v>3419</v>
      </c>
      <c r="B839" t="s">
        <v>3420</v>
      </c>
      <c r="C839" t="s">
        <v>3421</v>
      </c>
      <c r="D839" t="s">
        <v>3422</v>
      </c>
      <c r="E839" t="s">
        <v>83</v>
      </c>
      <c r="F839" t="s">
        <v>30</v>
      </c>
      <c r="G839" t="s">
        <v>139</v>
      </c>
      <c r="H839" t="s">
        <v>58</v>
      </c>
      <c r="I839" t="s">
        <v>66</v>
      </c>
      <c r="J839" t="s">
        <v>73</v>
      </c>
      <c r="K839">
        <v>9</v>
      </c>
      <c r="L839">
        <v>1049.6300000000001</v>
      </c>
      <c r="M839" s="3">
        <v>0.1</v>
      </c>
      <c r="N839" t="str">
        <f>VLOOKUP(Table1[[#This Row],[Country]],REF_Country!$A$1:$D$11,2,FALSE)</f>
        <v>South Asia</v>
      </c>
      <c r="O839" t="str">
        <f>VLOOKUP(Table1[[#This Row],[Country]],REF_Country!$A$1:$D$11,3,FALSE)</f>
        <v>IN</v>
      </c>
      <c r="P839">
        <f>VLOOKUP(Table1[[#This Row],[Country]],REF_Country!$A$1:$D$11,4,FALSE)</f>
        <v>0.18</v>
      </c>
      <c r="Q839">
        <f>VLOOKUP(Table1[[#This Row],[Category]],REF_Target!$A$1:$E$6,2,FALSE)</f>
        <v>40000</v>
      </c>
      <c r="R839">
        <f>Table1[[#This Row],[Quantity]]*Table1[[#This Row],[Unit_Price]]</f>
        <v>9446.6700000000019</v>
      </c>
      <c r="S839">
        <f>Table1[[#This Row],[Gross_Sales]]*Table1[[#This Row],[Discount_Rate]]</f>
        <v>944.66700000000026</v>
      </c>
      <c r="T839">
        <f>Table1[[#This Row],[Gross_Sales]]-Table1[[#This Row],[Discount_Amount]]</f>
        <v>8502.0030000000024</v>
      </c>
      <c r="U839">
        <f>VLOOKUP(Table1[[#This Row],[Category]],REF_Cost!$A$1:$B$6,2,FALSE)*Table1[[#This Row],[Quantity]]</f>
        <v>1080</v>
      </c>
      <c r="V839">
        <f>Table1[[#This Row],[Net_Sales]]-Table1[[#This Row],[Total_Cost]]</f>
        <v>7422.0030000000024</v>
      </c>
      <c r="W839" t="str">
        <f>TEXT(Table1[[#This Row],[Order_Date]],"mmm")</f>
        <v>Apr</v>
      </c>
      <c r="X839">
        <f>ROUNDUP(MONTH(Table1[[#This Row],[Order_Date]])/3,0)</f>
        <v>2</v>
      </c>
      <c r="Y839">
        <f>YEAR(Table1[[#This Row],[Order_Date]])</f>
        <v>2024</v>
      </c>
    </row>
    <row r="840" spans="1:25" x14ac:dyDescent="0.25">
      <c r="A840" t="s">
        <v>3423</v>
      </c>
      <c r="B840" t="s">
        <v>3424</v>
      </c>
      <c r="C840" t="s">
        <v>3425</v>
      </c>
      <c r="D840" t="s">
        <v>3426</v>
      </c>
      <c r="E840" t="s">
        <v>116</v>
      </c>
      <c r="F840" t="s">
        <v>30</v>
      </c>
      <c r="G840" t="s">
        <v>31</v>
      </c>
      <c r="H840" t="s">
        <v>32</v>
      </c>
      <c r="I840" t="s">
        <v>43</v>
      </c>
      <c r="J840" t="s">
        <v>59</v>
      </c>
      <c r="K840">
        <v>4</v>
      </c>
      <c r="L840">
        <v>82.73</v>
      </c>
      <c r="M840" s="3">
        <v>0.05</v>
      </c>
      <c r="N840" t="str">
        <f>VLOOKUP(Table1[[#This Row],[Country]],REF_Country!$A$1:$D$11,2,FALSE)</f>
        <v>Southeast Asia</v>
      </c>
      <c r="O840" t="str">
        <f>VLOOKUP(Table1[[#This Row],[Country]],REF_Country!$A$1:$D$11,3,FALSE)</f>
        <v>MY</v>
      </c>
      <c r="P840">
        <f>VLOOKUP(Table1[[#This Row],[Country]],REF_Country!$A$1:$D$11,4,FALSE)</f>
        <v>0.06</v>
      </c>
      <c r="Q840">
        <f>VLOOKUP(Table1[[#This Row],[Category]],REF_Target!$A$1:$E$6,2,FALSE)</f>
        <v>40000</v>
      </c>
      <c r="R840">
        <f>Table1[[#This Row],[Quantity]]*Table1[[#This Row],[Unit_Price]]</f>
        <v>330.92</v>
      </c>
      <c r="S840">
        <f>Table1[[#This Row],[Gross_Sales]]*Table1[[#This Row],[Discount_Rate]]</f>
        <v>16.546000000000003</v>
      </c>
      <c r="T840">
        <f>Table1[[#This Row],[Gross_Sales]]-Table1[[#This Row],[Discount_Amount]]</f>
        <v>314.37400000000002</v>
      </c>
      <c r="U840">
        <f>VLOOKUP(Table1[[#This Row],[Category]],REF_Cost!$A$1:$B$6,2,FALSE)*Table1[[#This Row],[Quantity]]</f>
        <v>480</v>
      </c>
      <c r="V840">
        <f>Table1[[#This Row],[Net_Sales]]-Table1[[#This Row],[Total_Cost]]</f>
        <v>-165.62599999999998</v>
      </c>
      <c r="W840" t="str">
        <f>TEXT(Table1[[#This Row],[Order_Date]],"mmm")</f>
        <v>Dec</v>
      </c>
      <c r="X840">
        <f>ROUNDUP(MONTH(Table1[[#This Row],[Order_Date]])/3,0)</f>
        <v>4</v>
      </c>
      <c r="Y840">
        <f>YEAR(Table1[[#This Row],[Order_Date]])</f>
        <v>2024</v>
      </c>
    </row>
    <row r="841" spans="1:25" x14ac:dyDescent="0.25">
      <c r="A841" t="s">
        <v>3427</v>
      </c>
      <c r="B841" t="s">
        <v>3428</v>
      </c>
      <c r="C841" t="s">
        <v>3429</v>
      </c>
      <c r="D841" t="s">
        <v>3430</v>
      </c>
      <c r="E841" t="s">
        <v>39</v>
      </c>
      <c r="F841" t="s">
        <v>30</v>
      </c>
      <c r="G841" t="s">
        <v>139</v>
      </c>
      <c r="H841" t="s">
        <v>58</v>
      </c>
      <c r="I841" t="s">
        <v>66</v>
      </c>
      <c r="J841" t="s">
        <v>126</v>
      </c>
      <c r="K841">
        <v>6</v>
      </c>
      <c r="L841">
        <v>187.53</v>
      </c>
      <c r="M841" s="3">
        <v>0.2</v>
      </c>
      <c r="N841" t="str">
        <f>VLOOKUP(Table1[[#This Row],[Country]],REF_Country!$A$1:$D$11,2,FALSE)</f>
        <v>Southeast Asia</v>
      </c>
      <c r="O841" t="str">
        <f>VLOOKUP(Table1[[#This Row],[Country]],REF_Country!$A$1:$D$11,3,FALSE)</f>
        <v>TH</v>
      </c>
      <c r="P841">
        <f>VLOOKUP(Table1[[#This Row],[Country]],REF_Country!$A$1:$D$11,4,FALSE)</f>
        <v>7.0000000000000007E-2</v>
      </c>
      <c r="Q841">
        <f>VLOOKUP(Table1[[#This Row],[Category]],REF_Target!$A$1:$E$6,2,FALSE)</f>
        <v>40000</v>
      </c>
      <c r="R841">
        <f>Table1[[#This Row],[Quantity]]*Table1[[#This Row],[Unit_Price]]</f>
        <v>1125.18</v>
      </c>
      <c r="S841">
        <f>Table1[[#This Row],[Gross_Sales]]*Table1[[#This Row],[Discount_Rate]]</f>
        <v>225.03600000000003</v>
      </c>
      <c r="T841">
        <f>Table1[[#This Row],[Gross_Sales]]-Table1[[#This Row],[Discount_Amount]]</f>
        <v>900.14400000000001</v>
      </c>
      <c r="U841">
        <f>VLOOKUP(Table1[[#This Row],[Category]],REF_Cost!$A$1:$B$6,2,FALSE)*Table1[[#This Row],[Quantity]]</f>
        <v>720</v>
      </c>
      <c r="V841">
        <f>Table1[[#This Row],[Net_Sales]]-Table1[[#This Row],[Total_Cost]]</f>
        <v>180.14400000000001</v>
      </c>
      <c r="W841" t="str">
        <f>TEXT(Table1[[#This Row],[Order_Date]],"mmm")</f>
        <v>May</v>
      </c>
      <c r="X841">
        <f>ROUNDUP(MONTH(Table1[[#This Row],[Order_Date]])/3,0)</f>
        <v>2</v>
      </c>
      <c r="Y841">
        <f>YEAR(Table1[[#This Row],[Order_Date]])</f>
        <v>2024</v>
      </c>
    </row>
    <row r="842" spans="1:25" x14ac:dyDescent="0.25">
      <c r="A842" t="s">
        <v>3431</v>
      </c>
      <c r="B842" t="s">
        <v>3432</v>
      </c>
      <c r="C842" t="s">
        <v>3433</v>
      </c>
      <c r="D842" t="s">
        <v>3434</v>
      </c>
      <c r="E842" t="s">
        <v>149</v>
      </c>
      <c r="F842" t="s">
        <v>40</v>
      </c>
      <c r="G842" t="s">
        <v>315</v>
      </c>
      <c r="H842" t="s">
        <v>32</v>
      </c>
      <c r="I842" t="s">
        <v>66</v>
      </c>
      <c r="J842" t="s">
        <v>73</v>
      </c>
      <c r="K842">
        <v>1</v>
      </c>
      <c r="L842">
        <v>497.08</v>
      </c>
      <c r="M842" s="3">
        <v>0.2</v>
      </c>
      <c r="N842" t="str">
        <f>VLOOKUP(Table1[[#This Row],[Country]],REF_Country!$A$1:$D$11,2,FALSE)</f>
        <v>East Asia</v>
      </c>
      <c r="O842" t="str">
        <f>VLOOKUP(Table1[[#This Row],[Country]],REF_Country!$A$1:$D$11,3,FALSE)</f>
        <v>JP</v>
      </c>
      <c r="P842">
        <f>VLOOKUP(Table1[[#This Row],[Country]],REF_Country!$A$1:$D$11,4,FALSE)</f>
        <v>0.1</v>
      </c>
      <c r="Q842">
        <f>VLOOKUP(Table1[[#This Row],[Category]],REF_Target!$A$1:$E$6,2,FALSE)</f>
        <v>45000</v>
      </c>
      <c r="R842">
        <f>Table1[[#This Row],[Quantity]]*Table1[[#This Row],[Unit_Price]]</f>
        <v>497.08</v>
      </c>
      <c r="S842">
        <f>Table1[[#This Row],[Gross_Sales]]*Table1[[#This Row],[Discount_Rate]]</f>
        <v>99.415999999999997</v>
      </c>
      <c r="T842">
        <f>Table1[[#This Row],[Gross_Sales]]-Table1[[#This Row],[Discount_Amount]]</f>
        <v>397.66399999999999</v>
      </c>
      <c r="U842">
        <f>VLOOKUP(Table1[[#This Row],[Category]],REF_Cost!$A$1:$B$6,2,FALSE)*Table1[[#This Row],[Quantity]]</f>
        <v>80</v>
      </c>
      <c r="V842">
        <f>Table1[[#This Row],[Net_Sales]]-Table1[[#This Row],[Total_Cost]]</f>
        <v>317.66399999999999</v>
      </c>
      <c r="W842" t="str">
        <f>TEXT(Table1[[#This Row],[Order_Date]],"mmm")</f>
        <v>May</v>
      </c>
      <c r="X842">
        <f>ROUNDUP(MONTH(Table1[[#This Row],[Order_Date]])/3,0)</f>
        <v>2</v>
      </c>
      <c r="Y842">
        <f>YEAR(Table1[[#This Row],[Order_Date]])</f>
        <v>2024</v>
      </c>
    </row>
    <row r="843" spans="1:25" x14ac:dyDescent="0.25">
      <c r="A843" t="s">
        <v>3435</v>
      </c>
      <c r="B843" t="s">
        <v>3436</v>
      </c>
      <c r="C843" t="s">
        <v>3437</v>
      </c>
      <c r="D843" t="s">
        <v>3438</v>
      </c>
      <c r="E843" t="s">
        <v>78</v>
      </c>
      <c r="F843" t="s">
        <v>40</v>
      </c>
      <c r="G843" t="s">
        <v>144</v>
      </c>
      <c r="H843" t="s">
        <v>58</v>
      </c>
      <c r="I843" t="s">
        <v>33</v>
      </c>
      <c r="J843" t="s">
        <v>73</v>
      </c>
      <c r="K843">
        <v>7</v>
      </c>
      <c r="L843">
        <v>1088.06</v>
      </c>
      <c r="M843" s="3">
        <v>0.2</v>
      </c>
      <c r="N843" t="str">
        <f>VLOOKUP(Table1[[#This Row],[Country]],REF_Country!$A$1:$D$11,2,FALSE)</f>
        <v>Oceania</v>
      </c>
      <c r="O843" t="str">
        <f>VLOOKUP(Table1[[#This Row],[Country]],REF_Country!$A$1:$D$11,3,FALSE)</f>
        <v>AU</v>
      </c>
      <c r="P843">
        <f>VLOOKUP(Table1[[#This Row],[Country]],REF_Country!$A$1:$D$11,4,FALSE)</f>
        <v>0.1</v>
      </c>
      <c r="Q843">
        <f>VLOOKUP(Table1[[#This Row],[Category]],REF_Target!$A$1:$E$6,2,FALSE)</f>
        <v>45000</v>
      </c>
      <c r="R843">
        <f>Table1[[#This Row],[Quantity]]*Table1[[#This Row],[Unit_Price]]</f>
        <v>7616.42</v>
      </c>
      <c r="S843">
        <f>Table1[[#This Row],[Gross_Sales]]*Table1[[#This Row],[Discount_Rate]]</f>
        <v>1523.2840000000001</v>
      </c>
      <c r="T843">
        <f>Table1[[#This Row],[Gross_Sales]]-Table1[[#This Row],[Discount_Amount]]</f>
        <v>6093.1360000000004</v>
      </c>
      <c r="U843">
        <f>VLOOKUP(Table1[[#This Row],[Category]],REF_Cost!$A$1:$B$6,2,FALSE)*Table1[[#This Row],[Quantity]]</f>
        <v>560</v>
      </c>
      <c r="V843">
        <f>Table1[[#This Row],[Net_Sales]]-Table1[[#This Row],[Total_Cost]]</f>
        <v>5533.1360000000004</v>
      </c>
      <c r="W843" t="str">
        <f>TEXT(Table1[[#This Row],[Order_Date]],"mmm")</f>
        <v>Mar</v>
      </c>
      <c r="X843">
        <f>ROUNDUP(MONTH(Table1[[#This Row],[Order_Date]])/3,0)</f>
        <v>1</v>
      </c>
      <c r="Y843">
        <f>YEAR(Table1[[#This Row],[Order_Date]])</f>
        <v>2024</v>
      </c>
    </row>
    <row r="844" spans="1:25" x14ac:dyDescent="0.25">
      <c r="A844" t="s">
        <v>3439</v>
      </c>
      <c r="B844" t="s">
        <v>3440</v>
      </c>
      <c r="C844" t="s">
        <v>3441</v>
      </c>
      <c r="D844" t="s">
        <v>3442</v>
      </c>
      <c r="E844" t="s">
        <v>39</v>
      </c>
      <c r="F844" t="s">
        <v>40</v>
      </c>
      <c r="G844" t="s">
        <v>565</v>
      </c>
      <c r="H844" t="s">
        <v>42</v>
      </c>
      <c r="I844" t="s">
        <v>66</v>
      </c>
      <c r="J844" t="s">
        <v>73</v>
      </c>
      <c r="K844">
        <v>4</v>
      </c>
      <c r="L844">
        <v>246.13</v>
      </c>
      <c r="M844" s="3">
        <v>0.2</v>
      </c>
      <c r="N844" t="str">
        <f>VLOOKUP(Table1[[#This Row],[Country]],REF_Country!$A$1:$D$11,2,FALSE)</f>
        <v>Southeast Asia</v>
      </c>
      <c r="O844" t="str">
        <f>VLOOKUP(Table1[[#This Row],[Country]],REF_Country!$A$1:$D$11,3,FALSE)</f>
        <v>TH</v>
      </c>
      <c r="P844">
        <f>VLOOKUP(Table1[[#This Row],[Country]],REF_Country!$A$1:$D$11,4,FALSE)</f>
        <v>7.0000000000000007E-2</v>
      </c>
      <c r="Q844">
        <f>VLOOKUP(Table1[[#This Row],[Category]],REF_Target!$A$1:$E$6,2,FALSE)</f>
        <v>45000</v>
      </c>
      <c r="R844">
        <f>Table1[[#This Row],[Quantity]]*Table1[[#This Row],[Unit_Price]]</f>
        <v>984.52</v>
      </c>
      <c r="S844">
        <f>Table1[[#This Row],[Gross_Sales]]*Table1[[#This Row],[Discount_Rate]]</f>
        <v>196.904</v>
      </c>
      <c r="T844">
        <f>Table1[[#This Row],[Gross_Sales]]-Table1[[#This Row],[Discount_Amount]]</f>
        <v>787.61599999999999</v>
      </c>
      <c r="U844">
        <f>VLOOKUP(Table1[[#This Row],[Category]],REF_Cost!$A$1:$B$6,2,FALSE)*Table1[[#This Row],[Quantity]]</f>
        <v>320</v>
      </c>
      <c r="V844">
        <f>Table1[[#This Row],[Net_Sales]]-Table1[[#This Row],[Total_Cost]]</f>
        <v>467.61599999999999</v>
      </c>
      <c r="W844" t="str">
        <f>TEXT(Table1[[#This Row],[Order_Date]],"mmm")</f>
        <v>Apr</v>
      </c>
      <c r="X844">
        <f>ROUNDUP(MONTH(Table1[[#This Row],[Order_Date]])/3,0)</f>
        <v>2</v>
      </c>
      <c r="Y844">
        <f>YEAR(Table1[[#This Row],[Order_Date]])</f>
        <v>2024</v>
      </c>
    </row>
    <row r="845" spans="1:25" x14ac:dyDescent="0.25">
      <c r="A845" t="s">
        <v>3443</v>
      </c>
      <c r="B845" t="s">
        <v>3444</v>
      </c>
      <c r="C845" t="s">
        <v>3445</v>
      </c>
      <c r="D845" t="s">
        <v>3446</v>
      </c>
      <c r="E845" t="s">
        <v>200</v>
      </c>
      <c r="F845" t="s">
        <v>30</v>
      </c>
      <c r="G845" t="s">
        <v>31</v>
      </c>
      <c r="H845" t="s">
        <v>72</v>
      </c>
      <c r="I845" t="s">
        <v>66</v>
      </c>
      <c r="J845" t="s">
        <v>126</v>
      </c>
      <c r="K845">
        <v>8</v>
      </c>
      <c r="L845">
        <v>295.45999999999998</v>
      </c>
      <c r="M845" s="3">
        <v>0.2</v>
      </c>
      <c r="N845" t="str">
        <f>VLOOKUP(Table1[[#This Row],[Country]],REF_Country!$A$1:$D$11,2,FALSE)</f>
        <v>East Asia</v>
      </c>
      <c r="O845" t="str">
        <f>VLOOKUP(Table1[[#This Row],[Country]],REF_Country!$A$1:$D$11,3,FALSE)</f>
        <v>KR</v>
      </c>
      <c r="P845">
        <f>VLOOKUP(Table1[[#This Row],[Country]],REF_Country!$A$1:$D$11,4,FALSE)</f>
        <v>0.1</v>
      </c>
      <c r="Q845">
        <f>VLOOKUP(Table1[[#This Row],[Category]],REF_Target!$A$1:$E$6,2,FALSE)</f>
        <v>40000</v>
      </c>
      <c r="R845">
        <f>Table1[[#This Row],[Quantity]]*Table1[[#This Row],[Unit_Price]]</f>
        <v>2363.6799999999998</v>
      </c>
      <c r="S845">
        <f>Table1[[#This Row],[Gross_Sales]]*Table1[[#This Row],[Discount_Rate]]</f>
        <v>472.73599999999999</v>
      </c>
      <c r="T845">
        <f>Table1[[#This Row],[Gross_Sales]]-Table1[[#This Row],[Discount_Amount]]</f>
        <v>1890.944</v>
      </c>
      <c r="U845">
        <f>VLOOKUP(Table1[[#This Row],[Category]],REF_Cost!$A$1:$B$6,2,FALSE)*Table1[[#This Row],[Quantity]]</f>
        <v>960</v>
      </c>
      <c r="V845">
        <f>Table1[[#This Row],[Net_Sales]]-Table1[[#This Row],[Total_Cost]]</f>
        <v>930.94399999999996</v>
      </c>
      <c r="W845" t="str">
        <f>TEXT(Table1[[#This Row],[Order_Date]],"mmm")</f>
        <v>Feb</v>
      </c>
      <c r="X845">
        <f>ROUNDUP(MONTH(Table1[[#This Row],[Order_Date]])/3,0)</f>
        <v>1</v>
      </c>
      <c r="Y845">
        <f>YEAR(Table1[[#This Row],[Order_Date]])</f>
        <v>2024</v>
      </c>
    </row>
    <row r="846" spans="1:25" x14ac:dyDescent="0.25">
      <c r="A846" t="s">
        <v>3447</v>
      </c>
      <c r="B846" t="s">
        <v>3448</v>
      </c>
      <c r="C846" t="s">
        <v>3449</v>
      </c>
      <c r="D846" t="s">
        <v>3450</v>
      </c>
      <c r="E846" t="s">
        <v>149</v>
      </c>
      <c r="F846" t="s">
        <v>40</v>
      </c>
      <c r="G846" t="s">
        <v>106</v>
      </c>
      <c r="H846" t="s">
        <v>72</v>
      </c>
      <c r="I846" t="s">
        <v>96</v>
      </c>
      <c r="J846" t="s">
        <v>34</v>
      </c>
      <c r="K846">
        <v>2</v>
      </c>
      <c r="L846">
        <v>118.14</v>
      </c>
      <c r="M846" s="3">
        <v>0.1</v>
      </c>
      <c r="N846" t="str">
        <f>VLOOKUP(Table1[[#This Row],[Country]],REF_Country!$A$1:$D$11,2,FALSE)</f>
        <v>East Asia</v>
      </c>
      <c r="O846" t="str">
        <f>VLOOKUP(Table1[[#This Row],[Country]],REF_Country!$A$1:$D$11,3,FALSE)</f>
        <v>JP</v>
      </c>
      <c r="P846">
        <f>VLOOKUP(Table1[[#This Row],[Country]],REF_Country!$A$1:$D$11,4,FALSE)</f>
        <v>0.1</v>
      </c>
      <c r="Q846">
        <f>VLOOKUP(Table1[[#This Row],[Category]],REF_Target!$A$1:$E$6,2,FALSE)</f>
        <v>45000</v>
      </c>
      <c r="R846">
        <f>Table1[[#This Row],[Quantity]]*Table1[[#This Row],[Unit_Price]]</f>
        <v>236.28</v>
      </c>
      <c r="S846">
        <f>Table1[[#This Row],[Gross_Sales]]*Table1[[#This Row],[Discount_Rate]]</f>
        <v>23.628</v>
      </c>
      <c r="T846">
        <f>Table1[[#This Row],[Gross_Sales]]-Table1[[#This Row],[Discount_Amount]]</f>
        <v>212.65199999999999</v>
      </c>
      <c r="U846">
        <f>VLOOKUP(Table1[[#This Row],[Category]],REF_Cost!$A$1:$B$6,2,FALSE)*Table1[[#This Row],[Quantity]]</f>
        <v>160</v>
      </c>
      <c r="V846">
        <f>Table1[[#This Row],[Net_Sales]]-Table1[[#This Row],[Total_Cost]]</f>
        <v>52.651999999999987</v>
      </c>
      <c r="W846" t="str">
        <f>TEXT(Table1[[#This Row],[Order_Date]],"mmm")</f>
        <v>Mar</v>
      </c>
      <c r="X846">
        <f>ROUNDUP(MONTH(Table1[[#This Row],[Order_Date]])/3,0)</f>
        <v>1</v>
      </c>
      <c r="Y846">
        <f>YEAR(Table1[[#This Row],[Order_Date]])</f>
        <v>2024</v>
      </c>
    </row>
    <row r="847" spans="1:25" x14ac:dyDescent="0.25">
      <c r="A847" t="s">
        <v>3451</v>
      </c>
      <c r="B847" t="s">
        <v>3452</v>
      </c>
      <c r="C847" t="s">
        <v>3453</v>
      </c>
      <c r="D847" t="s">
        <v>3454</v>
      </c>
      <c r="E847" t="s">
        <v>64</v>
      </c>
      <c r="F847" t="s">
        <v>40</v>
      </c>
      <c r="G847" t="s">
        <v>144</v>
      </c>
      <c r="H847" t="s">
        <v>32</v>
      </c>
      <c r="I847" t="s">
        <v>51</v>
      </c>
      <c r="J847" t="s">
        <v>73</v>
      </c>
      <c r="K847">
        <v>1</v>
      </c>
      <c r="L847">
        <v>576.14</v>
      </c>
      <c r="M847" s="3">
        <v>0</v>
      </c>
      <c r="N847" t="str">
        <f>VLOOKUP(Table1[[#This Row],[Country]],REF_Country!$A$1:$D$11,2,FALSE)</f>
        <v>Southeast Asia</v>
      </c>
      <c r="O847" t="str">
        <f>VLOOKUP(Table1[[#This Row],[Country]],REF_Country!$A$1:$D$11,3,FALSE)</f>
        <v>ID</v>
      </c>
      <c r="P847">
        <f>VLOOKUP(Table1[[#This Row],[Country]],REF_Country!$A$1:$D$11,4,FALSE)</f>
        <v>0.11</v>
      </c>
      <c r="Q847">
        <f>VLOOKUP(Table1[[#This Row],[Category]],REF_Target!$A$1:$E$6,2,FALSE)</f>
        <v>45000</v>
      </c>
      <c r="R847">
        <f>Table1[[#This Row],[Quantity]]*Table1[[#This Row],[Unit_Price]]</f>
        <v>576.14</v>
      </c>
      <c r="S847">
        <f>Table1[[#This Row],[Gross_Sales]]*Table1[[#This Row],[Discount_Rate]]</f>
        <v>0</v>
      </c>
      <c r="T847">
        <f>Table1[[#This Row],[Gross_Sales]]-Table1[[#This Row],[Discount_Amount]]</f>
        <v>576.14</v>
      </c>
      <c r="U847">
        <f>VLOOKUP(Table1[[#This Row],[Category]],REF_Cost!$A$1:$B$6,2,FALSE)*Table1[[#This Row],[Quantity]]</f>
        <v>80</v>
      </c>
      <c r="V847">
        <f>Table1[[#This Row],[Net_Sales]]-Table1[[#This Row],[Total_Cost]]</f>
        <v>496.14</v>
      </c>
      <c r="W847" t="str">
        <f>TEXT(Table1[[#This Row],[Order_Date]],"mmm")</f>
        <v>Sep</v>
      </c>
      <c r="X847">
        <f>ROUNDUP(MONTH(Table1[[#This Row],[Order_Date]])/3,0)</f>
        <v>3</v>
      </c>
      <c r="Y847">
        <f>YEAR(Table1[[#This Row],[Order_Date]])</f>
        <v>2024</v>
      </c>
    </row>
    <row r="848" spans="1:25" x14ac:dyDescent="0.25">
      <c r="A848" t="s">
        <v>3455</v>
      </c>
      <c r="B848" t="s">
        <v>3456</v>
      </c>
      <c r="C848" t="s">
        <v>3457</v>
      </c>
      <c r="D848" t="s">
        <v>3458</v>
      </c>
      <c r="E848" t="s">
        <v>83</v>
      </c>
      <c r="F848" t="s">
        <v>56</v>
      </c>
      <c r="G848" t="s">
        <v>101</v>
      </c>
      <c r="H848" t="s">
        <v>58</v>
      </c>
      <c r="I848" t="s">
        <v>51</v>
      </c>
      <c r="J848" t="s">
        <v>73</v>
      </c>
      <c r="K848">
        <v>2</v>
      </c>
      <c r="L848">
        <v>1437.06</v>
      </c>
      <c r="M848" s="3">
        <v>0.15</v>
      </c>
      <c r="N848" t="str">
        <f>VLOOKUP(Table1[[#This Row],[Country]],REF_Country!$A$1:$D$11,2,FALSE)</f>
        <v>South Asia</v>
      </c>
      <c r="O848" t="str">
        <f>VLOOKUP(Table1[[#This Row],[Country]],REF_Country!$A$1:$D$11,3,FALSE)</f>
        <v>IN</v>
      </c>
      <c r="P848">
        <f>VLOOKUP(Table1[[#This Row],[Country]],REF_Country!$A$1:$D$11,4,FALSE)</f>
        <v>0.18</v>
      </c>
      <c r="Q848">
        <f>VLOOKUP(Table1[[#This Row],[Category]],REF_Target!$A$1:$E$6,2,FALSE)</f>
        <v>50000</v>
      </c>
      <c r="R848">
        <f>Table1[[#This Row],[Quantity]]*Table1[[#This Row],[Unit_Price]]</f>
        <v>2874.12</v>
      </c>
      <c r="S848">
        <f>Table1[[#This Row],[Gross_Sales]]*Table1[[#This Row],[Discount_Rate]]</f>
        <v>431.11799999999999</v>
      </c>
      <c r="T848">
        <f>Table1[[#This Row],[Gross_Sales]]-Table1[[#This Row],[Discount_Amount]]</f>
        <v>2443.002</v>
      </c>
      <c r="U848">
        <f>VLOOKUP(Table1[[#This Row],[Category]],REF_Cost!$A$1:$B$6,2,FALSE)*Table1[[#This Row],[Quantity]]</f>
        <v>900</v>
      </c>
      <c r="V848">
        <f>Table1[[#This Row],[Net_Sales]]-Table1[[#This Row],[Total_Cost]]</f>
        <v>1543.002</v>
      </c>
      <c r="W848" t="str">
        <f>TEXT(Table1[[#This Row],[Order_Date]],"mmm")</f>
        <v>Feb</v>
      </c>
      <c r="X848">
        <f>ROUNDUP(MONTH(Table1[[#This Row],[Order_Date]])/3,0)</f>
        <v>1</v>
      </c>
      <c r="Y848">
        <f>YEAR(Table1[[#This Row],[Order_Date]])</f>
        <v>2024</v>
      </c>
    </row>
    <row r="849" spans="1:25" x14ac:dyDescent="0.25">
      <c r="A849" t="s">
        <v>3459</v>
      </c>
      <c r="B849" t="s">
        <v>3460</v>
      </c>
      <c r="C849" t="s">
        <v>3461</v>
      </c>
      <c r="D849" t="s">
        <v>3462</v>
      </c>
      <c r="E849" t="s">
        <v>200</v>
      </c>
      <c r="F849" t="s">
        <v>30</v>
      </c>
      <c r="G849" t="s">
        <v>65</v>
      </c>
      <c r="H849" t="s">
        <v>32</v>
      </c>
      <c r="I849" t="s">
        <v>33</v>
      </c>
      <c r="J849" t="s">
        <v>59</v>
      </c>
      <c r="K849">
        <v>3</v>
      </c>
      <c r="L849">
        <v>507.66</v>
      </c>
      <c r="M849" s="3">
        <v>0</v>
      </c>
      <c r="N849" t="str">
        <f>VLOOKUP(Table1[[#This Row],[Country]],REF_Country!$A$1:$D$11,2,FALSE)</f>
        <v>East Asia</v>
      </c>
      <c r="O849" t="str">
        <f>VLOOKUP(Table1[[#This Row],[Country]],REF_Country!$A$1:$D$11,3,FALSE)</f>
        <v>KR</v>
      </c>
      <c r="P849">
        <f>VLOOKUP(Table1[[#This Row],[Country]],REF_Country!$A$1:$D$11,4,FALSE)</f>
        <v>0.1</v>
      </c>
      <c r="Q849">
        <f>VLOOKUP(Table1[[#This Row],[Category]],REF_Target!$A$1:$E$6,2,FALSE)</f>
        <v>40000</v>
      </c>
      <c r="R849">
        <f>Table1[[#This Row],[Quantity]]*Table1[[#This Row],[Unit_Price]]</f>
        <v>1522.98</v>
      </c>
      <c r="S849">
        <f>Table1[[#This Row],[Gross_Sales]]*Table1[[#This Row],[Discount_Rate]]</f>
        <v>0</v>
      </c>
      <c r="T849">
        <f>Table1[[#This Row],[Gross_Sales]]-Table1[[#This Row],[Discount_Amount]]</f>
        <v>1522.98</v>
      </c>
      <c r="U849">
        <f>VLOOKUP(Table1[[#This Row],[Category]],REF_Cost!$A$1:$B$6,2,FALSE)*Table1[[#This Row],[Quantity]]</f>
        <v>360</v>
      </c>
      <c r="V849">
        <f>Table1[[#This Row],[Net_Sales]]-Table1[[#This Row],[Total_Cost]]</f>
        <v>1162.98</v>
      </c>
      <c r="W849" t="str">
        <f>TEXT(Table1[[#This Row],[Order_Date]],"mmm")</f>
        <v>Sep</v>
      </c>
      <c r="X849">
        <f>ROUNDUP(MONTH(Table1[[#This Row],[Order_Date]])/3,0)</f>
        <v>3</v>
      </c>
      <c r="Y849">
        <f>YEAR(Table1[[#This Row],[Order_Date]])</f>
        <v>2024</v>
      </c>
    </row>
    <row r="850" spans="1:25" x14ac:dyDescent="0.25">
      <c r="A850" t="s">
        <v>3463</v>
      </c>
      <c r="B850" t="s">
        <v>3464</v>
      </c>
      <c r="C850" t="s">
        <v>3465</v>
      </c>
      <c r="D850" t="s">
        <v>3466</v>
      </c>
      <c r="E850" t="s">
        <v>64</v>
      </c>
      <c r="F850" t="s">
        <v>56</v>
      </c>
      <c r="G850" t="s">
        <v>111</v>
      </c>
      <c r="H850" t="s">
        <v>72</v>
      </c>
      <c r="I850" t="s">
        <v>51</v>
      </c>
      <c r="J850" t="s">
        <v>73</v>
      </c>
      <c r="K850">
        <v>9</v>
      </c>
      <c r="L850">
        <v>455.66</v>
      </c>
      <c r="M850" s="3">
        <v>0.1</v>
      </c>
      <c r="N850" t="str">
        <f>VLOOKUP(Table1[[#This Row],[Country]],REF_Country!$A$1:$D$11,2,FALSE)</f>
        <v>Southeast Asia</v>
      </c>
      <c r="O850" t="str">
        <f>VLOOKUP(Table1[[#This Row],[Country]],REF_Country!$A$1:$D$11,3,FALSE)</f>
        <v>ID</v>
      </c>
      <c r="P850">
        <f>VLOOKUP(Table1[[#This Row],[Country]],REF_Country!$A$1:$D$11,4,FALSE)</f>
        <v>0.11</v>
      </c>
      <c r="Q850">
        <f>VLOOKUP(Table1[[#This Row],[Category]],REF_Target!$A$1:$E$6,2,FALSE)</f>
        <v>50000</v>
      </c>
      <c r="R850">
        <f>Table1[[#This Row],[Quantity]]*Table1[[#This Row],[Unit_Price]]</f>
        <v>4100.9400000000005</v>
      </c>
      <c r="S850">
        <f>Table1[[#This Row],[Gross_Sales]]*Table1[[#This Row],[Discount_Rate]]</f>
        <v>410.09400000000005</v>
      </c>
      <c r="T850">
        <f>Table1[[#This Row],[Gross_Sales]]-Table1[[#This Row],[Discount_Amount]]</f>
        <v>3690.8460000000005</v>
      </c>
      <c r="U850">
        <f>VLOOKUP(Table1[[#This Row],[Category]],REF_Cost!$A$1:$B$6,2,FALSE)*Table1[[#This Row],[Quantity]]</f>
        <v>4050</v>
      </c>
      <c r="V850">
        <f>Table1[[#This Row],[Net_Sales]]-Table1[[#This Row],[Total_Cost]]</f>
        <v>-359.15399999999954</v>
      </c>
      <c r="W850" t="str">
        <f>TEXT(Table1[[#This Row],[Order_Date]],"mmm")</f>
        <v>Oct</v>
      </c>
      <c r="X850">
        <f>ROUNDUP(MONTH(Table1[[#This Row],[Order_Date]])/3,0)</f>
        <v>4</v>
      </c>
      <c r="Y850">
        <f>YEAR(Table1[[#This Row],[Order_Date]])</f>
        <v>2024</v>
      </c>
    </row>
    <row r="851" spans="1:25" x14ac:dyDescent="0.25">
      <c r="A851" t="s">
        <v>3467</v>
      </c>
      <c r="B851" t="s">
        <v>3468</v>
      </c>
      <c r="C851" t="s">
        <v>3469</v>
      </c>
      <c r="D851" t="s">
        <v>3470</v>
      </c>
      <c r="E851" t="s">
        <v>48</v>
      </c>
      <c r="F851" t="s">
        <v>84</v>
      </c>
      <c r="G851" t="s">
        <v>412</v>
      </c>
      <c r="H851" t="s">
        <v>32</v>
      </c>
      <c r="I851" t="s">
        <v>96</v>
      </c>
      <c r="J851" t="s">
        <v>73</v>
      </c>
      <c r="K851">
        <v>7</v>
      </c>
      <c r="L851">
        <v>350.44</v>
      </c>
      <c r="M851" s="3">
        <v>0.2</v>
      </c>
      <c r="N851" t="str">
        <f>VLOOKUP(Table1[[#This Row],[Country]],REF_Country!$A$1:$D$11,2,FALSE)</f>
        <v>Southeast Asia</v>
      </c>
      <c r="O851" t="str">
        <f>VLOOKUP(Table1[[#This Row],[Country]],REF_Country!$A$1:$D$11,3,FALSE)</f>
        <v>SG</v>
      </c>
      <c r="P851">
        <f>VLOOKUP(Table1[[#This Row],[Country]],REF_Country!$A$1:$D$11,4,FALSE)</f>
        <v>7.0000000000000007E-2</v>
      </c>
      <c r="Q851">
        <f>VLOOKUP(Table1[[#This Row],[Category]],REF_Target!$A$1:$E$6,2,FALSE)</f>
        <v>30000</v>
      </c>
      <c r="R851">
        <f>Table1[[#This Row],[Quantity]]*Table1[[#This Row],[Unit_Price]]</f>
        <v>2453.08</v>
      </c>
      <c r="S851">
        <f>Table1[[#This Row],[Gross_Sales]]*Table1[[#This Row],[Discount_Rate]]</f>
        <v>490.61599999999999</v>
      </c>
      <c r="T851">
        <f>Table1[[#This Row],[Gross_Sales]]-Table1[[#This Row],[Discount_Amount]]</f>
        <v>1962.4639999999999</v>
      </c>
      <c r="U851">
        <f>VLOOKUP(Table1[[#This Row],[Category]],REF_Cost!$A$1:$B$6,2,FALSE)*Table1[[#This Row],[Quantity]]</f>
        <v>1400</v>
      </c>
      <c r="V851">
        <f>Table1[[#This Row],[Net_Sales]]-Table1[[#This Row],[Total_Cost]]</f>
        <v>562.46399999999994</v>
      </c>
      <c r="W851" t="str">
        <f>TEXT(Table1[[#This Row],[Order_Date]],"mmm")</f>
        <v>Apr</v>
      </c>
      <c r="X851">
        <f>ROUNDUP(MONTH(Table1[[#This Row],[Order_Date]])/3,0)</f>
        <v>2</v>
      </c>
      <c r="Y851">
        <f>YEAR(Table1[[#This Row],[Order_Date]])</f>
        <v>2024</v>
      </c>
    </row>
    <row r="852" spans="1:25" x14ac:dyDescent="0.25">
      <c r="A852" t="s">
        <v>3471</v>
      </c>
      <c r="B852" t="s">
        <v>3472</v>
      </c>
      <c r="C852" t="s">
        <v>3473</v>
      </c>
      <c r="D852" t="s">
        <v>3474</v>
      </c>
      <c r="E852" t="s">
        <v>71</v>
      </c>
      <c r="F852" t="s">
        <v>56</v>
      </c>
      <c r="G852" t="s">
        <v>111</v>
      </c>
      <c r="H852" t="s">
        <v>32</v>
      </c>
      <c r="I852" t="s">
        <v>33</v>
      </c>
      <c r="J852" t="s">
        <v>73</v>
      </c>
      <c r="K852">
        <v>6</v>
      </c>
      <c r="L852">
        <v>510.58</v>
      </c>
      <c r="M852" s="3">
        <v>0</v>
      </c>
      <c r="N852" t="str">
        <f>VLOOKUP(Table1[[#This Row],[Country]],REF_Country!$A$1:$D$11,2,FALSE)</f>
        <v>Southeast Asia</v>
      </c>
      <c r="O852" t="str">
        <f>VLOOKUP(Table1[[#This Row],[Country]],REF_Country!$A$1:$D$11,3,FALSE)</f>
        <v>PH</v>
      </c>
      <c r="P852">
        <f>VLOOKUP(Table1[[#This Row],[Country]],REF_Country!$A$1:$D$11,4,FALSE)</f>
        <v>0.12</v>
      </c>
      <c r="Q852">
        <f>VLOOKUP(Table1[[#This Row],[Category]],REF_Target!$A$1:$E$6,2,FALSE)</f>
        <v>50000</v>
      </c>
      <c r="R852">
        <f>Table1[[#This Row],[Quantity]]*Table1[[#This Row],[Unit_Price]]</f>
        <v>3063.48</v>
      </c>
      <c r="S852">
        <f>Table1[[#This Row],[Gross_Sales]]*Table1[[#This Row],[Discount_Rate]]</f>
        <v>0</v>
      </c>
      <c r="T852">
        <f>Table1[[#This Row],[Gross_Sales]]-Table1[[#This Row],[Discount_Amount]]</f>
        <v>3063.48</v>
      </c>
      <c r="U852">
        <f>VLOOKUP(Table1[[#This Row],[Category]],REF_Cost!$A$1:$B$6,2,FALSE)*Table1[[#This Row],[Quantity]]</f>
        <v>2700</v>
      </c>
      <c r="V852">
        <f>Table1[[#This Row],[Net_Sales]]-Table1[[#This Row],[Total_Cost]]</f>
        <v>363.48</v>
      </c>
      <c r="W852" t="str">
        <f>TEXT(Table1[[#This Row],[Order_Date]],"mmm")</f>
        <v>Apr</v>
      </c>
      <c r="X852">
        <f>ROUNDUP(MONTH(Table1[[#This Row],[Order_Date]])/3,0)</f>
        <v>2</v>
      </c>
      <c r="Y852">
        <f>YEAR(Table1[[#This Row],[Order_Date]])</f>
        <v>2024</v>
      </c>
    </row>
    <row r="853" spans="1:25" x14ac:dyDescent="0.25">
      <c r="A853" t="s">
        <v>3475</v>
      </c>
      <c r="B853" t="s">
        <v>3476</v>
      </c>
      <c r="C853" t="s">
        <v>3477</v>
      </c>
      <c r="D853" t="s">
        <v>3478</v>
      </c>
      <c r="E853" t="s">
        <v>83</v>
      </c>
      <c r="F853" t="s">
        <v>30</v>
      </c>
      <c r="G853" t="s">
        <v>195</v>
      </c>
      <c r="H853" t="s">
        <v>58</v>
      </c>
      <c r="I853" t="s">
        <v>66</v>
      </c>
      <c r="J853" t="s">
        <v>126</v>
      </c>
      <c r="K853">
        <v>5</v>
      </c>
      <c r="L853">
        <v>238.08</v>
      </c>
      <c r="M853" s="3">
        <v>0.15</v>
      </c>
      <c r="N853" t="str">
        <f>VLOOKUP(Table1[[#This Row],[Country]],REF_Country!$A$1:$D$11,2,FALSE)</f>
        <v>South Asia</v>
      </c>
      <c r="O853" t="str">
        <f>VLOOKUP(Table1[[#This Row],[Country]],REF_Country!$A$1:$D$11,3,FALSE)</f>
        <v>IN</v>
      </c>
      <c r="P853">
        <f>VLOOKUP(Table1[[#This Row],[Country]],REF_Country!$A$1:$D$11,4,FALSE)</f>
        <v>0.18</v>
      </c>
      <c r="Q853">
        <f>VLOOKUP(Table1[[#This Row],[Category]],REF_Target!$A$1:$E$6,2,FALSE)</f>
        <v>40000</v>
      </c>
      <c r="R853">
        <f>Table1[[#This Row],[Quantity]]*Table1[[#This Row],[Unit_Price]]</f>
        <v>1190.4000000000001</v>
      </c>
      <c r="S853">
        <f>Table1[[#This Row],[Gross_Sales]]*Table1[[#This Row],[Discount_Rate]]</f>
        <v>178.56</v>
      </c>
      <c r="T853">
        <f>Table1[[#This Row],[Gross_Sales]]-Table1[[#This Row],[Discount_Amount]]</f>
        <v>1011.8400000000001</v>
      </c>
      <c r="U853">
        <f>VLOOKUP(Table1[[#This Row],[Category]],REF_Cost!$A$1:$B$6,2,FALSE)*Table1[[#This Row],[Quantity]]</f>
        <v>600</v>
      </c>
      <c r="V853">
        <f>Table1[[#This Row],[Net_Sales]]-Table1[[#This Row],[Total_Cost]]</f>
        <v>411.84000000000015</v>
      </c>
      <c r="W853" t="str">
        <f>TEXT(Table1[[#This Row],[Order_Date]],"mmm")</f>
        <v>Aug</v>
      </c>
      <c r="X853">
        <f>ROUNDUP(MONTH(Table1[[#This Row],[Order_Date]])/3,0)</f>
        <v>3</v>
      </c>
      <c r="Y853">
        <f>YEAR(Table1[[#This Row],[Order_Date]])</f>
        <v>2024</v>
      </c>
    </row>
    <row r="854" spans="1:25" x14ac:dyDescent="0.25">
      <c r="A854" t="s">
        <v>3479</v>
      </c>
      <c r="B854" t="s">
        <v>3480</v>
      </c>
      <c r="C854" t="s">
        <v>3481</v>
      </c>
      <c r="D854" t="s">
        <v>3482</v>
      </c>
      <c r="E854" t="s">
        <v>29</v>
      </c>
      <c r="F854" t="s">
        <v>56</v>
      </c>
      <c r="G854" t="s">
        <v>101</v>
      </c>
      <c r="H854" t="s">
        <v>72</v>
      </c>
      <c r="I854" t="s">
        <v>66</v>
      </c>
      <c r="J854" t="s">
        <v>73</v>
      </c>
      <c r="K854">
        <v>3</v>
      </c>
      <c r="L854">
        <v>1294.6500000000001</v>
      </c>
      <c r="M854" s="3">
        <v>0.2</v>
      </c>
      <c r="N854" t="str">
        <f>VLOOKUP(Table1[[#This Row],[Country]],REF_Country!$A$1:$D$11,2,FALSE)</f>
        <v>Southeast Asia</v>
      </c>
      <c r="O854" t="str">
        <f>VLOOKUP(Table1[[#This Row],[Country]],REF_Country!$A$1:$D$11,3,FALSE)</f>
        <v>VN</v>
      </c>
      <c r="P854">
        <f>VLOOKUP(Table1[[#This Row],[Country]],REF_Country!$A$1:$D$11,4,FALSE)</f>
        <v>0.1</v>
      </c>
      <c r="Q854">
        <f>VLOOKUP(Table1[[#This Row],[Category]],REF_Target!$A$1:$E$6,2,FALSE)</f>
        <v>50000</v>
      </c>
      <c r="R854">
        <f>Table1[[#This Row],[Quantity]]*Table1[[#This Row],[Unit_Price]]</f>
        <v>3883.9500000000003</v>
      </c>
      <c r="S854">
        <f>Table1[[#This Row],[Gross_Sales]]*Table1[[#This Row],[Discount_Rate]]</f>
        <v>776.79000000000008</v>
      </c>
      <c r="T854">
        <f>Table1[[#This Row],[Gross_Sales]]-Table1[[#This Row],[Discount_Amount]]</f>
        <v>3107.1600000000003</v>
      </c>
      <c r="U854">
        <f>VLOOKUP(Table1[[#This Row],[Category]],REF_Cost!$A$1:$B$6,2,FALSE)*Table1[[#This Row],[Quantity]]</f>
        <v>1350</v>
      </c>
      <c r="V854">
        <f>Table1[[#This Row],[Net_Sales]]-Table1[[#This Row],[Total_Cost]]</f>
        <v>1757.1600000000003</v>
      </c>
      <c r="W854" t="str">
        <f>TEXT(Table1[[#This Row],[Order_Date]],"mmm")</f>
        <v>Dec</v>
      </c>
      <c r="X854">
        <f>ROUNDUP(MONTH(Table1[[#This Row],[Order_Date]])/3,0)</f>
        <v>4</v>
      </c>
      <c r="Y854">
        <f>YEAR(Table1[[#This Row],[Order_Date]])</f>
        <v>2024</v>
      </c>
    </row>
    <row r="855" spans="1:25" x14ac:dyDescent="0.25">
      <c r="A855" t="s">
        <v>3483</v>
      </c>
      <c r="B855" t="s">
        <v>3484</v>
      </c>
      <c r="C855" t="s">
        <v>3485</v>
      </c>
      <c r="D855" t="s">
        <v>3486</v>
      </c>
      <c r="E855" t="s">
        <v>200</v>
      </c>
      <c r="F855" t="s">
        <v>56</v>
      </c>
      <c r="G855" t="s">
        <v>101</v>
      </c>
      <c r="H855" t="s">
        <v>32</v>
      </c>
      <c r="I855" t="s">
        <v>66</v>
      </c>
      <c r="J855" t="s">
        <v>73</v>
      </c>
      <c r="K855">
        <v>5</v>
      </c>
      <c r="L855">
        <v>873.1</v>
      </c>
      <c r="M855" s="3">
        <v>0</v>
      </c>
      <c r="N855" t="str">
        <f>VLOOKUP(Table1[[#This Row],[Country]],REF_Country!$A$1:$D$11,2,FALSE)</f>
        <v>East Asia</v>
      </c>
      <c r="O855" t="str">
        <f>VLOOKUP(Table1[[#This Row],[Country]],REF_Country!$A$1:$D$11,3,FALSE)</f>
        <v>KR</v>
      </c>
      <c r="P855">
        <f>VLOOKUP(Table1[[#This Row],[Country]],REF_Country!$A$1:$D$11,4,FALSE)</f>
        <v>0.1</v>
      </c>
      <c r="Q855">
        <f>VLOOKUP(Table1[[#This Row],[Category]],REF_Target!$A$1:$E$6,2,FALSE)</f>
        <v>50000</v>
      </c>
      <c r="R855">
        <f>Table1[[#This Row],[Quantity]]*Table1[[#This Row],[Unit_Price]]</f>
        <v>4365.5</v>
      </c>
      <c r="S855">
        <f>Table1[[#This Row],[Gross_Sales]]*Table1[[#This Row],[Discount_Rate]]</f>
        <v>0</v>
      </c>
      <c r="T855">
        <f>Table1[[#This Row],[Gross_Sales]]-Table1[[#This Row],[Discount_Amount]]</f>
        <v>4365.5</v>
      </c>
      <c r="U855">
        <f>VLOOKUP(Table1[[#This Row],[Category]],REF_Cost!$A$1:$B$6,2,FALSE)*Table1[[#This Row],[Quantity]]</f>
        <v>2250</v>
      </c>
      <c r="V855">
        <f>Table1[[#This Row],[Net_Sales]]-Table1[[#This Row],[Total_Cost]]</f>
        <v>2115.5</v>
      </c>
      <c r="W855" t="str">
        <f>TEXT(Table1[[#This Row],[Order_Date]],"mmm")</f>
        <v>Aug</v>
      </c>
      <c r="X855">
        <f>ROUNDUP(MONTH(Table1[[#This Row],[Order_Date]])/3,0)</f>
        <v>3</v>
      </c>
      <c r="Y855">
        <f>YEAR(Table1[[#This Row],[Order_Date]])</f>
        <v>2024</v>
      </c>
    </row>
    <row r="856" spans="1:25" x14ac:dyDescent="0.25">
      <c r="A856" t="s">
        <v>3487</v>
      </c>
      <c r="B856" t="s">
        <v>3488</v>
      </c>
      <c r="C856" t="s">
        <v>3489</v>
      </c>
      <c r="D856" t="s">
        <v>3490</v>
      </c>
      <c r="E856" t="s">
        <v>200</v>
      </c>
      <c r="F856" t="s">
        <v>49</v>
      </c>
      <c r="G856" t="s">
        <v>226</v>
      </c>
      <c r="H856" t="s">
        <v>58</v>
      </c>
      <c r="I856" t="s">
        <v>43</v>
      </c>
      <c r="J856" t="s">
        <v>73</v>
      </c>
      <c r="K856">
        <v>7</v>
      </c>
      <c r="L856">
        <v>1044.73</v>
      </c>
      <c r="M856" s="3">
        <v>0.15</v>
      </c>
      <c r="N856" t="str">
        <f>VLOOKUP(Table1[[#This Row],[Country]],REF_Country!$A$1:$D$11,2,FALSE)</f>
        <v>East Asia</v>
      </c>
      <c r="O856" t="str">
        <f>VLOOKUP(Table1[[#This Row],[Country]],REF_Country!$A$1:$D$11,3,FALSE)</f>
        <v>KR</v>
      </c>
      <c r="P856">
        <f>VLOOKUP(Table1[[#This Row],[Country]],REF_Country!$A$1:$D$11,4,FALSE)</f>
        <v>0.1</v>
      </c>
      <c r="Q856">
        <f>VLOOKUP(Table1[[#This Row],[Category]],REF_Target!$A$1:$E$6,2,FALSE)</f>
        <v>35000</v>
      </c>
      <c r="R856">
        <f>Table1[[#This Row],[Quantity]]*Table1[[#This Row],[Unit_Price]]</f>
        <v>7313.1100000000006</v>
      </c>
      <c r="S856">
        <f>Table1[[#This Row],[Gross_Sales]]*Table1[[#This Row],[Discount_Rate]]</f>
        <v>1096.9665</v>
      </c>
      <c r="T856">
        <f>Table1[[#This Row],[Gross_Sales]]-Table1[[#This Row],[Discount_Amount]]</f>
        <v>6216.1435000000001</v>
      </c>
      <c r="U856">
        <f>VLOOKUP(Table1[[#This Row],[Category]],REF_Cost!$A$1:$B$6,2,FALSE)*Table1[[#This Row],[Quantity]]</f>
        <v>1050</v>
      </c>
      <c r="V856">
        <f>Table1[[#This Row],[Net_Sales]]-Table1[[#This Row],[Total_Cost]]</f>
        <v>5166.1435000000001</v>
      </c>
      <c r="W856" t="str">
        <f>TEXT(Table1[[#This Row],[Order_Date]],"mmm")</f>
        <v>Jul</v>
      </c>
      <c r="X856">
        <f>ROUNDUP(MONTH(Table1[[#This Row],[Order_Date]])/3,0)</f>
        <v>3</v>
      </c>
      <c r="Y856">
        <f>YEAR(Table1[[#This Row],[Order_Date]])</f>
        <v>2024</v>
      </c>
    </row>
    <row r="857" spans="1:25" x14ac:dyDescent="0.25">
      <c r="A857" t="s">
        <v>3491</v>
      </c>
      <c r="B857" t="s">
        <v>3492</v>
      </c>
      <c r="C857" t="s">
        <v>3493</v>
      </c>
      <c r="D857" t="s">
        <v>3494</v>
      </c>
      <c r="E857" t="s">
        <v>78</v>
      </c>
      <c r="F857" t="s">
        <v>40</v>
      </c>
      <c r="G857" t="s">
        <v>565</v>
      </c>
      <c r="H857" t="s">
        <v>32</v>
      </c>
      <c r="I857" t="s">
        <v>33</v>
      </c>
      <c r="J857" t="s">
        <v>34</v>
      </c>
      <c r="K857">
        <v>4</v>
      </c>
      <c r="L857">
        <v>805.72</v>
      </c>
      <c r="M857" s="3">
        <v>0.1</v>
      </c>
      <c r="N857" t="str">
        <f>VLOOKUP(Table1[[#This Row],[Country]],REF_Country!$A$1:$D$11,2,FALSE)</f>
        <v>Oceania</v>
      </c>
      <c r="O857" t="str">
        <f>VLOOKUP(Table1[[#This Row],[Country]],REF_Country!$A$1:$D$11,3,FALSE)</f>
        <v>AU</v>
      </c>
      <c r="P857">
        <f>VLOOKUP(Table1[[#This Row],[Country]],REF_Country!$A$1:$D$11,4,FALSE)</f>
        <v>0.1</v>
      </c>
      <c r="Q857">
        <f>VLOOKUP(Table1[[#This Row],[Category]],REF_Target!$A$1:$E$6,2,FALSE)</f>
        <v>45000</v>
      </c>
      <c r="R857">
        <f>Table1[[#This Row],[Quantity]]*Table1[[#This Row],[Unit_Price]]</f>
        <v>3222.88</v>
      </c>
      <c r="S857">
        <f>Table1[[#This Row],[Gross_Sales]]*Table1[[#This Row],[Discount_Rate]]</f>
        <v>322.28800000000001</v>
      </c>
      <c r="T857">
        <f>Table1[[#This Row],[Gross_Sales]]-Table1[[#This Row],[Discount_Amount]]</f>
        <v>2900.5920000000001</v>
      </c>
      <c r="U857">
        <f>VLOOKUP(Table1[[#This Row],[Category]],REF_Cost!$A$1:$B$6,2,FALSE)*Table1[[#This Row],[Quantity]]</f>
        <v>320</v>
      </c>
      <c r="V857">
        <f>Table1[[#This Row],[Net_Sales]]-Table1[[#This Row],[Total_Cost]]</f>
        <v>2580.5920000000001</v>
      </c>
      <c r="W857" t="str">
        <f>TEXT(Table1[[#This Row],[Order_Date]],"mmm")</f>
        <v>Aug</v>
      </c>
      <c r="X857">
        <f>ROUNDUP(MONTH(Table1[[#This Row],[Order_Date]])/3,0)</f>
        <v>3</v>
      </c>
      <c r="Y857">
        <f>YEAR(Table1[[#This Row],[Order_Date]])</f>
        <v>2024</v>
      </c>
    </row>
    <row r="858" spans="1:25" x14ac:dyDescent="0.25">
      <c r="A858" t="s">
        <v>3495</v>
      </c>
      <c r="B858" t="s">
        <v>3496</v>
      </c>
      <c r="C858" t="s">
        <v>3497</v>
      </c>
      <c r="D858" t="s">
        <v>3498</v>
      </c>
      <c r="E858" t="s">
        <v>39</v>
      </c>
      <c r="F858" t="s">
        <v>56</v>
      </c>
      <c r="G858" t="s">
        <v>95</v>
      </c>
      <c r="H858" t="s">
        <v>58</v>
      </c>
      <c r="I858" t="s">
        <v>33</v>
      </c>
      <c r="J858" t="s">
        <v>34</v>
      </c>
      <c r="K858">
        <v>4</v>
      </c>
      <c r="L858">
        <v>552.14</v>
      </c>
      <c r="M858" s="3">
        <v>0</v>
      </c>
      <c r="N858" t="str">
        <f>VLOOKUP(Table1[[#This Row],[Country]],REF_Country!$A$1:$D$11,2,FALSE)</f>
        <v>Southeast Asia</v>
      </c>
      <c r="O858" t="str">
        <f>VLOOKUP(Table1[[#This Row],[Country]],REF_Country!$A$1:$D$11,3,FALSE)</f>
        <v>TH</v>
      </c>
      <c r="P858">
        <f>VLOOKUP(Table1[[#This Row],[Country]],REF_Country!$A$1:$D$11,4,FALSE)</f>
        <v>7.0000000000000007E-2</v>
      </c>
      <c r="Q858">
        <f>VLOOKUP(Table1[[#This Row],[Category]],REF_Target!$A$1:$E$6,2,FALSE)</f>
        <v>50000</v>
      </c>
      <c r="R858">
        <f>Table1[[#This Row],[Quantity]]*Table1[[#This Row],[Unit_Price]]</f>
        <v>2208.56</v>
      </c>
      <c r="S858">
        <f>Table1[[#This Row],[Gross_Sales]]*Table1[[#This Row],[Discount_Rate]]</f>
        <v>0</v>
      </c>
      <c r="T858">
        <f>Table1[[#This Row],[Gross_Sales]]-Table1[[#This Row],[Discount_Amount]]</f>
        <v>2208.56</v>
      </c>
      <c r="U858">
        <f>VLOOKUP(Table1[[#This Row],[Category]],REF_Cost!$A$1:$B$6,2,FALSE)*Table1[[#This Row],[Quantity]]</f>
        <v>1800</v>
      </c>
      <c r="V858">
        <f>Table1[[#This Row],[Net_Sales]]-Table1[[#This Row],[Total_Cost]]</f>
        <v>408.55999999999995</v>
      </c>
      <c r="W858" t="str">
        <f>TEXT(Table1[[#This Row],[Order_Date]],"mmm")</f>
        <v>Oct</v>
      </c>
      <c r="X858">
        <f>ROUNDUP(MONTH(Table1[[#This Row],[Order_Date]])/3,0)</f>
        <v>4</v>
      </c>
      <c r="Y858">
        <f>YEAR(Table1[[#This Row],[Order_Date]])</f>
        <v>2024</v>
      </c>
    </row>
    <row r="859" spans="1:25" x14ac:dyDescent="0.25">
      <c r="A859" t="s">
        <v>3499</v>
      </c>
      <c r="B859" t="s">
        <v>3500</v>
      </c>
      <c r="C859" t="s">
        <v>3501</v>
      </c>
      <c r="D859" t="s">
        <v>3502</v>
      </c>
      <c r="E859" t="s">
        <v>71</v>
      </c>
      <c r="F859" t="s">
        <v>84</v>
      </c>
      <c r="G859" t="s">
        <v>85</v>
      </c>
      <c r="H859" t="s">
        <v>42</v>
      </c>
      <c r="I859" t="s">
        <v>43</v>
      </c>
      <c r="J859" t="s">
        <v>73</v>
      </c>
      <c r="K859">
        <v>3</v>
      </c>
      <c r="L859">
        <v>452.63</v>
      </c>
      <c r="M859" s="3">
        <v>0.15</v>
      </c>
      <c r="N859" t="str">
        <f>VLOOKUP(Table1[[#This Row],[Country]],REF_Country!$A$1:$D$11,2,FALSE)</f>
        <v>Southeast Asia</v>
      </c>
      <c r="O859" t="str">
        <f>VLOOKUP(Table1[[#This Row],[Country]],REF_Country!$A$1:$D$11,3,FALSE)</f>
        <v>PH</v>
      </c>
      <c r="P859">
        <f>VLOOKUP(Table1[[#This Row],[Country]],REF_Country!$A$1:$D$11,4,FALSE)</f>
        <v>0.12</v>
      </c>
      <c r="Q859">
        <f>VLOOKUP(Table1[[#This Row],[Category]],REF_Target!$A$1:$E$6,2,FALSE)</f>
        <v>30000</v>
      </c>
      <c r="R859">
        <f>Table1[[#This Row],[Quantity]]*Table1[[#This Row],[Unit_Price]]</f>
        <v>1357.8899999999999</v>
      </c>
      <c r="S859">
        <f>Table1[[#This Row],[Gross_Sales]]*Table1[[#This Row],[Discount_Rate]]</f>
        <v>203.68349999999998</v>
      </c>
      <c r="T859">
        <f>Table1[[#This Row],[Gross_Sales]]-Table1[[#This Row],[Discount_Amount]]</f>
        <v>1154.2064999999998</v>
      </c>
      <c r="U859">
        <f>VLOOKUP(Table1[[#This Row],[Category]],REF_Cost!$A$1:$B$6,2,FALSE)*Table1[[#This Row],[Quantity]]</f>
        <v>600</v>
      </c>
      <c r="V859">
        <f>Table1[[#This Row],[Net_Sales]]-Table1[[#This Row],[Total_Cost]]</f>
        <v>554.20649999999978</v>
      </c>
      <c r="W859" t="str">
        <f>TEXT(Table1[[#This Row],[Order_Date]],"mmm")</f>
        <v>Feb</v>
      </c>
      <c r="X859">
        <f>ROUNDUP(MONTH(Table1[[#This Row],[Order_Date]])/3,0)</f>
        <v>1</v>
      </c>
      <c r="Y859">
        <f>YEAR(Table1[[#This Row],[Order_Date]])</f>
        <v>2024</v>
      </c>
    </row>
    <row r="860" spans="1:25" x14ac:dyDescent="0.25">
      <c r="A860" t="s">
        <v>3503</v>
      </c>
      <c r="B860" t="s">
        <v>3504</v>
      </c>
      <c r="C860" t="s">
        <v>3505</v>
      </c>
      <c r="D860" t="s">
        <v>3506</v>
      </c>
      <c r="E860" t="s">
        <v>116</v>
      </c>
      <c r="F860" t="s">
        <v>30</v>
      </c>
      <c r="G860" t="s">
        <v>195</v>
      </c>
      <c r="H860" t="s">
        <v>32</v>
      </c>
      <c r="I860" t="s">
        <v>51</v>
      </c>
      <c r="J860" t="s">
        <v>126</v>
      </c>
      <c r="K860">
        <v>7</v>
      </c>
      <c r="L860">
        <v>1103.6300000000001</v>
      </c>
      <c r="M860" s="3">
        <v>0.05</v>
      </c>
      <c r="N860" t="str">
        <f>VLOOKUP(Table1[[#This Row],[Country]],REF_Country!$A$1:$D$11,2,FALSE)</f>
        <v>Southeast Asia</v>
      </c>
      <c r="O860" t="str">
        <f>VLOOKUP(Table1[[#This Row],[Country]],REF_Country!$A$1:$D$11,3,FALSE)</f>
        <v>MY</v>
      </c>
      <c r="P860">
        <f>VLOOKUP(Table1[[#This Row],[Country]],REF_Country!$A$1:$D$11,4,FALSE)</f>
        <v>0.06</v>
      </c>
      <c r="Q860">
        <f>VLOOKUP(Table1[[#This Row],[Category]],REF_Target!$A$1:$E$6,2,FALSE)</f>
        <v>40000</v>
      </c>
      <c r="R860">
        <f>Table1[[#This Row],[Quantity]]*Table1[[#This Row],[Unit_Price]]</f>
        <v>7725.4100000000008</v>
      </c>
      <c r="S860">
        <f>Table1[[#This Row],[Gross_Sales]]*Table1[[#This Row],[Discount_Rate]]</f>
        <v>386.27050000000008</v>
      </c>
      <c r="T860">
        <f>Table1[[#This Row],[Gross_Sales]]-Table1[[#This Row],[Discount_Amount]]</f>
        <v>7339.1395000000011</v>
      </c>
      <c r="U860">
        <f>VLOOKUP(Table1[[#This Row],[Category]],REF_Cost!$A$1:$B$6,2,FALSE)*Table1[[#This Row],[Quantity]]</f>
        <v>840</v>
      </c>
      <c r="V860">
        <f>Table1[[#This Row],[Net_Sales]]-Table1[[#This Row],[Total_Cost]]</f>
        <v>6499.1395000000011</v>
      </c>
      <c r="W860" t="str">
        <f>TEXT(Table1[[#This Row],[Order_Date]],"mmm")</f>
        <v>Jan</v>
      </c>
      <c r="X860">
        <f>ROUNDUP(MONTH(Table1[[#This Row],[Order_Date]])/3,0)</f>
        <v>1</v>
      </c>
      <c r="Y860">
        <f>YEAR(Table1[[#This Row],[Order_Date]])</f>
        <v>2024</v>
      </c>
    </row>
    <row r="861" spans="1:25" x14ac:dyDescent="0.25">
      <c r="A861" t="s">
        <v>3507</v>
      </c>
      <c r="B861" t="s">
        <v>3508</v>
      </c>
      <c r="C861" t="s">
        <v>3509</v>
      </c>
      <c r="D861" t="s">
        <v>3510</v>
      </c>
      <c r="E861" t="s">
        <v>48</v>
      </c>
      <c r="F861" t="s">
        <v>84</v>
      </c>
      <c r="G861" t="s">
        <v>85</v>
      </c>
      <c r="H861" t="s">
        <v>42</v>
      </c>
      <c r="I861" t="s">
        <v>43</v>
      </c>
      <c r="J861" t="s">
        <v>73</v>
      </c>
      <c r="K861">
        <v>2</v>
      </c>
      <c r="L861">
        <v>132.31</v>
      </c>
      <c r="M861" s="3">
        <v>0</v>
      </c>
      <c r="N861" t="str">
        <f>VLOOKUP(Table1[[#This Row],[Country]],REF_Country!$A$1:$D$11,2,FALSE)</f>
        <v>Southeast Asia</v>
      </c>
      <c r="O861" t="str">
        <f>VLOOKUP(Table1[[#This Row],[Country]],REF_Country!$A$1:$D$11,3,FALSE)</f>
        <v>SG</v>
      </c>
      <c r="P861">
        <f>VLOOKUP(Table1[[#This Row],[Country]],REF_Country!$A$1:$D$11,4,FALSE)</f>
        <v>7.0000000000000007E-2</v>
      </c>
      <c r="Q861">
        <f>VLOOKUP(Table1[[#This Row],[Category]],REF_Target!$A$1:$E$6,2,FALSE)</f>
        <v>30000</v>
      </c>
      <c r="R861">
        <f>Table1[[#This Row],[Quantity]]*Table1[[#This Row],[Unit_Price]]</f>
        <v>264.62</v>
      </c>
      <c r="S861">
        <f>Table1[[#This Row],[Gross_Sales]]*Table1[[#This Row],[Discount_Rate]]</f>
        <v>0</v>
      </c>
      <c r="T861">
        <f>Table1[[#This Row],[Gross_Sales]]-Table1[[#This Row],[Discount_Amount]]</f>
        <v>264.62</v>
      </c>
      <c r="U861">
        <f>VLOOKUP(Table1[[#This Row],[Category]],REF_Cost!$A$1:$B$6,2,FALSE)*Table1[[#This Row],[Quantity]]</f>
        <v>400</v>
      </c>
      <c r="V861">
        <f>Table1[[#This Row],[Net_Sales]]-Table1[[#This Row],[Total_Cost]]</f>
        <v>-135.38</v>
      </c>
      <c r="W861" t="str">
        <f>TEXT(Table1[[#This Row],[Order_Date]],"mmm")</f>
        <v>Oct</v>
      </c>
      <c r="X861">
        <f>ROUNDUP(MONTH(Table1[[#This Row],[Order_Date]])/3,0)</f>
        <v>4</v>
      </c>
      <c r="Y861">
        <f>YEAR(Table1[[#This Row],[Order_Date]])</f>
        <v>2024</v>
      </c>
    </row>
    <row r="862" spans="1:25" x14ac:dyDescent="0.25">
      <c r="A862" t="s">
        <v>3511</v>
      </c>
      <c r="B862" t="s">
        <v>3512</v>
      </c>
      <c r="C862" t="s">
        <v>3513</v>
      </c>
      <c r="D862" t="s">
        <v>3514</v>
      </c>
      <c r="E862" t="s">
        <v>29</v>
      </c>
      <c r="F862" t="s">
        <v>49</v>
      </c>
      <c r="G862" t="s">
        <v>226</v>
      </c>
      <c r="H862" t="s">
        <v>32</v>
      </c>
      <c r="I862" t="s">
        <v>66</v>
      </c>
      <c r="J862" t="s">
        <v>126</v>
      </c>
      <c r="K862">
        <v>8</v>
      </c>
      <c r="L862">
        <v>1088</v>
      </c>
      <c r="M862" s="3">
        <v>0.2</v>
      </c>
      <c r="N862" t="str">
        <f>VLOOKUP(Table1[[#This Row],[Country]],REF_Country!$A$1:$D$11,2,FALSE)</f>
        <v>Southeast Asia</v>
      </c>
      <c r="O862" t="str">
        <f>VLOOKUP(Table1[[#This Row],[Country]],REF_Country!$A$1:$D$11,3,FALSE)</f>
        <v>VN</v>
      </c>
      <c r="P862">
        <f>VLOOKUP(Table1[[#This Row],[Country]],REF_Country!$A$1:$D$11,4,FALSE)</f>
        <v>0.1</v>
      </c>
      <c r="Q862">
        <f>VLOOKUP(Table1[[#This Row],[Category]],REF_Target!$A$1:$E$6,2,FALSE)</f>
        <v>35000</v>
      </c>
      <c r="R862">
        <f>Table1[[#This Row],[Quantity]]*Table1[[#This Row],[Unit_Price]]</f>
        <v>8704</v>
      </c>
      <c r="S862">
        <f>Table1[[#This Row],[Gross_Sales]]*Table1[[#This Row],[Discount_Rate]]</f>
        <v>1740.8000000000002</v>
      </c>
      <c r="T862">
        <f>Table1[[#This Row],[Gross_Sales]]-Table1[[#This Row],[Discount_Amount]]</f>
        <v>6963.2</v>
      </c>
      <c r="U862">
        <f>VLOOKUP(Table1[[#This Row],[Category]],REF_Cost!$A$1:$B$6,2,FALSE)*Table1[[#This Row],[Quantity]]</f>
        <v>1200</v>
      </c>
      <c r="V862">
        <f>Table1[[#This Row],[Net_Sales]]-Table1[[#This Row],[Total_Cost]]</f>
        <v>5763.2</v>
      </c>
      <c r="W862" t="str">
        <f>TEXT(Table1[[#This Row],[Order_Date]],"mmm")</f>
        <v>Mar</v>
      </c>
      <c r="X862">
        <f>ROUNDUP(MONTH(Table1[[#This Row],[Order_Date]])/3,0)</f>
        <v>1</v>
      </c>
      <c r="Y862">
        <f>YEAR(Table1[[#This Row],[Order_Date]])</f>
        <v>2024</v>
      </c>
    </row>
    <row r="863" spans="1:25" x14ac:dyDescent="0.25">
      <c r="A863" t="s">
        <v>3515</v>
      </c>
      <c r="B863" t="s">
        <v>3516</v>
      </c>
      <c r="C863" t="s">
        <v>3517</v>
      </c>
      <c r="D863" t="s">
        <v>3518</v>
      </c>
      <c r="E863" t="s">
        <v>83</v>
      </c>
      <c r="F863" t="s">
        <v>30</v>
      </c>
      <c r="G863" t="s">
        <v>139</v>
      </c>
      <c r="H863" t="s">
        <v>42</v>
      </c>
      <c r="I863" t="s">
        <v>33</v>
      </c>
      <c r="J863" t="s">
        <v>59</v>
      </c>
      <c r="K863">
        <v>7</v>
      </c>
      <c r="L863">
        <v>253.12</v>
      </c>
      <c r="M863" s="3">
        <v>0.1</v>
      </c>
      <c r="N863" t="str">
        <f>VLOOKUP(Table1[[#This Row],[Country]],REF_Country!$A$1:$D$11,2,FALSE)</f>
        <v>South Asia</v>
      </c>
      <c r="O863" t="str">
        <f>VLOOKUP(Table1[[#This Row],[Country]],REF_Country!$A$1:$D$11,3,FALSE)</f>
        <v>IN</v>
      </c>
      <c r="P863">
        <f>VLOOKUP(Table1[[#This Row],[Country]],REF_Country!$A$1:$D$11,4,FALSE)</f>
        <v>0.18</v>
      </c>
      <c r="Q863">
        <f>VLOOKUP(Table1[[#This Row],[Category]],REF_Target!$A$1:$E$6,2,FALSE)</f>
        <v>40000</v>
      </c>
      <c r="R863">
        <f>Table1[[#This Row],[Quantity]]*Table1[[#This Row],[Unit_Price]]</f>
        <v>1771.8400000000001</v>
      </c>
      <c r="S863">
        <f>Table1[[#This Row],[Gross_Sales]]*Table1[[#This Row],[Discount_Rate]]</f>
        <v>177.18400000000003</v>
      </c>
      <c r="T863">
        <f>Table1[[#This Row],[Gross_Sales]]-Table1[[#This Row],[Discount_Amount]]</f>
        <v>1594.6560000000002</v>
      </c>
      <c r="U863">
        <f>VLOOKUP(Table1[[#This Row],[Category]],REF_Cost!$A$1:$B$6,2,FALSE)*Table1[[#This Row],[Quantity]]</f>
        <v>840</v>
      </c>
      <c r="V863">
        <f>Table1[[#This Row],[Net_Sales]]-Table1[[#This Row],[Total_Cost]]</f>
        <v>754.65600000000018</v>
      </c>
      <c r="W863" t="str">
        <f>TEXT(Table1[[#This Row],[Order_Date]],"mmm")</f>
        <v>Jan</v>
      </c>
      <c r="X863">
        <f>ROUNDUP(MONTH(Table1[[#This Row],[Order_Date]])/3,0)</f>
        <v>1</v>
      </c>
      <c r="Y863">
        <f>YEAR(Table1[[#This Row],[Order_Date]])</f>
        <v>2024</v>
      </c>
    </row>
    <row r="864" spans="1:25" x14ac:dyDescent="0.25">
      <c r="A864" t="s">
        <v>3519</v>
      </c>
      <c r="B864" t="s">
        <v>3520</v>
      </c>
      <c r="C864" t="s">
        <v>3521</v>
      </c>
      <c r="D864" t="s">
        <v>3522</v>
      </c>
      <c r="E864" t="s">
        <v>39</v>
      </c>
      <c r="F864" t="s">
        <v>49</v>
      </c>
      <c r="G864" t="s">
        <v>286</v>
      </c>
      <c r="H864" t="s">
        <v>42</v>
      </c>
      <c r="I864" t="s">
        <v>43</v>
      </c>
      <c r="J864" t="s">
        <v>73</v>
      </c>
      <c r="K864">
        <v>2</v>
      </c>
      <c r="L864">
        <v>418.66</v>
      </c>
      <c r="M864" s="3">
        <v>0.15</v>
      </c>
      <c r="N864" t="str">
        <f>VLOOKUP(Table1[[#This Row],[Country]],REF_Country!$A$1:$D$11,2,FALSE)</f>
        <v>Southeast Asia</v>
      </c>
      <c r="O864" t="str">
        <f>VLOOKUP(Table1[[#This Row],[Country]],REF_Country!$A$1:$D$11,3,FALSE)</f>
        <v>TH</v>
      </c>
      <c r="P864">
        <f>VLOOKUP(Table1[[#This Row],[Country]],REF_Country!$A$1:$D$11,4,FALSE)</f>
        <v>7.0000000000000007E-2</v>
      </c>
      <c r="Q864">
        <f>VLOOKUP(Table1[[#This Row],[Category]],REF_Target!$A$1:$E$6,2,FALSE)</f>
        <v>35000</v>
      </c>
      <c r="R864">
        <f>Table1[[#This Row],[Quantity]]*Table1[[#This Row],[Unit_Price]]</f>
        <v>837.32</v>
      </c>
      <c r="S864">
        <f>Table1[[#This Row],[Gross_Sales]]*Table1[[#This Row],[Discount_Rate]]</f>
        <v>125.598</v>
      </c>
      <c r="T864">
        <f>Table1[[#This Row],[Gross_Sales]]-Table1[[#This Row],[Discount_Amount]]</f>
        <v>711.72200000000009</v>
      </c>
      <c r="U864">
        <f>VLOOKUP(Table1[[#This Row],[Category]],REF_Cost!$A$1:$B$6,2,FALSE)*Table1[[#This Row],[Quantity]]</f>
        <v>300</v>
      </c>
      <c r="V864">
        <f>Table1[[#This Row],[Net_Sales]]-Table1[[#This Row],[Total_Cost]]</f>
        <v>411.72200000000009</v>
      </c>
      <c r="W864" t="str">
        <f>TEXT(Table1[[#This Row],[Order_Date]],"mmm")</f>
        <v>Sep</v>
      </c>
      <c r="X864">
        <f>ROUNDUP(MONTH(Table1[[#This Row],[Order_Date]])/3,0)</f>
        <v>3</v>
      </c>
      <c r="Y864">
        <f>YEAR(Table1[[#This Row],[Order_Date]])</f>
        <v>2024</v>
      </c>
    </row>
    <row r="865" spans="1:25" x14ac:dyDescent="0.25">
      <c r="A865" t="s">
        <v>3523</v>
      </c>
      <c r="B865" t="s">
        <v>3524</v>
      </c>
      <c r="C865" t="s">
        <v>3525</v>
      </c>
      <c r="D865" t="s">
        <v>3526</v>
      </c>
      <c r="E865" t="s">
        <v>149</v>
      </c>
      <c r="F865" t="s">
        <v>30</v>
      </c>
      <c r="G865" t="s">
        <v>139</v>
      </c>
      <c r="H865" t="s">
        <v>42</v>
      </c>
      <c r="I865" t="s">
        <v>96</v>
      </c>
      <c r="J865" t="s">
        <v>59</v>
      </c>
      <c r="K865">
        <v>2</v>
      </c>
      <c r="L865">
        <v>913.55</v>
      </c>
      <c r="M865" s="3">
        <v>0.2</v>
      </c>
      <c r="N865" t="str">
        <f>VLOOKUP(Table1[[#This Row],[Country]],REF_Country!$A$1:$D$11,2,FALSE)</f>
        <v>East Asia</v>
      </c>
      <c r="O865" t="str">
        <f>VLOOKUP(Table1[[#This Row],[Country]],REF_Country!$A$1:$D$11,3,FALSE)</f>
        <v>JP</v>
      </c>
      <c r="P865">
        <f>VLOOKUP(Table1[[#This Row],[Country]],REF_Country!$A$1:$D$11,4,FALSE)</f>
        <v>0.1</v>
      </c>
      <c r="Q865">
        <f>VLOOKUP(Table1[[#This Row],[Category]],REF_Target!$A$1:$E$6,2,FALSE)</f>
        <v>40000</v>
      </c>
      <c r="R865">
        <f>Table1[[#This Row],[Quantity]]*Table1[[#This Row],[Unit_Price]]</f>
        <v>1827.1</v>
      </c>
      <c r="S865">
        <f>Table1[[#This Row],[Gross_Sales]]*Table1[[#This Row],[Discount_Rate]]</f>
        <v>365.42</v>
      </c>
      <c r="T865">
        <f>Table1[[#This Row],[Gross_Sales]]-Table1[[#This Row],[Discount_Amount]]</f>
        <v>1461.6799999999998</v>
      </c>
      <c r="U865">
        <f>VLOOKUP(Table1[[#This Row],[Category]],REF_Cost!$A$1:$B$6,2,FALSE)*Table1[[#This Row],[Quantity]]</f>
        <v>240</v>
      </c>
      <c r="V865">
        <f>Table1[[#This Row],[Net_Sales]]-Table1[[#This Row],[Total_Cost]]</f>
        <v>1221.6799999999998</v>
      </c>
      <c r="W865" t="str">
        <f>TEXT(Table1[[#This Row],[Order_Date]],"mmm")</f>
        <v>Nov</v>
      </c>
      <c r="X865">
        <f>ROUNDUP(MONTH(Table1[[#This Row],[Order_Date]])/3,0)</f>
        <v>4</v>
      </c>
      <c r="Y865">
        <f>YEAR(Table1[[#This Row],[Order_Date]])</f>
        <v>2024</v>
      </c>
    </row>
    <row r="866" spans="1:25" x14ac:dyDescent="0.25">
      <c r="A866" t="s">
        <v>3527</v>
      </c>
      <c r="B866" t="s">
        <v>3528</v>
      </c>
      <c r="C866" t="s">
        <v>3529</v>
      </c>
      <c r="D866" t="s">
        <v>3530</v>
      </c>
      <c r="E866" t="s">
        <v>149</v>
      </c>
      <c r="F866" t="s">
        <v>30</v>
      </c>
      <c r="G866" t="s">
        <v>269</v>
      </c>
      <c r="H866" t="s">
        <v>58</v>
      </c>
      <c r="I866" t="s">
        <v>51</v>
      </c>
      <c r="J866" t="s">
        <v>126</v>
      </c>
      <c r="K866">
        <v>7</v>
      </c>
      <c r="L866">
        <v>1207.96</v>
      </c>
      <c r="M866" s="3">
        <v>0</v>
      </c>
      <c r="N866" t="str">
        <f>VLOOKUP(Table1[[#This Row],[Country]],REF_Country!$A$1:$D$11,2,FALSE)</f>
        <v>East Asia</v>
      </c>
      <c r="O866" t="str">
        <f>VLOOKUP(Table1[[#This Row],[Country]],REF_Country!$A$1:$D$11,3,FALSE)</f>
        <v>JP</v>
      </c>
      <c r="P866">
        <f>VLOOKUP(Table1[[#This Row],[Country]],REF_Country!$A$1:$D$11,4,FALSE)</f>
        <v>0.1</v>
      </c>
      <c r="Q866">
        <f>VLOOKUP(Table1[[#This Row],[Category]],REF_Target!$A$1:$E$6,2,FALSE)</f>
        <v>40000</v>
      </c>
      <c r="R866">
        <f>Table1[[#This Row],[Quantity]]*Table1[[#This Row],[Unit_Price]]</f>
        <v>8455.7200000000012</v>
      </c>
      <c r="S866">
        <f>Table1[[#This Row],[Gross_Sales]]*Table1[[#This Row],[Discount_Rate]]</f>
        <v>0</v>
      </c>
      <c r="T866">
        <f>Table1[[#This Row],[Gross_Sales]]-Table1[[#This Row],[Discount_Amount]]</f>
        <v>8455.7200000000012</v>
      </c>
      <c r="U866">
        <f>VLOOKUP(Table1[[#This Row],[Category]],REF_Cost!$A$1:$B$6,2,FALSE)*Table1[[#This Row],[Quantity]]</f>
        <v>840</v>
      </c>
      <c r="V866">
        <f>Table1[[#This Row],[Net_Sales]]-Table1[[#This Row],[Total_Cost]]</f>
        <v>7615.7200000000012</v>
      </c>
      <c r="W866" t="str">
        <f>TEXT(Table1[[#This Row],[Order_Date]],"mmm")</f>
        <v>Nov</v>
      </c>
      <c r="X866">
        <f>ROUNDUP(MONTH(Table1[[#This Row],[Order_Date]])/3,0)</f>
        <v>4</v>
      </c>
      <c r="Y866">
        <f>YEAR(Table1[[#This Row],[Order_Date]])</f>
        <v>2024</v>
      </c>
    </row>
    <row r="867" spans="1:25" x14ac:dyDescent="0.25">
      <c r="A867" t="s">
        <v>3531</v>
      </c>
      <c r="B867" t="s">
        <v>3532</v>
      </c>
      <c r="C867" t="s">
        <v>3533</v>
      </c>
      <c r="D867" t="s">
        <v>3534</v>
      </c>
      <c r="E867" t="s">
        <v>71</v>
      </c>
      <c r="F867" t="s">
        <v>56</v>
      </c>
      <c r="G867" t="s">
        <v>95</v>
      </c>
      <c r="H867" t="s">
        <v>32</v>
      </c>
      <c r="I867" t="s">
        <v>43</v>
      </c>
      <c r="J867" t="s">
        <v>126</v>
      </c>
      <c r="K867">
        <v>9</v>
      </c>
      <c r="L867">
        <v>434.08</v>
      </c>
      <c r="M867" s="3">
        <v>0</v>
      </c>
      <c r="N867" t="str">
        <f>VLOOKUP(Table1[[#This Row],[Country]],REF_Country!$A$1:$D$11,2,FALSE)</f>
        <v>Southeast Asia</v>
      </c>
      <c r="O867" t="str">
        <f>VLOOKUP(Table1[[#This Row],[Country]],REF_Country!$A$1:$D$11,3,FALSE)</f>
        <v>PH</v>
      </c>
      <c r="P867">
        <f>VLOOKUP(Table1[[#This Row],[Country]],REF_Country!$A$1:$D$11,4,FALSE)</f>
        <v>0.12</v>
      </c>
      <c r="Q867">
        <f>VLOOKUP(Table1[[#This Row],[Category]],REF_Target!$A$1:$E$6,2,FALSE)</f>
        <v>50000</v>
      </c>
      <c r="R867">
        <f>Table1[[#This Row],[Quantity]]*Table1[[#This Row],[Unit_Price]]</f>
        <v>3906.72</v>
      </c>
      <c r="S867">
        <f>Table1[[#This Row],[Gross_Sales]]*Table1[[#This Row],[Discount_Rate]]</f>
        <v>0</v>
      </c>
      <c r="T867">
        <f>Table1[[#This Row],[Gross_Sales]]-Table1[[#This Row],[Discount_Amount]]</f>
        <v>3906.72</v>
      </c>
      <c r="U867">
        <f>VLOOKUP(Table1[[#This Row],[Category]],REF_Cost!$A$1:$B$6,2,FALSE)*Table1[[#This Row],[Quantity]]</f>
        <v>4050</v>
      </c>
      <c r="V867">
        <f>Table1[[#This Row],[Net_Sales]]-Table1[[#This Row],[Total_Cost]]</f>
        <v>-143.2800000000002</v>
      </c>
      <c r="W867" t="str">
        <f>TEXT(Table1[[#This Row],[Order_Date]],"mmm")</f>
        <v>Jul</v>
      </c>
      <c r="X867">
        <f>ROUNDUP(MONTH(Table1[[#This Row],[Order_Date]])/3,0)</f>
        <v>3</v>
      </c>
      <c r="Y867">
        <f>YEAR(Table1[[#This Row],[Order_Date]])</f>
        <v>2024</v>
      </c>
    </row>
    <row r="868" spans="1:25" x14ac:dyDescent="0.25">
      <c r="A868" t="s">
        <v>3535</v>
      </c>
      <c r="B868" t="s">
        <v>3536</v>
      </c>
      <c r="C868" t="s">
        <v>3537</v>
      </c>
      <c r="D868" t="s">
        <v>3538</v>
      </c>
      <c r="E868" t="s">
        <v>64</v>
      </c>
      <c r="F868" t="s">
        <v>30</v>
      </c>
      <c r="G868" t="s">
        <v>65</v>
      </c>
      <c r="H868" t="s">
        <v>32</v>
      </c>
      <c r="I868" t="s">
        <v>33</v>
      </c>
      <c r="J868" t="s">
        <v>34</v>
      </c>
      <c r="K868">
        <v>10</v>
      </c>
      <c r="L868">
        <v>141.28</v>
      </c>
      <c r="M868" s="3">
        <v>0.15</v>
      </c>
      <c r="N868" t="str">
        <f>VLOOKUP(Table1[[#This Row],[Country]],REF_Country!$A$1:$D$11,2,FALSE)</f>
        <v>Southeast Asia</v>
      </c>
      <c r="O868" t="str">
        <f>VLOOKUP(Table1[[#This Row],[Country]],REF_Country!$A$1:$D$11,3,FALSE)</f>
        <v>ID</v>
      </c>
      <c r="P868">
        <f>VLOOKUP(Table1[[#This Row],[Country]],REF_Country!$A$1:$D$11,4,FALSE)</f>
        <v>0.11</v>
      </c>
      <c r="Q868">
        <f>VLOOKUP(Table1[[#This Row],[Category]],REF_Target!$A$1:$E$6,2,FALSE)</f>
        <v>40000</v>
      </c>
      <c r="R868">
        <f>Table1[[#This Row],[Quantity]]*Table1[[#This Row],[Unit_Price]]</f>
        <v>1412.8</v>
      </c>
      <c r="S868">
        <f>Table1[[#This Row],[Gross_Sales]]*Table1[[#This Row],[Discount_Rate]]</f>
        <v>211.92</v>
      </c>
      <c r="T868">
        <f>Table1[[#This Row],[Gross_Sales]]-Table1[[#This Row],[Discount_Amount]]</f>
        <v>1200.8799999999999</v>
      </c>
      <c r="U868">
        <f>VLOOKUP(Table1[[#This Row],[Category]],REF_Cost!$A$1:$B$6,2,FALSE)*Table1[[#This Row],[Quantity]]</f>
        <v>1200</v>
      </c>
      <c r="V868">
        <f>Table1[[#This Row],[Net_Sales]]-Table1[[#This Row],[Total_Cost]]</f>
        <v>0.87999999999988177</v>
      </c>
      <c r="W868" t="str">
        <f>TEXT(Table1[[#This Row],[Order_Date]],"mmm")</f>
        <v>Apr</v>
      </c>
      <c r="X868">
        <f>ROUNDUP(MONTH(Table1[[#This Row],[Order_Date]])/3,0)</f>
        <v>2</v>
      </c>
      <c r="Y868">
        <f>YEAR(Table1[[#This Row],[Order_Date]])</f>
        <v>2024</v>
      </c>
    </row>
    <row r="869" spans="1:25" x14ac:dyDescent="0.25">
      <c r="A869" t="s">
        <v>3539</v>
      </c>
      <c r="B869" t="s">
        <v>3540</v>
      </c>
      <c r="C869" t="s">
        <v>3541</v>
      </c>
      <c r="D869" t="s">
        <v>3542</v>
      </c>
      <c r="E869" t="s">
        <v>29</v>
      </c>
      <c r="F869" t="s">
        <v>56</v>
      </c>
      <c r="G869" t="s">
        <v>190</v>
      </c>
      <c r="H869" t="s">
        <v>72</v>
      </c>
      <c r="I869" t="s">
        <v>66</v>
      </c>
      <c r="J869" t="s">
        <v>34</v>
      </c>
      <c r="K869">
        <v>7</v>
      </c>
      <c r="L869">
        <v>1131.24</v>
      </c>
      <c r="M869" s="3">
        <v>0.15</v>
      </c>
      <c r="N869" t="str">
        <f>VLOOKUP(Table1[[#This Row],[Country]],REF_Country!$A$1:$D$11,2,FALSE)</f>
        <v>Southeast Asia</v>
      </c>
      <c r="O869" t="str">
        <f>VLOOKUP(Table1[[#This Row],[Country]],REF_Country!$A$1:$D$11,3,FALSE)</f>
        <v>VN</v>
      </c>
      <c r="P869">
        <f>VLOOKUP(Table1[[#This Row],[Country]],REF_Country!$A$1:$D$11,4,FALSE)</f>
        <v>0.1</v>
      </c>
      <c r="Q869">
        <f>VLOOKUP(Table1[[#This Row],[Category]],REF_Target!$A$1:$E$6,2,FALSE)</f>
        <v>50000</v>
      </c>
      <c r="R869">
        <f>Table1[[#This Row],[Quantity]]*Table1[[#This Row],[Unit_Price]]</f>
        <v>7918.68</v>
      </c>
      <c r="S869">
        <f>Table1[[#This Row],[Gross_Sales]]*Table1[[#This Row],[Discount_Rate]]</f>
        <v>1187.8019999999999</v>
      </c>
      <c r="T869">
        <f>Table1[[#This Row],[Gross_Sales]]-Table1[[#This Row],[Discount_Amount]]</f>
        <v>6730.8780000000006</v>
      </c>
      <c r="U869">
        <f>VLOOKUP(Table1[[#This Row],[Category]],REF_Cost!$A$1:$B$6,2,FALSE)*Table1[[#This Row],[Quantity]]</f>
        <v>3150</v>
      </c>
      <c r="V869">
        <f>Table1[[#This Row],[Net_Sales]]-Table1[[#This Row],[Total_Cost]]</f>
        <v>3580.8780000000006</v>
      </c>
      <c r="W869" t="str">
        <f>TEXT(Table1[[#This Row],[Order_Date]],"mmm")</f>
        <v>Jan</v>
      </c>
      <c r="X869">
        <f>ROUNDUP(MONTH(Table1[[#This Row],[Order_Date]])/3,0)</f>
        <v>1</v>
      </c>
      <c r="Y869">
        <f>YEAR(Table1[[#This Row],[Order_Date]])</f>
        <v>2024</v>
      </c>
    </row>
    <row r="870" spans="1:25" x14ac:dyDescent="0.25">
      <c r="A870" t="s">
        <v>3543</v>
      </c>
      <c r="B870" t="s">
        <v>3544</v>
      </c>
      <c r="C870" t="s">
        <v>3545</v>
      </c>
      <c r="D870" t="s">
        <v>3546</v>
      </c>
      <c r="E870" t="s">
        <v>116</v>
      </c>
      <c r="F870" t="s">
        <v>84</v>
      </c>
      <c r="G870" t="s">
        <v>264</v>
      </c>
      <c r="H870" t="s">
        <v>72</v>
      </c>
      <c r="I870" t="s">
        <v>51</v>
      </c>
      <c r="J870" t="s">
        <v>34</v>
      </c>
      <c r="K870">
        <v>9</v>
      </c>
      <c r="L870">
        <v>1346.32</v>
      </c>
      <c r="M870" s="3">
        <v>0</v>
      </c>
      <c r="N870" t="str">
        <f>VLOOKUP(Table1[[#This Row],[Country]],REF_Country!$A$1:$D$11,2,FALSE)</f>
        <v>Southeast Asia</v>
      </c>
      <c r="O870" t="str">
        <f>VLOOKUP(Table1[[#This Row],[Country]],REF_Country!$A$1:$D$11,3,FALSE)</f>
        <v>MY</v>
      </c>
      <c r="P870">
        <f>VLOOKUP(Table1[[#This Row],[Country]],REF_Country!$A$1:$D$11,4,FALSE)</f>
        <v>0.06</v>
      </c>
      <c r="Q870">
        <f>VLOOKUP(Table1[[#This Row],[Category]],REF_Target!$A$1:$E$6,2,FALSE)</f>
        <v>30000</v>
      </c>
      <c r="R870">
        <f>Table1[[#This Row],[Quantity]]*Table1[[#This Row],[Unit_Price]]</f>
        <v>12116.88</v>
      </c>
      <c r="S870">
        <f>Table1[[#This Row],[Gross_Sales]]*Table1[[#This Row],[Discount_Rate]]</f>
        <v>0</v>
      </c>
      <c r="T870">
        <f>Table1[[#This Row],[Gross_Sales]]-Table1[[#This Row],[Discount_Amount]]</f>
        <v>12116.88</v>
      </c>
      <c r="U870">
        <f>VLOOKUP(Table1[[#This Row],[Category]],REF_Cost!$A$1:$B$6,2,FALSE)*Table1[[#This Row],[Quantity]]</f>
        <v>1800</v>
      </c>
      <c r="V870">
        <f>Table1[[#This Row],[Net_Sales]]-Table1[[#This Row],[Total_Cost]]</f>
        <v>10316.879999999999</v>
      </c>
      <c r="W870" t="str">
        <f>TEXT(Table1[[#This Row],[Order_Date]],"mmm")</f>
        <v>Mar</v>
      </c>
      <c r="X870">
        <f>ROUNDUP(MONTH(Table1[[#This Row],[Order_Date]])/3,0)</f>
        <v>1</v>
      </c>
      <c r="Y870">
        <f>YEAR(Table1[[#This Row],[Order_Date]])</f>
        <v>2024</v>
      </c>
    </row>
    <row r="871" spans="1:25" x14ac:dyDescent="0.25">
      <c r="A871" t="s">
        <v>3547</v>
      </c>
      <c r="B871" t="s">
        <v>3548</v>
      </c>
      <c r="C871" t="s">
        <v>3549</v>
      </c>
      <c r="D871" t="s">
        <v>3550</v>
      </c>
      <c r="E871" t="s">
        <v>48</v>
      </c>
      <c r="F871" t="s">
        <v>30</v>
      </c>
      <c r="G871" t="s">
        <v>195</v>
      </c>
      <c r="H871" t="s">
        <v>72</v>
      </c>
      <c r="I871" t="s">
        <v>43</v>
      </c>
      <c r="J871" t="s">
        <v>73</v>
      </c>
      <c r="K871">
        <v>2</v>
      </c>
      <c r="L871">
        <v>131.94999999999999</v>
      </c>
      <c r="M871" s="3">
        <v>0.2</v>
      </c>
      <c r="N871" t="str">
        <f>VLOOKUP(Table1[[#This Row],[Country]],REF_Country!$A$1:$D$11,2,FALSE)</f>
        <v>Southeast Asia</v>
      </c>
      <c r="O871" t="str">
        <f>VLOOKUP(Table1[[#This Row],[Country]],REF_Country!$A$1:$D$11,3,FALSE)</f>
        <v>SG</v>
      </c>
      <c r="P871">
        <f>VLOOKUP(Table1[[#This Row],[Country]],REF_Country!$A$1:$D$11,4,FALSE)</f>
        <v>7.0000000000000007E-2</v>
      </c>
      <c r="Q871">
        <f>VLOOKUP(Table1[[#This Row],[Category]],REF_Target!$A$1:$E$6,2,FALSE)</f>
        <v>40000</v>
      </c>
      <c r="R871">
        <f>Table1[[#This Row],[Quantity]]*Table1[[#This Row],[Unit_Price]]</f>
        <v>263.89999999999998</v>
      </c>
      <c r="S871">
        <f>Table1[[#This Row],[Gross_Sales]]*Table1[[#This Row],[Discount_Rate]]</f>
        <v>52.78</v>
      </c>
      <c r="T871">
        <f>Table1[[#This Row],[Gross_Sales]]-Table1[[#This Row],[Discount_Amount]]</f>
        <v>211.11999999999998</v>
      </c>
      <c r="U871">
        <f>VLOOKUP(Table1[[#This Row],[Category]],REF_Cost!$A$1:$B$6,2,FALSE)*Table1[[#This Row],[Quantity]]</f>
        <v>240</v>
      </c>
      <c r="V871">
        <f>Table1[[#This Row],[Net_Sales]]-Table1[[#This Row],[Total_Cost]]</f>
        <v>-28.880000000000024</v>
      </c>
      <c r="W871" t="str">
        <f>TEXT(Table1[[#This Row],[Order_Date]],"mmm")</f>
        <v>Oct</v>
      </c>
      <c r="X871">
        <f>ROUNDUP(MONTH(Table1[[#This Row],[Order_Date]])/3,0)</f>
        <v>4</v>
      </c>
      <c r="Y871">
        <f>YEAR(Table1[[#This Row],[Order_Date]])</f>
        <v>2024</v>
      </c>
    </row>
    <row r="872" spans="1:25" x14ac:dyDescent="0.25">
      <c r="A872" t="s">
        <v>3551</v>
      </c>
      <c r="B872" t="s">
        <v>3552</v>
      </c>
      <c r="C872" t="s">
        <v>3553</v>
      </c>
      <c r="D872" t="s">
        <v>3554</v>
      </c>
      <c r="E872" t="s">
        <v>83</v>
      </c>
      <c r="F872" t="s">
        <v>40</v>
      </c>
      <c r="G872" t="s">
        <v>315</v>
      </c>
      <c r="H872" t="s">
        <v>58</v>
      </c>
      <c r="I872" t="s">
        <v>66</v>
      </c>
      <c r="J872" t="s">
        <v>34</v>
      </c>
      <c r="K872">
        <v>3</v>
      </c>
      <c r="L872">
        <v>679.51</v>
      </c>
      <c r="M872" s="3">
        <v>0.05</v>
      </c>
      <c r="N872" t="str">
        <f>VLOOKUP(Table1[[#This Row],[Country]],REF_Country!$A$1:$D$11,2,FALSE)</f>
        <v>South Asia</v>
      </c>
      <c r="O872" t="str">
        <f>VLOOKUP(Table1[[#This Row],[Country]],REF_Country!$A$1:$D$11,3,FALSE)</f>
        <v>IN</v>
      </c>
      <c r="P872">
        <f>VLOOKUP(Table1[[#This Row],[Country]],REF_Country!$A$1:$D$11,4,FALSE)</f>
        <v>0.18</v>
      </c>
      <c r="Q872">
        <f>VLOOKUP(Table1[[#This Row],[Category]],REF_Target!$A$1:$E$6,2,FALSE)</f>
        <v>45000</v>
      </c>
      <c r="R872">
        <f>Table1[[#This Row],[Quantity]]*Table1[[#This Row],[Unit_Price]]</f>
        <v>2038.53</v>
      </c>
      <c r="S872">
        <f>Table1[[#This Row],[Gross_Sales]]*Table1[[#This Row],[Discount_Rate]]</f>
        <v>101.9265</v>
      </c>
      <c r="T872">
        <f>Table1[[#This Row],[Gross_Sales]]-Table1[[#This Row],[Discount_Amount]]</f>
        <v>1936.6034999999999</v>
      </c>
      <c r="U872">
        <f>VLOOKUP(Table1[[#This Row],[Category]],REF_Cost!$A$1:$B$6,2,FALSE)*Table1[[#This Row],[Quantity]]</f>
        <v>240</v>
      </c>
      <c r="V872">
        <f>Table1[[#This Row],[Net_Sales]]-Table1[[#This Row],[Total_Cost]]</f>
        <v>1696.6034999999999</v>
      </c>
      <c r="W872" t="str">
        <f>TEXT(Table1[[#This Row],[Order_Date]],"mmm")</f>
        <v>Sep</v>
      </c>
      <c r="X872">
        <f>ROUNDUP(MONTH(Table1[[#This Row],[Order_Date]])/3,0)</f>
        <v>3</v>
      </c>
      <c r="Y872">
        <f>YEAR(Table1[[#This Row],[Order_Date]])</f>
        <v>2024</v>
      </c>
    </row>
    <row r="873" spans="1:25" x14ac:dyDescent="0.25">
      <c r="A873" t="s">
        <v>3555</v>
      </c>
      <c r="B873" t="s">
        <v>3556</v>
      </c>
      <c r="C873" t="s">
        <v>3557</v>
      </c>
      <c r="D873" t="s">
        <v>3558</v>
      </c>
      <c r="E873" t="s">
        <v>39</v>
      </c>
      <c r="F873" t="s">
        <v>30</v>
      </c>
      <c r="G873" t="s">
        <v>139</v>
      </c>
      <c r="H873" t="s">
        <v>42</v>
      </c>
      <c r="I873" t="s">
        <v>51</v>
      </c>
      <c r="J873" t="s">
        <v>126</v>
      </c>
      <c r="K873">
        <v>3</v>
      </c>
      <c r="L873">
        <v>916.21</v>
      </c>
      <c r="M873" s="3">
        <v>0.15</v>
      </c>
      <c r="N873" t="str">
        <f>VLOOKUP(Table1[[#This Row],[Country]],REF_Country!$A$1:$D$11,2,FALSE)</f>
        <v>Southeast Asia</v>
      </c>
      <c r="O873" t="str">
        <f>VLOOKUP(Table1[[#This Row],[Country]],REF_Country!$A$1:$D$11,3,FALSE)</f>
        <v>TH</v>
      </c>
      <c r="P873">
        <f>VLOOKUP(Table1[[#This Row],[Country]],REF_Country!$A$1:$D$11,4,FALSE)</f>
        <v>7.0000000000000007E-2</v>
      </c>
      <c r="Q873">
        <f>VLOOKUP(Table1[[#This Row],[Category]],REF_Target!$A$1:$E$6,2,FALSE)</f>
        <v>40000</v>
      </c>
      <c r="R873">
        <f>Table1[[#This Row],[Quantity]]*Table1[[#This Row],[Unit_Price]]</f>
        <v>2748.63</v>
      </c>
      <c r="S873">
        <f>Table1[[#This Row],[Gross_Sales]]*Table1[[#This Row],[Discount_Rate]]</f>
        <v>412.29450000000003</v>
      </c>
      <c r="T873">
        <f>Table1[[#This Row],[Gross_Sales]]-Table1[[#This Row],[Discount_Amount]]</f>
        <v>2336.3355000000001</v>
      </c>
      <c r="U873">
        <f>VLOOKUP(Table1[[#This Row],[Category]],REF_Cost!$A$1:$B$6,2,FALSE)*Table1[[#This Row],[Quantity]]</f>
        <v>360</v>
      </c>
      <c r="V873">
        <f>Table1[[#This Row],[Net_Sales]]-Table1[[#This Row],[Total_Cost]]</f>
        <v>1976.3355000000001</v>
      </c>
      <c r="W873" t="str">
        <f>TEXT(Table1[[#This Row],[Order_Date]],"mmm")</f>
        <v>Dec</v>
      </c>
      <c r="X873">
        <f>ROUNDUP(MONTH(Table1[[#This Row],[Order_Date]])/3,0)</f>
        <v>4</v>
      </c>
      <c r="Y873">
        <f>YEAR(Table1[[#This Row],[Order_Date]])</f>
        <v>2024</v>
      </c>
    </row>
    <row r="874" spans="1:25" x14ac:dyDescent="0.25">
      <c r="A874" t="s">
        <v>3559</v>
      </c>
      <c r="B874" t="s">
        <v>3560</v>
      </c>
      <c r="C874" t="s">
        <v>3561</v>
      </c>
      <c r="D874" t="s">
        <v>3562</v>
      </c>
      <c r="E874" t="s">
        <v>116</v>
      </c>
      <c r="F874" t="s">
        <v>49</v>
      </c>
      <c r="G874" t="s">
        <v>117</v>
      </c>
      <c r="H874" t="s">
        <v>72</v>
      </c>
      <c r="I874" t="s">
        <v>51</v>
      </c>
      <c r="J874" t="s">
        <v>59</v>
      </c>
      <c r="K874">
        <v>3</v>
      </c>
      <c r="L874">
        <v>690.39</v>
      </c>
      <c r="M874" s="3">
        <v>0.05</v>
      </c>
      <c r="N874" t="str">
        <f>VLOOKUP(Table1[[#This Row],[Country]],REF_Country!$A$1:$D$11,2,FALSE)</f>
        <v>Southeast Asia</v>
      </c>
      <c r="O874" t="str">
        <f>VLOOKUP(Table1[[#This Row],[Country]],REF_Country!$A$1:$D$11,3,FALSE)</f>
        <v>MY</v>
      </c>
      <c r="P874">
        <f>VLOOKUP(Table1[[#This Row],[Country]],REF_Country!$A$1:$D$11,4,FALSE)</f>
        <v>0.06</v>
      </c>
      <c r="Q874">
        <f>VLOOKUP(Table1[[#This Row],[Category]],REF_Target!$A$1:$E$6,2,FALSE)</f>
        <v>35000</v>
      </c>
      <c r="R874">
        <f>Table1[[#This Row],[Quantity]]*Table1[[#This Row],[Unit_Price]]</f>
        <v>2071.17</v>
      </c>
      <c r="S874">
        <f>Table1[[#This Row],[Gross_Sales]]*Table1[[#This Row],[Discount_Rate]]</f>
        <v>103.55850000000001</v>
      </c>
      <c r="T874">
        <f>Table1[[#This Row],[Gross_Sales]]-Table1[[#This Row],[Discount_Amount]]</f>
        <v>1967.6115</v>
      </c>
      <c r="U874">
        <f>VLOOKUP(Table1[[#This Row],[Category]],REF_Cost!$A$1:$B$6,2,FALSE)*Table1[[#This Row],[Quantity]]</f>
        <v>450</v>
      </c>
      <c r="V874">
        <f>Table1[[#This Row],[Net_Sales]]-Table1[[#This Row],[Total_Cost]]</f>
        <v>1517.6115</v>
      </c>
      <c r="W874" t="str">
        <f>TEXT(Table1[[#This Row],[Order_Date]],"mmm")</f>
        <v>Jun</v>
      </c>
      <c r="X874">
        <f>ROUNDUP(MONTH(Table1[[#This Row],[Order_Date]])/3,0)</f>
        <v>2</v>
      </c>
      <c r="Y874">
        <f>YEAR(Table1[[#This Row],[Order_Date]])</f>
        <v>2024</v>
      </c>
    </row>
    <row r="875" spans="1:25" x14ac:dyDescent="0.25">
      <c r="A875" t="s">
        <v>3563</v>
      </c>
      <c r="B875" t="s">
        <v>3564</v>
      </c>
      <c r="C875" t="s">
        <v>3565</v>
      </c>
      <c r="D875" t="s">
        <v>3566</v>
      </c>
      <c r="E875" t="s">
        <v>116</v>
      </c>
      <c r="F875" t="s">
        <v>30</v>
      </c>
      <c r="G875" t="s">
        <v>195</v>
      </c>
      <c r="H875" t="s">
        <v>42</v>
      </c>
      <c r="I875" t="s">
        <v>43</v>
      </c>
      <c r="J875" t="s">
        <v>126</v>
      </c>
      <c r="K875">
        <v>8</v>
      </c>
      <c r="L875">
        <v>398.05</v>
      </c>
      <c r="M875" s="3">
        <v>0.05</v>
      </c>
      <c r="N875" t="str">
        <f>VLOOKUP(Table1[[#This Row],[Country]],REF_Country!$A$1:$D$11,2,FALSE)</f>
        <v>Southeast Asia</v>
      </c>
      <c r="O875" t="str">
        <f>VLOOKUP(Table1[[#This Row],[Country]],REF_Country!$A$1:$D$11,3,FALSE)</f>
        <v>MY</v>
      </c>
      <c r="P875">
        <f>VLOOKUP(Table1[[#This Row],[Country]],REF_Country!$A$1:$D$11,4,FALSE)</f>
        <v>0.06</v>
      </c>
      <c r="Q875">
        <f>VLOOKUP(Table1[[#This Row],[Category]],REF_Target!$A$1:$E$6,2,FALSE)</f>
        <v>40000</v>
      </c>
      <c r="R875">
        <f>Table1[[#This Row],[Quantity]]*Table1[[#This Row],[Unit_Price]]</f>
        <v>3184.4</v>
      </c>
      <c r="S875">
        <f>Table1[[#This Row],[Gross_Sales]]*Table1[[#This Row],[Discount_Rate]]</f>
        <v>159.22000000000003</v>
      </c>
      <c r="T875">
        <f>Table1[[#This Row],[Gross_Sales]]-Table1[[#This Row],[Discount_Amount]]</f>
        <v>3025.1800000000003</v>
      </c>
      <c r="U875">
        <f>VLOOKUP(Table1[[#This Row],[Category]],REF_Cost!$A$1:$B$6,2,FALSE)*Table1[[#This Row],[Quantity]]</f>
        <v>960</v>
      </c>
      <c r="V875">
        <f>Table1[[#This Row],[Net_Sales]]-Table1[[#This Row],[Total_Cost]]</f>
        <v>2065.1800000000003</v>
      </c>
      <c r="W875" t="str">
        <f>TEXT(Table1[[#This Row],[Order_Date]],"mmm")</f>
        <v>Jul</v>
      </c>
      <c r="X875">
        <f>ROUNDUP(MONTH(Table1[[#This Row],[Order_Date]])/3,0)</f>
        <v>3</v>
      </c>
      <c r="Y875">
        <f>YEAR(Table1[[#This Row],[Order_Date]])</f>
        <v>2024</v>
      </c>
    </row>
    <row r="876" spans="1:25" x14ac:dyDescent="0.25">
      <c r="A876" t="s">
        <v>3567</v>
      </c>
      <c r="B876" t="s">
        <v>3568</v>
      </c>
      <c r="C876" t="s">
        <v>3569</v>
      </c>
      <c r="D876" t="s">
        <v>3570</v>
      </c>
      <c r="E876" t="s">
        <v>29</v>
      </c>
      <c r="F876" t="s">
        <v>49</v>
      </c>
      <c r="G876" t="s">
        <v>226</v>
      </c>
      <c r="H876" t="s">
        <v>58</v>
      </c>
      <c r="I876" t="s">
        <v>33</v>
      </c>
      <c r="J876" t="s">
        <v>59</v>
      </c>
      <c r="K876">
        <v>3</v>
      </c>
      <c r="L876">
        <v>1287.6500000000001</v>
      </c>
      <c r="M876" s="3">
        <v>0.1</v>
      </c>
      <c r="N876" t="str">
        <f>VLOOKUP(Table1[[#This Row],[Country]],REF_Country!$A$1:$D$11,2,FALSE)</f>
        <v>Southeast Asia</v>
      </c>
      <c r="O876" t="str">
        <f>VLOOKUP(Table1[[#This Row],[Country]],REF_Country!$A$1:$D$11,3,FALSE)</f>
        <v>VN</v>
      </c>
      <c r="P876">
        <f>VLOOKUP(Table1[[#This Row],[Country]],REF_Country!$A$1:$D$11,4,FALSE)</f>
        <v>0.1</v>
      </c>
      <c r="Q876">
        <f>VLOOKUP(Table1[[#This Row],[Category]],REF_Target!$A$1:$E$6,2,FALSE)</f>
        <v>35000</v>
      </c>
      <c r="R876">
        <f>Table1[[#This Row],[Quantity]]*Table1[[#This Row],[Unit_Price]]</f>
        <v>3862.9500000000003</v>
      </c>
      <c r="S876">
        <f>Table1[[#This Row],[Gross_Sales]]*Table1[[#This Row],[Discount_Rate]]</f>
        <v>386.29500000000007</v>
      </c>
      <c r="T876">
        <f>Table1[[#This Row],[Gross_Sales]]-Table1[[#This Row],[Discount_Amount]]</f>
        <v>3476.6550000000002</v>
      </c>
      <c r="U876">
        <f>VLOOKUP(Table1[[#This Row],[Category]],REF_Cost!$A$1:$B$6,2,FALSE)*Table1[[#This Row],[Quantity]]</f>
        <v>450</v>
      </c>
      <c r="V876">
        <f>Table1[[#This Row],[Net_Sales]]-Table1[[#This Row],[Total_Cost]]</f>
        <v>3026.6550000000002</v>
      </c>
      <c r="W876" t="str">
        <f>TEXT(Table1[[#This Row],[Order_Date]],"mmm")</f>
        <v>Sep</v>
      </c>
      <c r="X876">
        <f>ROUNDUP(MONTH(Table1[[#This Row],[Order_Date]])/3,0)</f>
        <v>3</v>
      </c>
      <c r="Y876">
        <f>YEAR(Table1[[#This Row],[Order_Date]])</f>
        <v>2024</v>
      </c>
    </row>
    <row r="877" spans="1:25" x14ac:dyDescent="0.25">
      <c r="A877" t="s">
        <v>3571</v>
      </c>
      <c r="B877" t="s">
        <v>3572</v>
      </c>
      <c r="C877" t="s">
        <v>3573</v>
      </c>
      <c r="D877" t="s">
        <v>3574</v>
      </c>
      <c r="E877" t="s">
        <v>78</v>
      </c>
      <c r="F877" t="s">
        <v>49</v>
      </c>
      <c r="G877" t="s">
        <v>50</v>
      </c>
      <c r="H877" t="s">
        <v>32</v>
      </c>
      <c r="I877" t="s">
        <v>43</v>
      </c>
      <c r="J877" t="s">
        <v>126</v>
      </c>
      <c r="K877">
        <v>1</v>
      </c>
      <c r="L877">
        <v>1317.95</v>
      </c>
      <c r="M877" s="3">
        <v>0.15</v>
      </c>
      <c r="N877" t="str">
        <f>VLOOKUP(Table1[[#This Row],[Country]],REF_Country!$A$1:$D$11,2,FALSE)</f>
        <v>Oceania</v>
      </c>
      <c r="O877" t="str">
        <f>VLOOKUP(Table1[[#This Row],[Country]],REF_Country!$A$1:$D$11,3,FALSE)</f>
        <v>AU</v>
      </c>
      <c r="P877">
        <f>VLOOKUP(Table1[[#This Row],[Country]],REF_Country!$A$1:$D$11,4,FALSE)</f>
        <v>0.1</v>
      </c>
      <c r="Q877">
        <f>VLOOKUP(Table1[[#This Row],[Category]],REF_Target!$A$1:$E$6,2,FALSE)</f>
        <v>35000</v>
      </c>
      <c r="R877">
        <f>Table1[[#This Row],[Quantity]]*Table1[[#This Row],[Unit_Price]]</f>
        <v>1317.95</v>
      </c>
      <c r="S877">
        <f>Table1[[#This Row],[Gross_Sales]]*Table1[[#This Row],[Discount_Rate]]</f>
        <v>197.6925</v>
      </c>
      <c r="T877">
        <f>Table1[[#This Row],[Gross_Sales]]-Table1[[#This Row],[Discount_Amount]]</f>
        <v>1120.2575000000002</v>
      </c>
      <c r="U877">
        <f>VLOOKUP(Table1[[#This Row],[Category]],REF_Cost!$A$1:$B$6,2,FALSE)*Table1[[#This Row],[Quantity]]</f>
        <v>150</v>
      </c>
      <c r="V877">
        <f>Table1[[#This Row],[Net_Sales]]-Table1[[#This Row],[Total_Cost]]</f>
        <v>970.25750000000016</v>
      </c>
      <c r="W877" t="str">
        <f>TEXT(Table1[[#This Row],[Order_Date]],"mmm")</f>
        <v>Feb</v>
      </c>
      <c r="X877">
        <f>ROUNDUP(MONTH(Table1[[#This Row],[Order_Date]])/3,0)</f>
        <v>1</v>
      </c>
      <c r="Y877">
        <f>YEAR(Table1[[#This Row],[Order_Date]])</f>
        <v>2024</v>
      </c>
    </row>
    <row r="878" spans="1:25" x14ac:dyDescent="0.25">
      <c r="A878" t="s">
        <v>3575</v>
      </c>
      <c r="B878" t="s">
        <v>3576</v>
      </c>
      <c r="C878" t="s">
        <v>3577</v>
      </c>
      <c r="D878" t="s">
        <v>3578</v>
      </c>
      <c r="E878" t="s">
        <v>48</v>
      </c>
      <c r="F878" t="s">
        <v>40</v>
      </c>
      <c r="G878" t="s">
        <v>565</v>
      </c>
      <c r="H878" t="s">
        <v>42</v>
      </c>
      <c r="I878" t="s">
        <v>51</v>
      </c>
      <c r="J878" t="s">
        <v>59</v>
      </c>
      <c r="K878">
        <v>4</v>
      </c>
      <c r="L878">
        <v>1282.94</v>
      </c>
      <c r="M878" s="3">
        <v>0.1</v>
      </c>
      <c r="N878" t="str">
        <f>VLOOKUP(Table1[[#This Row],[Country]],REF_Country!$A$1:$D$11,2,FALSE)</f>
        <v>Southeast Asia</v>
      </c>
      <c r="O878" t="str">
        <f>VLOOKUP(Table1[[#This Row],[Country]],REF_Country!$A$1:$D$11,3,FALSE)</f>
        <v>SG</v>
      </c>
      <c r="P878">
        <f>VLOOKUP(Table1[[#This Row],[Country]],REF_Country!$A$1:$D$11,4,FALSE)</f>
        <v>7.0000000000000007E-2</v>
      </c>
      <c r="Q878">
        <f>VLOOKUP(Table1[[#This Row],[Category]],REF_Target!$A$1:$E$6,2,FALSE)</f>
        <v>45000</v>
      </c>
      <c r="R878">
        <f>Table1[[#This Row],[Quantity]]*Table1[[#This Row],[Unit_Price]]</f>
        <v>5131.76</v>
      </c>
      <c r="S878">
        <f>Table1[[#This Row],[Gross_Sales]]*Table1[[#This Row],[Discount_Rate]]</f>
        <v>513.17600000000004</v>
      </c>
      <c r="T878">
        <f>Table1[[#This Row],[Gross_Sales]]-Table1[[#This Row],[Discount_Amount]]</f>
        <v>4618.5839999999998</v>
      </c>
      <c r="U878">
        <f>VLOOKUP(Table1[[#This Row],[Category]],REF_Cost!$A$1:$B$6,2,FALSE)*Table1[[#This Row],[Quantity]]</f>
        <v>320</v>
      </c>
      <c r="V878">
        <f>Table1[[#This Row],[Net_Sales]]-Table1[[#This Row],[Total_Cost]]</f>
        <v>4298.5839999999998</v>
      </c>
      <c r="W878" t="str">
        <f>TEXT(Table1[[#This Row],[Order_Date]],"mmm")</f>
        <v>Feb</v>
      </c>
      <c r="X878">
        <f>ROUNDUP(MONTH(Table1[[#This Row],[Order_Date]])/3,0)</f>
        <v>1</v>
      </c>
      <c r="Y878">
        <f>YEAR(Table1[[#This Row],[Order_Date]])</f>
        <v>2024</v>
      </c>
    </row>
    <row r="879" spans="1:25" x14ac:dyDescent="0.25">
      <c r="A879" t="s">
        <v>3579</v>
      </c>
      <c r="B879" t="s">
        <v>3580</v>
      </c>
      <c r="C879" t="s">
        <v>3581</v>
      </c>
      <c r="D879" t="s">
        <v>3582</v>
      </c>
      <c r="E879" t="s">
        <v>200</v>
      </c>
      <c r="F879" t="s">
        <v>56</v>
      </c>
      <c r="G879" t="s">
        <v>101</v>
      </c>
      <c r="H879" t="s">
        <v>42</v>
      </c>
      <c r="I879" t="s">
        <v>43</v>
      </c>
      <c r="J879" t="s">
        <v>34</v>
      </c>
      <c r="K879">
        <v>2</v>
      </c>
      <c r="L879">
        <v>282.70999999999998</v>
      </c>
      <c r="M879" s="3">
        <v>0.1</v>
      </c>
      <c r="N879" t="str">
        <f>VLOOKUP(Table1[[#This Row],[Country]],REF_Country!$A$1:$D$11,2,FALSE)</f>
        <v>East Asia</v>
      </c>
      <c r="O879" t="str">
        <f>VLOOKUP(Table1[[#This Row],[Country]],REF_Country!$A$1:$D$11,3,FALSE)</f>
        <v>KR</v>
      </c>
      <c r="P879">
        <f>VLOOKUP(Table1[[#This Row],[Country]],REF_Country!$A$1:$D$11,4,FALSE)</f>
        <v>0.1</v>
      </c>
      <c r="Q879">
        <f>VLOOKUP(Table1[[#This Row],[Category]],REF_Target!$A$1:$E$6,2,FALSE)</f>
        <v>50000</v>
      </c>
      <c r="R879">
        <f>Table1[[#This Row],[Quantity]]*Table1[[#This Row],[Unit_Price]]</f>
        <v>565.41999999999996</v>
      </c>
      <c r="S879">
        <f>Table1[[#This Row],[Gross_Sales]]*Table1[[#This Row],[Discount_Rate]]</f>
        <v>56.542000000000002</v>
      </c>
      <c r="T879">
        <f>Table1[[#This Row],[Gross_Sales]]-Table1[[#This Row],[Discount_Amount]]</f>
        <v>508.87799999999993</v>
      </c>
      <c r="U879">
        <f>VLOOKUP(Table1[[#This Row],[Category]],REF_Cost!$A$1:$B$6,2,FALSE)*Table1[[#This Row],[Quantity]]</f>
        <v>900</v>
      </c>
      <c r="V879">
        <f>Table1[[#This Row],[Net_Sales]]-Table1[[#This Row],[Total_Cost]]</f>
        <v>-391.12200000000007</v>
      </c>
      <c r="W879" t="str">
        <f>TEXT(Table1[[#This Row],[Order_Date]],"mmm")</f>
        <v>Aug</v>
      </c>
      <c r="X879">
        <f>ROUNDUP(MONTH(Table1[[#This Row],[Order_Date]])/3,0)</f>
        <v>3</v>
      </c>
      <c r="Y879">
        <f>YEAR(Table1[[#This Row],[Order_Date]])</f>
        <v>2024</v>
      </c>
    </row>
    <row r="880" spans="1:25" x14ac:dyDescent="0.25">
      <c r="A880" t="s">
        <v>3583</v>
      </c>
      <c r="B880" t="s">
        <v>3584</v>
      </c>
      <c r="C880" t="s">
        <v>3585</v>
      </c>
      <c r="D880" t="s">
        <v>3586</v>
      </c>
      <c r="E880" t="s">
        <v>83</v>
      </c>
      <c r="F880" t="s">
        <v>49</v>
      </c>
      <c r="G880" t="s">
        <v>286</v>
      </c>
      <c r="H880" t="s">
        <v>58</v>
      </c>
      <c r="I880" t="s">
        <v>96</v>
      </c>
      <c r="J880" t="s">
        <v>126</v>
      </c>
      <c r="K880">
        <v>8</v>
      </c>
      <c r="L880">
        <v>1057.9000000000001</v>
      </c>
      <c r="M880" s="3">
        <v>0</v>
      </c>
      <c r="N880" t="str">
        <f>VLOOKUP(Table1[[#This Row],[Country]],REF_Country!$A$1:$D$11,2,FALSE)</f>
        <v>South Asia</v>
      </c>
      <c r="O880" t="str">
        <f>VLOOKUP(Table1[[#This Row],[Country]],REF_Country!$A$1:$D$11,3,FALSE)</f>
        <v>IN</v>
      </c>
      <c r="P880">
        <f>VLOOKUP(Table1[[#This Row],[Country]],REF_Country!$A$1:$D$11,4,FALSE)</f>
        <v>0.18</v>
      </c>
      <c r="Q880">
        <f>VLOOKUP(Table1[[#This Row],[Category]],REF_Target!$A$1:$E$6,2,FALSE)</f>
        <v>35000</v>
      </c>
      <c r="R880">
        <f>Table1[[#This Row],[Quantity]]*Table1[[#This Row],[Unit_Price]]</f>
        <v>8463.2000000000007</v>
      </c>
      <c r="S880">
        <f>Table1[[#This Row],[Gross_Sales]]*Table1[[#This Row],[Discount_Rate]]</f>
        <v>0</v>
      </c>
      <c r="T880">
        <f>Table1[[#This Row],[Gross_Sales]]-Table1[[#This Row],[Discount_Amount]]</f>
        <v>8463.2000000000007</v>
      </c>
      <c r="U880">
        <f>VLOOKUP(Table1[[#This Row],[Category]],REF_Cost!$A$1:$B$6,2,FALSE)*Table1[[#This Row],[Quantity]]</f>
        <v>1200</v>
      </c>
      <c r="V880">
        <f>Table1[[#This Row],[Net_Sales]]-Table1[[#This Row],[Total_Cost]]</f>
        <v>7263.2000000000007</v>
      </c>
      <c r="W880" t="str">
        <f>TEXT(Table1[[#This Row],[Order_Date]],"mmm")</f>
        <v>Feb</v>
      </c>
      <c r="X880">
        <f>ROUNDUP(MONTH(Table1[[#This Row],[Order_Date]])/3,0)</f>
        <v>1</v>
      </c>
      <c r="Y880">
        <f>YEAR(Table1[[#This Row],[Order_Date]])</f>
        <v>2024</v>
      </c>
    </row>
    <row r="881" spans="1:25" x14ac:dyDescent="0.25">
      <c r="A881" t="s">
        <v>3587</v>
      </c>
      <c r="B881" t="s">
        <v>3588</v>
      </c>
      <c r="C881" t="s">
        <v>3589</v>
      </c>
      <c r="D881" t="s">
        <v>3590</v>
      </c>
      <c r="E881" t="s">
        <v>39</v>
      </c>
      <c r="F881" t="s">
        <v>84</v>
      </c>
      <c r="G881" t="s">
        <v>90</v>
      </c>
      <c r="H881" t="s">
        <v>32</v>
      </c>
      <c r="I881" t="s">
        <v>66</v>
      </c>
      <c r="J881" t="s">
        <v>34</v>
      </c>
      <c r="K881">
        <v>10</v>
      </c>
      <c r="L881">
        <v>61.52</v>
      </c>
      <c r="M881" s="3">
        <v>0.1</v>
      </c>
      <c r="N881" t="str">
        <f>VLOOKUP(Table1[[#This Row],[Country]],REF_Country!$A$1:$D$11,2,FALSE)</f>
        <v>Southeast Asia</v>
      </c>
      <c r="O881" t="str">
        <f>VLOOKUP(Table1[[#This Row],[Country]],REF_Country!$A$1:$D$11,3,FALSE)</f>
        <v>TH</v>
      </c>
      <c r="P881">
        <f>VLOOKUP(Table1[[#This Row],[Country]],REF_Country!$A$1:$D$11,4,FALSE)</f>
        <v>7.0000000000000007E-2</v>
      </c>
      <c r="Q881">
        <f>VLOOKUP(Table1[[#This Row],[Category]],REF_Target!$A$1:$E$6,2,FALSE)</f>
        <v>30000</v>
      </c>
      <c r="R881">
        <f>Table1[[#This Row],[Quantity]]*Table1[[#This Row],[Unit_Price]]</f>
        <v>615.20000000000005</v>
      </c>
      <c r="S881">
        <f>Table1[[#This Row],[Gross_Sales]]*Table1[[#This Row],[Discount_Rate]]</f>
        <v>61.52000000000001</v>
      </c>
      <c r="T881">
        <f>Table1[[#This Row],[Gross_Sales]]-Table1[[#This Row],[Discount_Amount]]</f>
        <v>553.68000000000006</v>
      </c>
      <c r="U881">
        <f>VLOOKUP(Table1[[#This Row],[Category]],REF_Cost!$A$1:$B$6,2,FALSE)*Table1[[#This Row],[Quantity]]</f>
        <v>2000</v>
      </c>
      <c r="V881">
        <f>Table1[[#This Row],[Net_Sales]]-Table1[[#This Row],[Total_Cost]]</f>
        <v>-1446.32</v>
      </c>
      <c r="W881" t="str">
        <f>TEXT(Table1[[#This Row],[Order_Date]],"mmm")</f>
        <v>Mar</v>
      </c>
      <c r="X881">
        <f>ROUNDUP(MONTH(Table1[[#This Row],[Order_Date]])/3,0)</f>
        <v>1</v>
      </c>
      <c r="Y881">
        <f>YEAR(Table1[[#This Row],[Order_Date]])</f>
        <v>2024</v>
      </c>
    </row>
    <row r="882" spans="1:25" x14ac:dyDescent="0.25">
      <c r="A882" t="s">
        <v>3591</v>
      </c>
      <c r="B882" t="s">
        <v>3592</v>
      </c>
      <c r="C882" t="s">
        <v>3593</v>
      </c>
      <c r="D882" t="s">
        <v>532</v>
      </c>
      <c r="E882" t="s">
        <v>64</v>
      </c>
      <c r="F882" t="s">
        <v>49</v>
      </c>
      <c r="G882" t="s">
        <v>50</v>
      </c>
      <c r="H882" t="s">
        <v>72</v>
      </c>
      <c r="I882" t="s">
        <v>51</v>
      </c>
      <c r="J882" t="s">
        <v>59</v>
      </c>
      <c r="K882">
        <v>3</v>
      </c>
      <c r="L882">
        <v>389.33</v>
      </c>
      <c r="M882" s="3">
        <v>0</v>
      </c>
      <c r="N882" t="str">
        <f>VLOOKUP(Table1[[#This Row],[Country]],REF_Country!$A$1:$D$11,2,FALSE)</f>
        <v>Southeast Asia</v>
      </c>
      <c r="O882" t="str">
        <f>VLOOKUP(Table1[[#This Row],[Country]],REF_Country!$A$1:$D$11,3,FALSE)</f>
        <v>ID</v>
      </c>
      <c r="P882">
        <f>VLOOKUP(Table1[[#This Row],[Country]],REF_Country!$A$1:$D$11,4,FALSE)</f>
        <v>0.11</v>
      </c>
      <c r="Q882">
        <f>VLOOKUP(Table1[[#This Row],[Category]],REF_Target!$A$1:$E$6,2,FALSE)</f>
        <v>35000</v>
      </c>
      <c r="R882">
        <f>Table1[[#This Row],[Quantity]]*Table1[[#This Row],[Unit_Price]]</f>
        <v>1167.99</v>
      </c>
      <c r="S882">
        <f>Table1[[#This Row],[Gross_Sales]]*Table1[[#This Row],[Discount_Rate]]</f>
        <v>0</v>
      </c>
      <c r="T882">
        <f>Table1[[#This Row],[Gross_Sales]]-Table1[[#This Row],[Discount_Amount]]</f>
        <v>1167.99</v>
      </c>
      <c r="U882">
        <f>VLOOKUP(Table1[[#This Row],[Category]],REF_Cost!$A$1:$B$6,2,FALSE)*Table1[[#This Row],[Quantity]]</f>
        <v>450</v>
      </c>
      <c r="V882">
        <f>Table1[[#This Row],[Net_Sales]]-Table1[[#This Row],[Total_Cost]]</f>
        <v>717.99</v>
      </c>
      <c r="W882" t="str">
        <f>TEXT(Table1[[#This Row],[Order_Date]],"mmm")</f>
        <v>Apr</v>
      </c>
      <c r="X882">
        <f>ROUNDUP(MONTH(Table1[[#This Row],[Order_Date]])/3,0)</f>
        <v>2</v>
      </c>
      <c r="Y882">
        <f>YEAR(Table1[[#This Row],[Order_Date]])</f>
        <v>2024</v>
      </c>
    </row>
    <row r="883" spans="1:25" x14ac:dyDescent="0.25">
      <c r="A883" t="s">
        <v>3594</v>
      </c>
      <c r="B883" t="s">
        <v>3595</v>
      </c>
      <c r="C883" t="s">
        <v>3596</v>
      </c>
      <c r="D883" t="s">
        <v>3597</v>
      </c>
      <c r="E883" t="s">
        <v>200</v>
      </c>
      <c r="F883" t="s">
        <v>49</v>
      </c>
      <c r="G883" t="s">
        <v>259</v>
      </c>
      <c r="H883" t="s">
        <v>32</v>
      </c>
      <c r="I883" t="s">
        <v>51</v>
      </c>
      <c r="J883" t="s">
        <v>34</v>
      </c>
      <c r="K883">
        <v>5</v>
      </c>
      <c r="L883">
        <v>332.95</v>
      </c>
      <c r="M883" s="3">
        <v>0</v>
      </c>
      <c r="N883" t="str">
        <f>VLOOKUP(Table1[[#This Row],[Country]],REF_Country!$A$1:$D$11,2,FALSE)</f>
        <v>East Asia</v>
      </c>
      <c r="O883" t="str">
        <f>VLOOKUP(Table1[[#This Row],[Country]],REF_Country!$A$1:$D$11,3,FALSE)</f>
        <v>KR</v>
      </c>
      <c r="P883">
        <f>VLOOKUP(Table1[[#This Row],[Country]],REF_Country!$A$1:$D$11,4,FALSE)</f>
        <v>0.1</v>
      </c>
      <c r="Q883">
        <f>VLOOKUP(Table1[[#This Row],[Category]],REF_Target!$A$1:$E$6,2,FALSE)</f>
        <v>35000</v>
      </c>
      <c r="R883">
        <f>Table1[[#This Row],[Quantity]]*Table1[[#This Row],[Unit_Price]]</f>
        <v>1664.75</v>
      </c>
      <c r="S883">
        <f>Table1[[#This Row],[Gross_Sales]]*Table1[[#This Row],[Discount_Rate]]</f>
        <v>0</v>
      </c>
      <c r="T883">
        <f>Table1[[#This Row],[Gross_Sales]]-Table1[[#This Row],[Discount_Amount]]</f>
        <v>1664.75</v>
      </c>
      <c r="U883">
        <f>VLOOKUP(Table1[[#This Row],[Category]],REF_Cost!$A$1:$B$6,2,FALSE)*Table1[[#This Row],[Quantity]]</f>
        <v>750</v>
      </c>
      <c r="V883">
        <f>Table1[[#This Row],[Net_Sales]]-Table1[[#This Row],[Total_Cost]]</f>
        <v>914.75</v>
      </c>
      <c r="W883" t="str">
        <f>TEXT(Table1[[#This Row],[Order_Date]],"mmm")</f>
        <v>Feb</v>
      </c>
      <c r="X883">
        <f>ROUNDUP(MONTH(Table1[[#This Row],[Order_Date]])/3,0)</f>
        <v>1</v>
      </c>
      <c r="Y883">
        <f>YEAR(Table1[[#This Row],[Order_Date]])</f>
        <v>2024</v>
      </c>
    </row>
    <row r="884" spans="1:25" x14ac:dyDescent="0.25">
      <c r="A884" t="s">
        <v>3598</v>
      </c>
      <c r="B884" t="s">
        <v>3599</v>
      </c>
      <c r="C884" t="s">
        <v>3600</v>
      </c>
      <c r="D884" t="s">
        <v>3601</v>
      </c>
      <c r="E884" t="s">
        <v>71</v>
      </c>
      <c r="F884" t="s">
        <v>49</v>
      </c>
      <c r="G884" t="s">
        <v>226</v>
      </c>
      <c r="H884" t="s">
        <v>42</v>
      </c>
      <c r="I884" t="s">
        <v>66</v>
      </c>
      <c r="J884" t="s">
        <v>34</v>
      </c>
      <c r="K884">
        <v>3</v>
      </c>
      <c r="L884">
        <v>721.12</v>
      </c>
      <c r="M884" s="3">
        <v>0.2</v>
      </c>
      <c r="N884" t="str">
        <f>VLOOKUP(Table1[[#This Row],[Country]],REF_Country!$A$1:$D$11,2,FALSE)</f>
        <v>Southeast Asia</v>
      </c>
      <c r="O884" t="str">
        <f>VLOOKUP(Table1[[#This Row],[Country]],REF_Country!$A$1:$D$11,3,FALSE)</f>
        <v>PH</v>
      </c>
      <c r="P884">
        <f>VLOOKUP(Table1[[#This Row],[Country]],REF_Country!$A$1:$D$11,4,FALSE)</f>
        <v>0.12</v>
      </c>
      <c r="Q884">
        <f>VLOOKUP(Table1[[#This Row],[Category]],REF_Target!$A$1:$E$6,2,FALSE)</f>
        <v>35000</v>
      </c>
      <c r="R884">
        <f>Table1[[#This Row],[Quantity]]*Table1[[#This Row],[Unit_Price]]</f>
        <v>2163.36</v>
      </c>
      <c r="S884">
        <f>Table1[[#This Row],[Gross_Sales]]*Table1[[#This Row],[Discount_Rate]]</f>
        <v>432.67200000000003</v>
      </c>
      <c r="T884">
        <f>Table1[[#This Row],[Gross_Sales]]-Table1[[#This Row],[Discount_Amount]]</f>
        <v>1730.6880000000001</v>
      </c>
      <c r="U884">
        <f>VLOOKUP(Table1[[#This Row],[Category]],REF_Cost!$A$1:$B$6,2,FALSE)*Table1[[#This Row],[Quantity]]</f>
        <v>450</v>
      </c>
      <c r="V884">
        <f>Table1[[#This Row],[Net_Sales]]-Table1[[#This Row],[Total_Cost]]</f>
        <v>1280.6880000000001</v>
      </c>
      <c r="W884" t="str">
        <f>TEXT(Table1[[#This Row],[Order_Date]],"mmm")</f>
        <v>Jun</v>
      </c>
      <c r="X884">
        <f>ROUNDUP(MONTH(Table1[[#This Row],[Order_Date]])/3,0)</f>
        <v>2</v>
      </c>
      <c r="Y884">
        <f>YEAR(Table1[[#This Row],[Order_Date]])</f>
        <v>2024</v>
      </c>
    </row>
    <row r="885" spans="1:25" x14ac:dyDescent="0.25">
      <c r="A885" t="s">
        <v>3602</v>
      </c>
      <c r="B885" t="s">
        <v>3603</v>
      </c>
      <c r="C885" t="s">
        <v>3604</v>
      </c>
      <c r="D885" t="s">
        <v>3605</v>
      </c>
      <c r="E885" t="s">
        <v>116</v>
      </c>
      <c r="F885" t="s">
        <v>40</v>
      </c>
      <c r="G885" t="s">
        <v>41</v>
      </c>
      <c r="H885" t="s">
        <v>72</v>
      </c>
      <c r="I885" t="s">
        <v>96</v>
      </c>
      <c r="J885" t="s">
        <v>73</v>
      </c>
      <c r="K885">
        <v>6</v>
      </c>
      <c r="L885">
        <v>229.76</v>
      </c>
      <c r="M885" s="3">
        <v>0</v>
      </c>
      <c r="N885" t="str">
        <f>VLOOKUP(Table1[[#This Row],[Country]],REF_Country!$A$1:$D$11,2,FALSE)</f>
        <v>Southeast Asia</v>
      </c>
      <c r="O885" t="str">
        <f>VLOOKUP(Table1[[#This Row],[Country]],REF_Country!$A$1:$D$11,3,FALSE)</f>
        <v>MY</v>
      </c>
      <c r="P885">
        <f>VLOOKUP(Table1[[#This Row],[Country]],REF_Country!$A$1:$D$11,4,FALSE)</f>
        <v>0.06</v>
      </c>
      <c r="Q885">
        <f>VLOOKUP(Table1[[#This Row],[Category]],REF_Target!$A$1:$E$6,2,FALSE)</f>
        <v>45000</v>
      </c>
      <c r="R885">
        <f>Table1[[#This Row],[Quantity]]*Table1[[#This Row],[Unit_Price]]</f>
        <v>1378.56</v>
      </c>
      <c r="S885">
        <f>Table1[[#This Row],[Gross_Sales]]*Table1[[#This Row],[Discount_Rate]]</f>
        <v>0</v>
      </c>
      <c r="T885">
        <f>Table1[[#This Row],[Gross_Sales]]-Table1[[#This Row],[Discount_Amount]]</f>
        <v>1378.56</v>
      </c>
      <c r="U885">
        <f>VLOOKUP(Table1[[#This Row],[Category]],REF_Cost!$A$1:$B$6,2,FALSE)*Table1[[#This Row],[Quantity]]</f>
        <v>480</v>
      </c>
      <c r="V885">
        <f>Table1[[#This Row],[Net_Sales]]-Table1[[#This Row],[Total_Cost]]</f>
        <v>898.56</v>
      </c>
      <c r="W885" t="str">
        <f>TEXT(Table1[[#This Row],[Order_Date]],"mmm")</f>
        <v>Oct</v>
      </c>
      <c r="X885">
        <f>ROUNDUP(MONTH(Table1[[#This Row],[Order_Date]])/3,0)</f>
        <v>4</v>
      </c>
      <c r="Y885">
        <f>YEAR(Table1[[#This Row],[Order_Date]])</f>
        <v>2024</v>
      </c>
    </row>
    <row r="886" spans="1:25" x14ac:dyDescent="0.25">
      <c r="A886" t="s">
        <v>3606</v>
      </c>
      <c r="B886" t="s">
        <v>3607</v>
      </c>
      <c r="C886" t="s">
        <v>3608</v>
      </c>
      <c r="D886" t="s">
        <v>3609</v>
      </c>
      <c r="E886" t="s">
        <v>149</v>
      </c>
      <c r="F886" t="s">
        <v>84</v>
      </c>
      <c r="G886" t="s">
        <v>90</v>
      </c>
      <c r="H886" t="s">
        <v>42</v>
      </c>
      <c r="I886" t="s">
        <v>33</v>
      </c>
      <c r="J886" t="s">
        <v>126</v>
      </c>
      <c r="K886">
        <v>8</v>
      </c>
      <c r="L886">
        <v>1087.5899999999999</v>
      </c>
      <c r="M886" s="3">
        <v>0</v>
      </c>
      <c r="N886" t="str">
        <f>VLOOKUP(Table1[[#This Row],[Country]],REF_Country!$A$1:$D$11,2,FALSE)</f>
        <v>East Asia</v>
      </c>
      <c r="O886" t="str">
        <f>VLOOKUP(Table1[[#This Row],[Country]],REF_Country!$A$1:$D$11,3,FALSE)</f>
        <v>JP</v>
      </c>
      <c r="P886">
        <f>VLOOKUP(Table1[[#This Row],[Country]],REF_Country!$A$1:$D$11,4,FALSE)</f>
        <v>0.1</v>
      </c>
      <c r="Q886">
        <f>VLOOKUP(Table1[[#This Row],[Category]],REF_Target!$A$1:$E$6,2,FALSE)</f>
        <v>30000</v>
      </c>
      <c r="R886">
        <f>Table1[[#This Row],[Quantity]]*Table1[[#This Row],[Unit_Price]]</f>
        <v>8700.7199999999993</v>
      </c>
      <c r="S886">
        <f>Table1[[#This Row],[Gross_Sales]]*Table1[[#This Row],[Discount_Rate]]</f>
        <v>0</v>
      </c>
      <c r="T886">
        <f>Table1[[#This Row],[Gross_Sales]]-Table1[[#This Row],[Discount_Amount]]</f>
        <v>8700.7199999999993</v>
      </c>
      <c r="U886">
        <f>VLOOKUP(Table1[[#This Row],[Category]],REF_Cost!$A$1:$B$6,2,FALSE)*Table1[[#This Row],[Quantity]]</f>
        <v>1600</v>
      </c>
      <c r="V886">
        <f>Table1[[#This Row],[Net_Sales]]-Table1[[#This Row],[Total_Cost]]</f>
        <v>7100.7199999999993</v>
      </c>
      <c r="W886" t="str">
        <f>TEXT(Table1[[#This Row],[Order_Date]],"mmm")</f>
        <v>Jun</v>
      </c>
      <c r="X886">
        <f>ROUNDUP(MONTH(Table1[[#This Row],[Order_Date]])/3,0)</f>
        <v>2</v>
      </c>
      <c r="Y886">
        <f>YEAR(Table1[[#This Row],[Order_Date]])</f>
        <v>2024</v>
      </c>
    </row>
    <row r="887" spans="1:25" x14ac:dyDescent="0.25">
      <c r="A887" t="s">
        <v>3610</v>
      </c>
      <c r="B887" t="s">
        <v>3611</v>
      </c>
      <c r="C887" t="s">
        <v>3612</v>
      </c>
      <c r="D887" t="s">
        <v>3613</v>
      </c>
      <c r="E887" t="s">
        <v>149</v>
      </c>
      <c r="F887" t="s">
        <v>40</v>
      </c>
      <c r="G887" t="s">
        <v>106</v>
      </c>
      <c r="H887" t="s">
        <v>72</v>
      </c>
      <c r="I887" t="s">
        <v>43</v>
      </c>
      <c r="J887" t="s">
        <v>126</v>
      </c>
      <c r="K887">
        <v>4</v>
      </c>
      <c r="L887">
        <v>907.4</v>
      </c>
      <c r="M887" s="3">
        <v>0.05</v>
      </c>
      <c r="N887" t="str">
        <f>VLOOKUP(Table1[[#This Row],[Country]],REF_Country!$A$1:$D$11,2,FALSE)</f>
        <v>East Asia</v>
      </c>
      <c r="O887" t="str">
        <f>VLOOKUP(Table1[[#This Row],[Country]],REF_Country!$A$1:$D$11,3,FALSE)</f>
        <v>JP</v>
      </c>
      <c r="P887">
        <f>VLOOKUP(Table1[[#This Row],[Country]],REF_Country!$A$1:$D$11,4,FALSE)</f>
        <v>0.1</v>
      </c>
      <c r="Q887">
        <f>VLOOKUP(Table1[[#This Row],[Category]],REF_Target!$A$1:$E$6,2,FALSE)</f>
        <v>45000</v>
      </c>
      <c r="R887">
        <f>Table1[[#This Row],[Quantity]]*Table1[[#This Row],[Unit_Price]]</f>
        <v>3629.6</v>
      </c>
      <c r="S887">
        <f>Table1[[#This Row],[Gross_Sales]]*Table1[[#This Row],[Discount_Rate]]</f>
        <v>181.48000000000002</v>
      </c>
      <c r="T887">
        <f>Table1[[#This Row],[Gross_Sales]]-Table1[[#This Row],[Discount_Amount]]</f>
        <v>3448.12</v>
      </c>
      <c r="U887">
        <f>VLOOKUP(Table1[[#This Row],[Category]],REF_Cost!$A$1:$B$6,2,FALSE)*Table1[[#This Row],[Quantity]]</f>
        <v>320</v>
      </c>
      <c r="V887">
        <f>Table1[[#This Row],[Net_Sales]]-Table1[[#This Row],[Total_Cost]]</f>
        <v>3128.12</v>
      </c>
      <c r="W887" t="str">
        <f>TEXT(Table1[[#This Row],[Order_Date]],"mmm")</f>
        <v>Apr</v>
      </c>
      <c r="X887">
        <f>ROUNDUP(MONTH(Table1[[#This Row],[Order_Date]])/3,0)</f>
        <v>2</v>
      </c>
      <c r="Y887">
        <f>YEAR(Table1[[#This Row],[Order_Date]])</f>
        <v>2024</v>
      </c>
    </row>
    <row r="888" spans="1:25" x14ac:dyDescent="0.25">
      <c r="A888" t="s">
        <v>3614</v>
      </c>
      <c r="B888" t="s">
        <v>3615</v>
      </c>
      <c r="C888" t="s">
        <v>3616</v>
      </c>
      <c r="D888" t="s">
        <v>3617</v>
      </c>
      <c r="E888" t="s">
        <v>29</v>
      </c>
      <c r="F888" t="s">
        <v>40</v>
      </c>
      <c r="G888" t="s">
        <v>144</v>
      </c>
      <c r="H888" t="s">
        <v>42</v>
      </c>
      <c r="I888" t="s">
        <v>66</v>
      </c>
      <c r="J888" t="s">
        <v>59</v>
      </c>
      <c r="K888">
        <v>8</v>
      </c>
      <c r="L888">
        <v>1053.49</v>
      </c>
      <c r="M888" s="3">
        <v>0.1</v>
      </c>
      <c r="N888" t="str">
        <f>VLOOKUP(Table1[[#This Row],[Country]],REF_Country!$A$1:$D$11,2,FALSE)</f>
        <v>Southeast Asia</v>
      </c>
      <c r="O888" t="str">
        <f>VLOOKUP(Table1[[#This Row],[Country]],REF_Country!$A$1:$D$11,3,FALSE)</f>
        <v>VN</v>
      </c>
      <c r="P888">
        <f>VLOOKUP(Table1[[#This Row],[Country]],REF_Country!$A$1:$D$11,4,FALSE)</f>
        <v>0.1</v>
      </c>
      <c r="Q888">
        <f>VLOOKUP(Table1[[#This Row],[Category]],REF_Target!$A$1:$E$6,2,FALSE)</f>
        <v>45000</v>
      </c>
      <c r="R888">
        <f>Table1[[#This Row],[Quantity]]*Table1[[#This Row],[Unit_Price]]</f>
        <v>8427.92</v>
      </c>
      <c r="S888">
        <f>Table1[[#This Row],[Gross_Sales]]*Table1[[#This Row],[Discount_Rate]]</f>
        <v>842.79200000000003</v>
      </c>
      <c r="T888">
        <f>Table1[[#This Row],[Gross_Sales]]-Table1[[#This Row],[Discount_Amount]]</f>
        <v>7585.1279999999997</v>
      </c>
      <c r="U888">
        <f>VLOOKUP(Table1[[#This Row],[Category]],REF_Cost!$A$1:$B$6,2,FALSE)*Table1[[#This Row],[Quantity]]</f>
        <v>640</v>
      </c>
      <c r="V888">
        <f>Table1[[#This Row],[Net_Sales]]-Table1[[#This Row],[Total_Cost]]</f>
        <v>6945.1279999999997</v>
      </c>
      <c r="W888" t="str">
        <f>TEXT(Table1[[#This Row],[Order_Date]],"mmm")</f>
        <v>Jul</v>
      </c>
      <c r="X888">
        <f>ROUNDUP(MONTH(Table1[[#This Row],[Order_Date]])/3,0)</f>
        <v>3</v>
      </c>
      <c r="Y888">
        <f>YEAR(Table1[[#This Row],[Order_Date]])</f>
        <v>2024</v>
      </c>
    </row>
    <row r="889" spans="1:25" x14ac:dyDescent="0.25">
      <c r="A889" t="s">
        <v>3618</v>
      </c>
      <c r="B889" t="s">
        <v>3619</v>
      </c>
      <c r="C889" t="s">
        <v>3620</v>
      </c>
      <c r="D889" t="s">
        <v>3621</v>
      </c>
      <c r="E889" t="s">
        <v>71</v>
      </c>
      <c r="F889" t="s">
        <v>56</v>
      </c>
      <c r="G889" t="s">
        <v>95</v>
      </c>
      <c r="H889" t="s">
        <v>72</v>
      </c>
      <c r="I889" t="s">
        <v>33</v>
      </c>
      <c r="J889" t="s">
        <v>34</v>
      </c>
      <c r="K889">
        <v>6</v>
      </c>
      <c r="L889">
        <v>696.35</v>
      </c>
      <c r="M889" s="3">
        <v>0</v>
      </c>
      <c r="N889" t="str">
        <f>VLOOKUP(Table1[[#This Row],[Country]],REF_Country!$A$1:$D$11,2,FALSE)</f>
        <v>Southeast Asia</v>
      </c>
      <c r="O889" t="str">
        <f>VLOOKUP(Table1[[#This Row],[Country]],REF_Country!$A$1:$D$11,3,FALSE)</f>
        <v>PH</v>
      </c>
      <c r="P889">
        <f>VLOOKUP(Table1[[#This Row],[Country]],REF_Country!$A$1:$D$11,4,FALSE)</f>
        <v>0.12</v>
      </c>
      <c r="Q889">
        <f>VLOOKUP(Table1[[#This Row],[Category]],REF_Target!$A$1:$E$6,2,FALSE)</f>
        <v>50000</v>
      </c>
      <c r="R889">
        <f>Table1[[#This Row],[Quantity]]*Table1[[#This Row],[Unit_Price]]</f>
        <v>4178.1000000000004</v>
      </c>
      <c r="S889">
        <f>Table1[[#This Row],[Gross_Sales]]*Table1[[#This Row],[Discount_Rate]]</f>
        <v>0</v>
      </c>
      <c r="T889">
        <f>Table1[[#This Row],[Gross_Sales]]-Table1[[#This Row],[Discount_Amount]]</f>
        <v>4178.1000000000004</v>
      </c>
      <c r="U889">
        <f>VLOOKUP(Table1[[#This Row],[Category]],REF_Cost!$A$1:$B$6,2,FALSE)*Table1[[#This Row],[Quantity]]</f>
        <v>2700</v>
      </c>
      <c r="V889">
        <f>Table1[[#This Row],[Net_Sales]]-Table1[[#This Row],[Total_Cost]]</f>
        <v>1478.1000000000004</v>
      </c>
      <c r="W889" t="str">
        <f>TEXT(Table1[[#This Row],[Order_Date]],"mmm")</f>
        <v>Aug</v>
      </c>
      <c r="X889">
        <f>ROUNDUP(MONTH(Table1[[#This Row],[Order_Date]])/3,0)</f>
        <v>3</v>
      </c>
      <c r="Y889">
        <f>YEAR(Table1[[#This Row],[Order_Date]])</f>
        <v>2024</v>
      </c>
    </row>
    <row r="890" spans="1:25" x14ac:dyDescent="0.25">
      <c r="A890" t="s">
        <v>3622</v>
      </c>
      <c r="B890" t="s">
        <v>3623</v>
      </c>
      <c r="C890" t="s">
        <v>3624</v>
      </c>
      <c r="D890" t="s">
        <v>3625</v>
      </c>
      <c r="E890" t="s">
        <v>149</v>
      </c>
      <c r="F890" t="s">
        <v>84</v>
      </c>
      <c r="G890" t="s">
        <v>90</v>
      </c>
      <c r="H890" t="s">
        <v>32</v>
      </c>
      <c r="I890" t="s">
        <v>51</v>
      </c>
      <c r="J890" t="s">
        <v>126</v>
      </c>
      <c r="K890">
        <v>2</v>
      </c>
      <c r="L890">
        <v>1407.78</v>
      </c>
      <c r="M890" s="3">
        <v>0</v>
      </c>
      <c r="N890" t="str">
        <f>VLOOKUP(Table1[[#This Row],[Country]],REF_Country!$A$1:$D$11,2,FALSE)</f>
        <v>East Asia</v>
      </c>
      <c r="O890" t="str">
        <f>VLOOKUP(Table1[[#This Row],[Country]],REF_Country!$A$1:$D$11,3,FALSE)</f>
        <v>JP</v>
      </c>
      <c r="P890">
        <f>VLOOKUP(Table1[[#This Row],[Country]],REF_Country!$A$1:$D$11,4,FALSE)</f>
        <v>0.1</v>
      </c>
      <c r="Q890">
        <f>VLOOKUP(Table1[[#This Row],[Category]],REF_Target!$A$1:$E$6,2,FALSE)</f>
        <v>30000</v>
      </c>
      <c r="R890">
        <f>Table1[[#This Row],[Quantity]]*Table1[[#This Row],[Unit_Price]]</f>
        <v>2815.56</v>
      </c>
      <c r="S890">
        <f>Table1[[#This Row],[Gross_Sales]]*Table1[[#This Row],[Discount_Rate]]</f>
        <v>0</v>
      </c>
      <c r="T890">
        <f>Table1[[#This Row],[Gross_Sales]]-Table1[[#This Row],[Discount_Amount]]</f>
        <v>2815.56</v>
      </c>
      <c r="U890">
        <f>VLOOKUP(Table1[[#This Row],[Category]],REF_Cost!$A$1:$B$6,2,FALSE)*Table1[[#This Row],[Quantity]]</f>
        <v>400</v>
      </c>
      <c r="V890">
        <f>Table1[[#This Row],[Net_Sales]]-Table1[[#This Row],[Total_Cost]]</f>
        <v>2415.56</v>
      </c>
      <c r="W890" t="str">
        <f>TEXT(Table1[[#This Row],[Order_Date]],"mmm")</f>
        <v>May</v>
      </c>
      <c r="X890">
        <f>ROUNDUP(MONTH(Table1[[#This Row],[Order_Date]])/3,0)</f>
        <v>2</v>
      </c>
      <c r="Y890">
        <f>YEAR(Table1[[#This Row],[Order_Date]])</f>
        <v>2024</v>
      </c>
    </row>
    <row r="891" spans="1:25" x14ac:dyDescent="0.25">
      <c r="A891" t="s">
        <v>3626</v>
      </c>
      <c r="B891" t="s">
        <v>3627</v>
      </c>
      <c r="C891" t="s">
        <v>3628</v>
      </c>
      <c r="D891" t="s">
        <v>3629</v>
      </c>
      <c r="E891" t="s">
        <v>83</v>
      </c>
      <c r="F891" t="s">
        <v>40</v>
      </c>
      <c r="G891" t="s">
        <v>144</v>
      </c>
      <c r="H891" t="s">
        <v>32</v>
      </c>
      <c r="I891" t="s">
        <v>66</v>
      </c>
      <c r="J891" t="s">
        <v>34</v>
      </c>
      <c r="K891">
        <v>9</v>
      </c>
      <c r="L891">
        <v>955.78</v>
      </c>
      <c r="M891" s="3">
        <v>0.15</v>
      </c>
      <c r="N891" t="str">
        <f>VLOOKUP(Table1[[#This Row],[Country]],REF_Country!$A$1:$D$11,2,FALSE)</f>
        <v>South Asia</v>
      </c>
      <c r="O891" t="str">
        <f>VLOOKUP(Table1[[#This Row],[Country]],REF_Country!$A$1:$D$11,3,FALSE)</f>
        <v>IN</v>
      </c>
      <c r="P891">
        <f>VLOOKUP(Table1[[#This Row],[Country]],REF_Country!$A$1:$D$11,4,FALSE)</f>
        <v>0.18</v>
      </c>
      <c r="Q891">
        <f>VLOOKUP(Table1[[#This Row],[Category]],REF_Target!$A$1:$E$6,2,FALSE)</f>
        <v>45000</v>
      </c>
      <c r="R891">
        <f>Table1[[#This Row],[Quantity]]*Table1[[#This Row],[Unit_Price]]</f>
        <v>8602.02</v>
      </c>
      <c r="S891">
        <f>Table1[[#This Row],[Gross_Sales]]*Table1[[#This Row],[Discount_Rate]]</f>
        <v>1290.3030000000001</v>
      </c>
      <c r="T891">
        <f>Table1[[#This Row],[Gross_Sales]]-Table1[[#This Row],[Discount_Amount]]</f>
        <v>7311.7170000000006</v>
      </c>
      <c r="U891">
        <f>VLOOKUP(Table1[[#This Row],[Category]],REF_Cost!$A$1:$B$6,2,FALSE)*Table1[[#This Row],[Quantity]]</f>
        <v>720</v>
      </c>
      <c r="V891">
        <f>Table1[[#This Row],[Net_Sales]]-Table1[[#This Row],[Total_Cost]]</f>
        <v>6591.7170000000006</v>
      </c>
      <c r="W891" t="str">
        <f>TEXT(Table1[[#This Row],[Order_Date]],"mmm")</f>
        <v>Jul</v>
      </c>
      <c r="X891">
        <f>ROUNDUP(MONTH(Table1[[#This Row],[Order_Date]])/3,0)</f>
        <v>3</v>
      </c>
      <c r="Y891">
        <f>YEAR(Table1[[#This Row],[Order_Date]])</f>
        <v>2024</v>
      </c>
    </row>
    <row r="892" spans="1:25" x14ac:dyDescent="0.25">
      <c r="A892" t="s">
        <v>3630</v>
      </c>
      <c r="B892" t="s">
        <v>3631</v>
      </c>
      <c r="C892" t="s">
        <v>3632</v>
      </c>
      <c r="D892" t="s">
        <v>3633</v>
      </c>
      <c r="E892" t="s">
        <v>149</v>
      </c>
      <c r="F892" t="s">
        <v>56</v>
      </c>
      <c r="G892" t="s">
        <v>95</v>
      </c>
      <c r="H892" t="s">
        <v>42</v>
      </c>
      <c r="I892" t="s">
        <v>96</v>
      </c>
      <c r="J892" t="s">
        <v>34</v>
      </c>
      <c r="K892">
        <v>2</v>
      </c>
      <c r="L892">
        <v>1286.67</v>
      </c>
      <c r="M892" s="3">
        <v>0.05</v>
      </c>
      <c r="N892" t="str">
        <f>VLOOKUP(Table1[[#This Row],[Country]],REF_Country!$A$1:$D$11,2,FALSE)</f>
        <v>East Asia</v>
      </c>
      <c r="O892" t="str">
        <f>VLOOKUP(Table1[[#This Row],[Country]],REF_Country!$A$1:$D$11,3,FALSE)</f>
        <v>JP</v>
      </c>
      <c r="P892">
        <f>VLOOKUP(Table1[[#This Row],[Country]],REF_Country!$A$1:$D$11,4,FALSE)</f>
        <v>0.1</v>
      </c>
      <c r="Q892">
        <f>VLOOKUP(Table1[[#This Row],[Category]],REF_Target!$A$1:$E$6,2,FALSE)</f>
        <v>50000</v>
      </c>
      <c r="R892">
        <f>Table1[[#This Row],[Quantity]]*Table1[[#This Row],[Unit_Price]]</f>
        <v>2573.34</v>
      </c>
      <c r="S892">
        <f>Table1[[#This Row],[Gross_Sales]]*Table1[[#This Row],[Discount_Rate]]</f>
        <v>128.667</v>
      </c>
      <c r="T892">
        <f>Table1[[#This Row],[Gross_Sales]]-Table1[[#This Row],[Discount_Amount]]</f>
        <v>2444.6730000000002</v>
      </c>
      <c r="U892">
        <f>VLOOKUP(Table1[[#This Row],[Category]],REF_Cost!$A$1:$B$6,2,FALSE)*Table1[[#This Row],[Quantity]]</f>
        <v>900</v>
      </c>
      <c r="V892">
        <f>Table1[[#This Row],[Net_Sales]]-Table1[[#This Row],[Total_Cost]]</f>
        <v>1544.6730000000002</v>
      </c>
      <c r="W892" t="str">
        <f>TEXT(Table1[[#This Row],[Order_Date]],"mmm")</f>
        <v>Apr</v>
      </c>
      <c r="X892">
        <f>ROUNDUP(MONTH(Table1[[#This Row],[Order_Date]])/3,0)</f>
        <v>2</v>
      </c>
      <c r="Y892">
        <f>YEAR(Table1[[#This Row],[Order_Date]])</f>
        <v>2024</v>
      </c>
    </row>
    <row r="893" spans="1:25" x14ac:dyDescent="0.25">
      <c r="A893" t="s">
        <v>3634</v>
      </c>
      <c r="B893" t="s">
        <v>3635</v>
      </c>
      <c r="C893" t="s">
        <v>3636</v>
      </c>
      <c r="D893" t="s">
        <v>3637</v>
      </c>
      <c r="E893" t="s">
        <v>29</v>
      </c>
      <c r="F893" t="s">
        <v>84</v>
      </c>
      <c r="G893" t="s">
        <v>412</v>
      </c>
      <c r="H893" t="s">
        <v>72</v>
      </c>
      <c r="I893" t="s">
        <v>51</v>
      </c>
      <c r="J893" t="s">
        <v>34</v>
      </c>
      <c r="K893">
        <v>7</v>
      </c>
      <c r="L893">
        <v>471.48</v>
      </c>
      <c r="M893" s="3">
        <v>0.2</v>
      </c>
      <c r="N893" t="str">
        <f>VLOOKUP(Table1[[#This Row],[Country]],REF_Country!$A$1:$D$11,2,FALSE)</f>
        <v>Southeast Asia</v>
      </c>
      <c r="O893" t="str">
        <f>VLOOKUP(Table1[[#This Row],[Country]],REF_Country!$A$1:$D$11,3,FALSE)</f>
        <v>VN</v>
      </c>
      <c r="P893">
        <f>VLOOKUP(Table1[[#This Row],[Country]],REF_Country!$A$1:$D$11,4,FALSE)</f>
        <v>0.1</v>
      </c>
      <c r="Q893">
        <f>VLOOKUP(Table1[[#This Row],[Category]],REF_Target!$A$1:$E$6,2,FALSE)</f>
        <v>30000</v>
      </c>
      <c r="R893">
        <f>Table1[[#This Row],[Quantity]]*Table1[[#This Row],[Unit_Price]]</f>
        <v>3300.36</v>
      </c>
      <c r="S893">
        <f>Table1[[#This Row],[Gross_Sales]]*Table1[[#This Row],[Discount_Rate]]</f>
        <v>660.07200000000012</v>
      </c>
      <c r="T893">
        <f>Table1[[#This Row],[Gross_Sales]]-Table1[[#This Row],[Discount_Amount]]</f>
        <v>2640.288</v>
      </c>
      <c r="U893">
        <f>VLOOKUP(Table1[[#This Row],[Category]],REF_Cost!$A$1:$B$6,2,FALSE)*Table1[[#This Row],[Quantity]]</f>
        <v>1400</v>
      </c>
      <c r="V893">
        <f>Table1[[#This Row],[Net_Sales]]-Table1[[#This Row],[Total_Cost]]</f>
        <v>1240.288</v>
      </c>
      <c r="W893" t="str">
        <f>TEXT(Table1[[#This Row],[Order_Date]],"mmm")</f>
        <v>Jul</v>
      </c>
      <c r="X893">
        <f>ROUNDUP(MONTH(Table1[[#This Row],[Order_Date]])/3,0)</f>
        <v>3</v>
      </c>
      <c r="Y893">
        <f>YEAR(Table1[[#This Row],[Order_Date]])</f>
        <v>2024</v>
      </c>
    </row>
    <row r="894" spans="1:25" x14ac:dyDescent="0.25">
      <c r="A894" t="s">
        <v>3638</v>
      </c>
      <c r="B894" t="s">
        <v>3639</v>
      </c>
      <c r="C894" t="s">
        <v>3640</v>
      </c>
      <c r="D894" t="s">
        <v>3641</v>
      </c>
      <c r="E894" t="s">
        <v>71</v>
      </c>
      <c r="F894" t="s">
        <v>40</v>
      </c>
      <c r="G894" t="s">
        <v>41</v>
      </c>
      <c r="H894" t="s">
        <v>42</v>
      </c>
      <c r="I894" t="s">
        <v>43</v>
      </c>
      <c r="J894" t="s">
        <v>34</v>
      </c>
      <c r="K894">
        <v>3</v>
      </c>
      <c r="L894">
        <v>486.44</v>
      </c>
      <c r="M894" s="3">
        <v>0.15</v>
      </c>
      <c r="N894" t="str">
        <f>VLOOKUP(Table1[[#This Row],[Country]],REF_Country!$A$1:$D$11,2,FALSE)</f>
        <v>Southeast Asia</v>
      </c>
      <c r="O894" t="str">
        <f>VLOOKUP(Table1[[#This Row],[Country]],REF_Country!$A$1:$D$11,3,FALSE)</f>
        <v>PH</v>
      </c>
      <c r="P894">
        <f>VLOOKUP(Table1[[#This Row],[Country]],REF_Country!$A$1:$D$11,4,FALSE)</f>
        <v>0.12</v>
      </c>
      <c r="Q894">
        <f>VLOOKUP(Table1[[#This Row],[Category]],REF_Target!$A$1:$E$6,2,FALSE)</f>
        <v>45000</v>
      </c>
      <c r="R894">
        <f>Table1[[#This Row],[Quantity]]*Table1[[#This Row],[Unit_Price]]</f>
        <v>1459.32</v>
      </c>
      <c r="S894">
        <f>Table1[[#This Row],[Gross_Sales]]*Table1[[#This Row],[Discount_Rate]]</f>
        <v>218.898</v>
      </c>
      <c r="T894">
        <f>Table1[[#This Row],[Gross_Sales]]-Table1[[#This Row],[Discount_Amount]]</f>
        <v>1240.422</v>
      </c>
      <c r="U894">
        <f>VLOOKUP(Table1[[#This Row],[Category]],REF_Cost!$A$1:$B$6,2,FALSE)*Table1[[#This Row],[Quantity]]</f>
        <v>240</v>
      </c>
      <c r="V894">
        <f>Table1[[#This Row],[Net_Sales]]-Table1[[#This Row],[Total_Cost]]</f>
        <v>1000.422</v>
      </c>
      <c r="W894" t="str">
        <f>TEXT(Table1[[#This Row],[Order_Date]],"mmm")</f>
        <v>Jan</v>
      </c>
      <c r="X894">
        <f>ROUNDUP(MONTH(Table1[[#This Row],[Order_Date]])/3,0)</f>
        <v>1</v>
      </c>
      <c r="Y894">
        <f>YEAR(Table1[[#This Row],[Order_Date]])</f>
        <v>2024</v>
      </c>
    </row>
    <row r="895" spans="1:25" x14ac:dyDescent="0.25">
      <c r="A895" t="s">
        <v>3642</v>
      </c>
      <c r="B895" t="s">
        <v>3643</v>
      </c>
      <c r="C895" t="s">
        <v>3644</v>
      </c>
      <c r="D895" t="s">
        <v>3645</v>
      </c>
      <c r="E895" t="s">
        <v>64</v>
      </c>
      <c r="F895" t="s">
        <v>40</v>
      </c>
      <c r="G895" t="s">
        <v>565</v>
      </c>
      <c r="H895" t="s">
        <v>72</v>
      </c>
      <c r="I895" t="s">
        <v>96</v>
      </c>
      <c r="J895" t="s">
        <v>59</v>
      </c>
      <c r="K895">
        <v>7</v>
      </c>
      <c r="L895">
        <v>206.37</v>
      </c>
      <c r="M895" s="3">
        <v>0.2</v>
      </c>
      <c r="N895" t="str">
        <f>VLOOKUP(Table1[[#This Row],[Country]],REF_Country!$A$1:$D$11,2,FALSE)</f>
        <v>Southeast Asia</v>
      </c>
      <c r="O895" t="str">
        <f>VLOOKUP(Table1[[#This Row],[Country]],REF_Country!$A$1:$D$11,3,FALSE)</f>
        <v>ID</v>
      </c>
      <c r="P895">
        <f>VLOOKUP(Table1[[#This Row],[Country]],REF_Country!$A$1:$D$11,4,FALSE)</f>
        <v>0.11</v>
      </c>
      <c r="Q895">
        <f>VLOOKUP(Table1[[#This Row],[Category]],REF_Target!$A$1:$E$6,2,FALSE)</f>
        <v>45000</v>
      </c>
      <c r="R895">
        <f>Table1[[#This Row],[Quantity]]*Table1[[#This Row],[Unit_Price]]</f>
        <v>1444.5900000000001</v>
      </c>
      <c r="S895">
        <f>Table1[[#This Row],[Gross_Sales]]*Table1[[#This Row],[Discount_Rate]]</f>
        <v>288.91800000000006</v>
      </c>
      <c r="T895">
        <f>Table1[[#This Row],[Gross_Sales]]-Table1[[#This Row],[Discount_Amount]]</f>
        <v>1155.672</v>
      </c>
      <c r="U895">
        <f>VLOOKUP(Table1[[#This Row],[Category]],REF_Cost!$A$1:$B$6,2,FALSE)*Table1[[#This Row],[Quantity]]</f>
        <v>560</v>
      </c>
      <c r="V895">
        <f>Table1[[#This Row],[Net_Sales]]-Table1[[#This Row],[Total_Cost]]</f>
        <v>595.67200000000003</v>
      </c>
      <c r="W895" t="str">
        <f>TEXT(Table1[[#This Row],[Order_Date]],"mmm")</f>
        <v>Nov</v>
      </c>
      <c r="X895">
        <f>ROUNDUP(MONTH(Table1[[#This Row],[Order_Date]])/3,0)</f>
        <v>4</v>
      </c>
      <c r="Y895">
        <f>YEAR(Table1[[#This Row],[Order_Date]])</f>
        <v>2024</v>
      </c>
    </row>
    <row r="896" spans="1:25" x14ac:dyDescent="0.25">
      <c r="A896" t="s">
        <v>3646</v>
      </c>
      <c r="B896" t="s">
        <v>3647</v>
      </c>
      <c r="C896" t="s">
        <v>3648</v>
      </c>
      <c r="D896" t="s">
        <v>3649</v>
      </c>
      <c r="E896" t="s">
        <v>116</v>
      </c>
      <c r="F896" t="s">
        <v>30</v>
      </c>
      <c r="G896" t="s">
        <v>139</v>
      </c>
      <c r="H896" t="s">
        <v>58</v>
      </c>
      <c r="I896" t="s">
        <v>33</v>
      </c>
      <c r="J896" t="s">
        <v>73</v>
      </c>
      <c r="K896">
        <v>10</v>
      </c>
      <c r="L896">
        <v>190.78</v>
      </c>
      <c r="M896" s="3">
        <v>0.1</v>
      </c>
      <c r="N896" t="str">
        <f>VLOOKUP(Table1[[#This Row],[Country]],REF_Country!$A$1:$D$11,2,FALSE)</f>
        <v>Southeast Asia</v>
      </c>
      <c r="O896" t="str">
        <f>VLOOKUP(Table1[[#This Row],[Country]],REF_Country!$A$1:$D$11,3,FALSE)</f>
        <v>MY</v>
      </c>
      <c r="P896">
        <f>VLOOKUP(Table1[[#This Row],[Country]],REF_Country!$A$1:$D$11,4,FALSE)</f>
        <v>0.06</v>
      </c>
      <c r="Q896">
        <f>VLOOKUP(Table1[[#This Row],[Category]],REF_Target!$A$1:$E$6,2,FALSE)</f>
        <v>40000</v>
      </c>
      <c r="R896">
        <f>Table1[[#This Row],[Quantity]]*Table1[[#This Row],[Unit_Price]]</f>
        <v>1907.8</v>
      </c>
      <c r="S896">
        <f>Table1[[#This Row],[Gross_Sales]]*Table1[[#This Row],[Discount_Rate]]</f>
        <v>190.78</v>
      </c>
      <c r="T896">
        <f>Table1[[#This Row],[Gross_Sales]]-Table1[[#This Row],[Discount_Amount]]</f>
        <v>1717.02</v>
      </c>
      <c r="U896">
        <f>VLOOKUP(Table1[[#This Row],[Category]],REF_Cost!$A$1:$B$6,2,FALSE)*Table1[[#This Row],[Quantity]]</f>
        <v>1200</v>
      </c>
      <c r="V896">
        <f>Table1[[#This Row],[Net_Sales]]-Table1[[#This Row],[Total_Cost]]</f>
        <v>517.02</v>
      </c>
      <c r="W896" t="str">
        <f>TEXT(Table1[[#This Row],[Order_Date]],"mmm")</f>
        <v>Mar</v>
      </c>
      <c r="X896">
        <f>ROUNDUP(MONTH(Table1[[#This Row],[Order_Date]])/3,0)</f>
        <v>1</v>
      </c>
      <c r="Y896">
        <f>YEAR(Table1[[#This Row],[Order_Date]])</f>
        <v>2024</v>
      </c>
    </row>
    <row r="897" spans="1:25" x14ac:dyDescent="0.25">
      <c r="A897" t="s">
        <v>3650</v>
      </c>
      <c r="B897" t="s">
        <v>3651</v>
      </c>
      <c r="C897" t="s">
        <v>3652</v>
      </c>
      <c r="D897" t="s">
        <v>3653</v>
      </c>
      <c r="E897" t="s">
        <v>64</v>
      </c>
      <c r="F897" t="s">
        <v>49</v>
      </c>
      <c r="G897" t="s">
        <v>117</v>
      </c>
      <c r="H897" t="s">
        <v>32</v>
      </c>
      <c r="I897" t="s">
        <v>33</v>
      </c>
      <c r="J897" t="s">
        <v>126</v>
      </c>
      <c r="K897">
        <v>10</v>
      </c>
      <c r="L897">
        <v>948.91</v>
      </c>
      <c r="M897" s="3">
        <v>0</v>
      </c>
      <c r="N897" t="str">
        <f>VLOOKUP(Table1[[#This Row],[Country]],REF_Country!$A$1:$D$11,2,FALSE)</f>
        <v>Southeast Asia</v>
      </c>
      <c r="O897" t="str">
        <f>VLOOKUP(Table1[[#This Row],[Country]],REF_Country!$A$1:$D$11,3,FALSE)</f>
        <v>ID</v>
      </c>
      <c r="P897">
        <f>VLOOKUP(Table1[[#This Row],[Country]],REF_Country!$A$1:$D$11,4,FALSE)</f>
        <v>0.11</v>
      </c>
      <c r="Q897">
        <f>VLOOKUP(Table1[[#This Row],[Category]],REF_Target!$A$1:$E$6,2,FALSE)</f>
        <v>35000</v>
      </c>
      <c r="R897">
        <f>Table1[[#This Row],[Quantity]]*Table1[[#This Row],[Unit_Price]]</f>
        <v>9489.1</v>
      </c>
      <c r="S897">
        <f>Table1[[#This Row],[Gross_Sales]]*Table1[[#This Row],[Discount_Rate]]</f>
        <v>0</v>
      </c>
      <c r="T897">
        <f>Table1[[#This Row],[Gross_Sales]]-Table1[[#This Row],[Discount_Amount]]</f>
        <v>9489.1</v>
      </c>
      <c r="U897">
        <f>VLOOKUP(Table1[[#This Row],[Category]],REF_Cost!$A$1:$B$6,2,FALSE)*Table1[[#This Row],[Quantity]]</f>
        <v>1500</v>
      </c>
      <c r="V897">
        <f>Table1[[#This Row],[Net_Sales]]-Table1[[#This Row],[Total_Cost]]</f>
        <v>7989.1</v>
      </c>
      <c r="W897" t="str">
        <f>TEXT(Table1[[#This Row],[Order_Date]],"mmm")</f>
        <v>Apr</v>
      </c>
      <c r="X897">
        <f>ROUNDUP(MONTH(Table1[[#This Row],[Order_Date]])/3,0)</f>
        <v>2</v>
      </c>
      <c r="Y897">
        <f>YEAR(Table1[[#This Row],[Order_Date]])</f>
        <v>2024</v>
      </c>
    </row>
    <row r="898" spans="1:25" x14ac:dyDescent="0.25">
      <c r="A898" t="s">
        <v>3654</v>
      </c>
      <c r="B898" t="s">
        <v>3655</v>
      </c>
      <c r="C898" t="s">
        <v>3656</v>
      </c>
      <c r="D898" t="s">
        <v>3657</v>
      </c>
      <c r="E898" t="s">
        <v>48</v>
      </c>
      <c r="F898" t="s">
        <v>49</v>
      </c>
      <c r="G898" t="s">
        <v>50</v>
      </c>
      <c r="H898" t="s">
        <v>72</v>
      </c>
      <c r="I898" t="s">
        <v>33</v>
      </c>
      <c r="J898" t="s">
        <v>73</v>
      </c>
      <c r="K898">
        <v>4</v>
      </c>
      <c r="L898">
        <v>292.02999999999997</v>
      </c>
      <c r="M898" s="3">
        <v>0.05</v>
      </c>
      <c r="N898" t="str">
        <f>VLOOKUP(Table1[[#This Row],[Country]],REF_Country!$A$1:$D$11,2,FALSE)</f>
        <v>Southeast Asia</v>
      </c>
      <c r="O898" t="str">
        <f>VLOOKUP(Table1[[#This Row],[Country]],REF_Country!$A$1:$D$11,3,FALSE)</f>
        <v>SG</v>
      </c>
      <c r="P898">
        <f>VLOOKUP(Table1[[#This Row],[Country]],REF_Country!$A$1:$D$11,4,FALSE)</f>
        <v>7.0000000000000007E-2</v>
      </c>
      <c r="Q898">
        <f>VLOOKUP(Table1[[#This Row],[Category]],REF_Target!$A$1:$E$6,2,FALSE)</f>
        <v>35000</v>
      </c>
      <c r="R898">
        <f>Table1[[#This Row],[Quantity]]*Table1[[#This Row],[Unit_Price]]</f>
        <v>1168.1199999999999</v>
      </c>
      <c r="S898">
        <f>Table1[[#This Row],[Gross_Sales]]*Table1[[#This Row],[Discount_Rate]]</f>
        <v>58.405999999999999</v>
      </c>
      <c r="T898">
        <f>Table1[[#This Row],[Gross_Sales]]-Table1[[#This Row],[Discount_Amount]]</f>
        <v>1109.7139999999999</v>
      </c>
      <c r="U898">
        <f>VLOOKUP(Table1[[#This Row],[Category]],REF_Cost!$A$1:$B$6,2,FALSE)*Table1[[#This Row],[Quantity]]</f>
        <v>600</v>
      </c>
      <c r="V898">
        <f>Table1[[#This Row],[Net_Sales]]-Table1[[#This Row],[Total_Cost]]</f>
        <v>509.71399999999994</v>
      </c>
      <c r="W898" t="str">
        <f>TEXT(Table1[[#This Row],[Order_Date]],"mmm")</f>
        <v>Jul</v>
      </c>
      <c r="X898">
        <f>ROUNDUP(MONTH(Table1[[#This Row],[Order_Date]])/3,0)</f>
        <v>3</v>
      </c>
      <c r="Y898">
        <f>YEAR(Table1[[#This Row],[Order_Date]])</f>
        <v>2024</v>
      </c>
    </row>
    <row r="899" spans="1:25" x14ac:dyDescent="0.25">
      <c r="A899" t="s">
        <v>3658</v>
      </c>
      <c r="B899" t="s">
        <v>3659</v>
      </c>
      <c r="C899" t="s">
        <v>3660</v>
      </c>
      <c r="D899" t="s">
        <v>3661</v>
      </c>
      <c r="E899" t="s">
        <v>29</v>
      </c>
      <c r="F899" t="s">
        <v>56</v>
      </c>
      <c r="G899" t="s">
        <v>95</v>
      </c>
      <c r="H899" t="s">
        <v>32</v>
      </c>
      <c r="I899" t="s">
        <v>96</v>
      </c>
      <c r="J899" t="s">
        <v>126</v>
      </c>
      <c r="K899">
        <v>10</v>
      </c>
      <c r="L899">
        <v>946.75</v>
      </c>
      <c r="M899" s="3">
        <v>0</v>
      </c>
      <c r="N899" t="str">
        <f>VLOOKUP(Table1[[#This Row],[Country]],REF_Country!$A$1:$D$11,2,FALSE)</f>
        <v>Southeast Asia</v>
      </c>
      <c r="O899" t="str">
        <f>VLOOKUP(Table1[[#This Row],[Country]],REF_Country!$A$1:$D$11,3,FALSE)</f>
        <v>VN</v>
      </c>
      <c r="P899">
        <f>VLOOKUP(Table1[[#This Row],[Country]],REF_Country!$A$1:$D$11,4,FALSE)</f>
        <v>0.1</v>
      </c>
      <c r="Q899">
        <f>VLOOKUP(Table1[[#This Row],[Category]],REF_Target!$A$1:$E$6,2,FALSE)</f>
        <v>50000</v>
      </c>
      <c r="R899">
        <f>Table1[[#This Row],[Quantity]]*Table1[[#This Row],[Unit_Price]]</f>
        <v>9467.5</v>
      </c>
      <c r="S899">
        <f>Table1[[#This Row],[Gross_Sales]]*Table1[[#This Row],[Discount_Rate]]</f>
        <v>0</v>
      </c>
      <c r="T899">
        <f>Table1[[#This Row],[Gross_Sales]]-Table1[[#This Row],[Discount_Amount]]</f>
        <v>9467.5</v>
      </c>
      <c r="U899">
        <f>VLOOKUP(Table1[[#This Row],[Category]],REF_Cost!$A$1:$B$6,2,FALSE)*Table1[[#This Row],[Quantity]]</f>
        <v>4500</v>
      </c>
      <c r="V899">
        <f>Table1[[#This Row],[Net_Sales]]-Table1[[#This Row],[Total_Cost]]</f>
        <v>4967.5</v>
      </c>
      <c r="W899" t="str">
        <f>TEXT(Table1[[#This Row],[Order_Date]],"mmm")</f>
        <v>May</v>
      </c>
      <c r="X899">
        <f>ROUNDUP(MONTH(Table1[[#This Row],[Order_Date]])/3,0)</f>
        <v>2</v>
      </c>
      <c r="Y899">
        <f>YEAR(Table1[[#This Row],[Order_Date]])</f>
        <v>2024</v>
      </c>
    </row>
    <row r="900" spans="1:25" x14ac:dyDescent="0.25">
      <c r="A900" t="s">
        <v>3662</v>
      </c>
      <c r="B900" t="s">
        <v>3663</v>
      </c>
      <c r="C900" t="s">
        <v>3664</v>
      </c>
      <c r="D900" t="s">
        <v>3665</v>
      </c>
      <c r="E900" t="s">
        <v>48</v>
      </c>
      <c r="F900" t="s">
        <v>56</v>
      </c>
      <c r="G900" t="s">
        <v>101</v>
      </c>
      <c r="H900" t="s">
        <v>42</v>
      </c>
      <c r="I900" t="s">
        <v>51</v>
      </c>
      <c r="J900" t="s">
        <v>34</v>
      </c>
      <c r="K900">
        <v>6</v>
      </c>
      <c r="L900">
        <v>748.95</v>
      </c>
      <c r="M900" s="3">
        <v>0</v>
      </c>
      <c r="N900" t="str">
        <f>VLOOKUP(Table1[[#This Row],[Country]],REF_Country!$A$1:$D$11,2,FALSE)</f>
        <v>Southeast Asia</v>
      </c>
      <c r="O900" t="str">
        <f>VLOOKUP(Table1[[#This Row],[Country]],REF_Country!$A$1:$D$11,3,FALSE)</f>
        <v>SG</v>
      </c>
      <c r="P900">
        <f>VLOOKUP(Table1[[#This Row],[Country]],REF_Country!$A$1:$D$11,4,FALSE)</f>
        <v>7.0000000000000007E-2</v>
      </c>
      <c r="Q900">
        <f>VLOOKUP(Table1[[#This Row],[Category]],REF_Target!$A$1:$E$6,2,FALSE)</f>
        <v>50000</v>
      </c>
      <c r="R900">
        <f>Table1[[#This Row],[Quantity]]*Table1[[#This Row],[Unit_Price]]</f>
        <v>4493.7000000000007</v>
      </c>
      <c r="S900">
        <f>Table1[[#This Row],[Gross_Sales]]*Table1[[#This Row],[Discount_Rate]]</f>
        <v>0</v>
      </c>
      <c r="T900">
        <f>Table1[[#This Row],[Gross_Sales]]-Table1[[#This Row],[Discount_Amount]]</f>
        <v>4493.7000000000007</v>
      </c>
      <c r="U900">
        <f>VLOOKUP(Table1[[#This Row],[Category]],REF_Cost!$A$1:$B$6,2,FALSE)*Table1[[#This Row],[Quantity]]</f>
        <v>2700</v>
      </c>
      <c r="V900">
        <f>Table1[[#This Row],[Net_Sales]]-Table1[[#This Row],[Total_Cost]]</f>
        <v>1793.7000000000007</v>
      </c>
      <c r="W900" t="str">
        <f>TEXT(Table1[[#This Row],[Order_Date]],"mmm")</f>
        <v>Mar</v>
      </c>
      <c r="X900">
        <f>ROUNDUP(MONTH(Table1[[#This Row],[Order_Date]])/3,0)</f>
        <v>1</v>
      </c>
      <c r="Y900">
        <f>YEAR(Table1[[#This Row],[Order_Date]])</f>
        <v>2024</v>
      </c>
    </row>
    <row r="901" spans="1:25" x14ac:dyDescent="0.25">
      <c r="A901" t="s">
        <v>3666</v>
      </c>
      <c r="B901" t="s">
        <v>3667</v>
      </c>
      <c r="C901" t="s">
        <v>3668</v>
      </c>
      <c r="D901" t="s">
        <v>3669</v>
      </c>
      <c r="E901" t="s">
        <v>116</v>
      </c>
      <c r="F901" t="s">
        <v>30</v>
      </c>
      <c r="G901" t="s">
        <v>195</v>
      </c>
      <c r="H901" t="s">
        <v>42</v>
      </c>
      <c r="I901" t="s">
        <v>43</v>
      </c>
      <c r="J901" t="s">
        <v>73</v>
      </c>
      <c r="K901">
        <v>6</v>
      </c>
      <c r="L901">
        <v>572.25</v>
      </c>
      <c r="M901" s="3">
        <v>0.2</v>
      </c>
      <c r="N901" t="str">
        <f>VLOOKUP(Table1[[#This Row],[Country]],REF_Country!$A$1:$D$11,2,FALSE)</f>
        <v>Southeast Asia</v>
      </c>
      <c r="O901" t="str">
        <f>VLOOKUP(Table1[[#This Row],[Country]],REF_Country!$A$1:$D$11,3,FALSE)</f>
        <v>MY</v>
      </c>
      <c r="P901">
        <f>VLOOKUP(Table1[[#This Row],[Country]],REF_Country!$A$1:$D$11,4,FALSE)</f>
        <v>0.06</v>
      </c>
      <c r="Q901">
        <f>VLOOKUP(Table1[[#This Row],[Category]],REF_Target!$A$1:$E$6,2,FALSE)</f>
        <v>40000</v>
      </c>
      <c r="R901">
        <f>Table1[[#This Row],[Quantity]]*Table1[[#This Row],[Unit_Price]]</f>
        <v>3433.5</v>
      </c>
      <c r="S901">
        <f>Table1[[#This Row],[Gross_Sales]]*Table1[[#This Row],[Discount_Rate]]</f>
        <v>686.7</v>
      </c>
      <c r="T901">
        <f>Table1[[#This Row],[Gross_Sales]]-Table1[[#This Row],[Discount_Amount]]</f>
        <v>2746.8</v>
      </c>
      <c r="U901">
        <f>VLOOKUP(Table1[[#This Row],[Category]],REF_Cost!$A$1:$B$6,2,FALSE)*Table1[[#This Row],[Quantity]]</f>
        <v>720</v>
      </c>
      <c r="V901">
        <f>Table1[[#This Row],[Net_Sales]]-Table1[[#This Row],[Total_Cost]]</f>
        <v>2026.8000000000002</v>
      </c>
      <c r="W901" t="str">
        <f>TEXT(Table1[[#This Row],[Order_Date]],"mmm")</f>
        <v>Jul</v>
      </c>
      <c r="X901">
        <f>ROUNDUP(MONTH(Table1[[#This Row],[Order_Date]])/3,0)</f>
        <v>3</v>
      </c>
      <c r="Y901">
        <f>YEAR(Table1[[#This Row],[Order_Date]])</f>
        <v>2024</v>
      </c>
    </row>
    <row r="902" spans="1:25" x14ac:dyDescent="0.25">
      <c r="A902" t="s">
        <v>3670</v>
      </c>
      <c r="B902" t="s">
        <v>3671</v>
      </c>
      <c r="C902" t="s">
        <v>3672</v>
      </c>
      <c r="D902" t="s">
        <v>3673</v>
      </c>
      <c r="E902" t="s">
        <v>83</v>
      </c>
      <c r="F902" t="s">
        <v>40</v>
      </c>
      <c r="G902" t="s">
        <v>144</v>
      </c>
      <c r="H902" t="s">
        <v>42</v>
      </c>
      <c r="I902" t="s">
        <v>33</v>
      </c>
      <c r="J902" t="s">
        <v>126</v>
      </c>
      <c r="K902">
        <v>6</v>
      </c>
      <c r="L902">
        <v>189.05</v>
      </c>
      <c r="M902" s="3">
        <v>0.05</v>
      </c>
      <c r="N902" t="str">
        <f>VLOOKUP(Table1[[#This Row],[Country]],REF_Country!$A$1:$D$11,2,FALSE)</f>
        <v>South Asia</v>
      </c>
      <c r="O902" t="str">
        <f>VLOOKUP(Table1[[#This Row],[Country]],REF_Country!$A$1:$D$11,3,FALSE)</f>
        <v>IN</v>
      </c>
      <c r="P902">
        <f>VLOOKUP(Table1[[#This Row],[Country]],REF_Country!$A$1:$D$11,4,FALSE)</f>
        <v>0.18</v>
      </c>
      <c r="Q902">
        <f>VLOOKUP(Table1[[#This Row],[Category]],REF_Target!$A$1:$E$6,2,FALSE)</f>
        <v>45000</v>
      </c>
      <c r="R902">
        <f>Table1[[#This Row],[Quantity]]*Table1[[#This Row],[Unit_Price]]</f>
        <v>1134.3000000000002</v>
      </c>
      <c r="S902">
        <f>Table1[[#This Row],[Gross_Sales]]*Table1[[#This Row],[Discount_Rate]]</f>
        <v>56.715000000000011</v>
      </c>
      <c r="T902">
        <f>Table1[[#This Row],[Gross_Sales]]-Table1[[#This Row],[Discount_Amount]]</f>
        <v>1077.5850000000003</v>
      </c>
      <c r="U902">
        <f>VLOOKUP(Table1[[#This Row],[Category]],REF_Cost!$A$1:$B$6,2,FALSE)*Table1[[#This Row],[Quantity]]</f>
        <v>480</v>
      </c>
      <c r="V902">
        <f>Table1[[#This Row],[Net_Sales]]-Table1[[#This Row],[Total_Cost]]</f>
        <v>597.58500000000026</v>
      </c>
      <c r="W902" t="str">
        <f>TEXT(Table1[[#This Row],[Order_Date]],"mmm")</f>
        <v>Jan</v>
      </c>
      <c r="X902">
        <f>ROUNDUP(MONTH(Table1[[#This Row],[Order_Date]])/3,0)</f>
        <v>1</v>
      </c>
      <c r="Y902">
        <f>YEAR(Table1[[#This Row],[Order_Date]])</f>
        <v>2024</v>
      </c>
    </row>
    <row r="903" spans="1:25" x14ac:dyDescent="0.25">
      <c r="A903" t="s">
        <v>3674</v>
      </c>
      <c r="B903" t="s">
        <v>3675</v>
      </c>
      <c r="C903" t="s">
        <v>3676</v>
      </c>
      <c r="D903" t="s">
        <v>3677</v>
      </c>
      <c r="E903" t="s">
        <v>116</v>
      </c>
      <c r="F903" t="s">
        <v>30</v>
      </c>
      <c r="G903" t="s">
        <v>139</v>
      </c>
      <c r="H903" t="s">
        <v>72</v>
      </c>
      <c r="I903" t="s">
        <v>43</v>
      </c>
      <c r="J903" t="s">
        <v>59</v>
      </c>
      <c r="K903">
        <v>1</v>
      </c>
      <c r="L903">
        <v>58.89</v>
      </c>
      <c r="M903" s="3">
        <v>0.15</v>
      </c>
      <c r="N903" t="str">
        <f>VLOOKUP(Table1[[#This Row],[Country]],REF_Country!$A$1:$D$11,2,FALSE)</f>
        <v>Southeast Asia</v>
      </c>
      <c r="O903" t="str">
        <f>VLOOKUP(Table1[[#This Row],[Country]],REF_Country!$A$1:$D$11,3,FALSE)</f>
        <v>MY</v>
      </c>
      <c r="P903">
        <f>VLOOKUP(Table1[[#This Row],[Country]],REF_Country!$A$1:$D$11,4,FALSE)</f>
        <v>0.06</v>
      </c>
      <c r="Q903">
        <f>VLOOKUP(Table1[[#This Row],[Category]],REF_Target!$A$1:$E$6,2,FALSE)</f>
        <v>40000</v>
      </c>
      <c r="R903">
        <f>Table1[[#This Row],[Quantity]]*Table1[[#This Row],[Unit_Price]]</f>
        <v>58.89</v>
      </c>
      <c r="S903">
        <f>Table1[[#This Row],[Gross_Sales]]*Table1[[#This Row],[Discount_Rate]]</f>
        <v>8.833499999999999</v>
      </c>
      <c r="T903">
        <f>Table1[[#This Row],[Gross_Sales]]-Table1[[#This Row],[Discount_Amount]]</f>
        <v>50.0565</v>
      </c>
      <c r="U903">
        <f>VLOOKUP(Table1[[#This Row],[Category]],REF_Cost!$A$1:$B$6,2,FALSE)*Table1[[#This Row],[Quantity]]</f>
        <v>120</v>
      </c>
      <c r="V903">
        <f>Table1[[#This Row],[Net_Sales]]-Table1[[#This Row],[Total_Cost]]</f>
        <v>-69.9435</v>
      </c>
      <c r="W903" t="str">
        <f>TEXT(Table1[[#This Row],[Order_Date]],"mmm")</f>
        <v>Sep</v>
      </c>
      <c r="X903">
        <f>ROUNDUP(MONTH(Table1[[#This Row],[Order_Date]])/3,0)</f>
        <v>3</v>
      </c>
      <c r="Y903">
        <f>YEAR(Table1[[#This Row],[Order_Date]])</f>
        <v>2024</v>
      </c>
    </row>
    <row r="904" spans="1:25" x14ac:dyDescent="0.25">
      <c r="A904" t="s">
        <v>3678</v>
      </c>
      <c r="B904" t="s">
        <v>3679</v>
      </c>
      <c r="C904" t="s">
        <v>3680</v>
      </c>
      <c r="D904" t="s">
        <v>3681</v>
      </c>
      <c r="E904" t="s">
        <v>48</v>
      </c>
      <c r="F904" t="s">
        <v>30</v>
      </c>
      <c r="G904" t="s">
        <v>269</v>
      </c>
      <c r="H904" t="s">
        <v>58</v>
      </c>
      <c r="I904" t="s">
        <v>96</v>
      </c>
      <c r="J904" t="s">
        <v>73</v>
      </c>
      <c r="K904">
        <v>3</v>
      </c>
      <c r="L904">
        <v>1095.7</v>
      </c>
      <c r="M904" s="3">
        <v>0.05</v>
      </c>
      <c r="N904" t="str">
        <f>VLOOKUP(Table1[[#This Row],[Country]],REF_Country!$A$1:$D$11,2,FALSE)</f>
        <v>Southeast Asia</v>
      </c>
      <c r="O904" t="str">
        <f>VLOOKUP(Table1[[#This Row],[Country]],REF_Country!$A$1:$D$11,3,FALSE)</f>
        <v>SG</v>
      </c>
      <c r="P904">
        <f>VLOOKUP(Table1[[#This Row],[Country]],REF_Country!$A$1:$D$11,4,FALSE)</f>
        <v>7.0000000000000007E-2</v>
      </c>
      <c r="Q904">
        <f>VLOOKUP(Table1[[#This Row],[Category]],REF_Target!$A$1:$E$6,2,FALSE)</f>
        <v>40000</v>
      </c>
      <c r="R904">
        <f>Table1[[#This Row],[Quantity]]*Table1[[#This Row],[Unit_Price]]</f>
        <v>3287.1000000000004</v>
      </c>
      <c r="S904">
        <f>Table1[[#This Row],[Gross_Sales]]*Table1[[#This Row],[Discount_Rate]]</f>
        <v>164.35500000000002</v>
      </c>
      <c r="T904">
        <f>Table1[[#This Row],[Gross_Sales]]-Table1[[#This Row],[Discount_Amount]]</f>
        <v>3122.7450000000003</v>
      </c>
      <c r="U904">
        <f>VLOOKUP(Table1[[#This Row],[Category]],REF_Cost!$A$1:$B$6,2,FALSE)*Table1[[#This Row],[Quantity]]</f>
        <v>360</v>
      </c>
      <c r="V904">
        <f>Table1[[#This Row],[Net_Sales]]-Table1[[#This Row],[Total_Cost]]</f>
        <v>2762.7450000000003</v>
      </c>
      <c r="W904" t="str">
        <f>TEXT(Table1[[#This Row],[Order_Date]],"mmm")</f>
        <v>Apr</v>
      </c>
      <c r="X904">
        <f>ROUNDUP(MONTH(Table1[[#This Row],[Order_Date]])/3,0)</f>
        <v>2</v>
      </c>
      <c r="Y904">
        <f>YEAR(Table1[[#This Row],[Order_Date]])</f>
        <v>2024</v>
      </c>
    </row>
    <row r="905" spans="1:25" x14ac:dyDescent="0.25">
      <c r="A905" t="s">
        <v>3682</v>
      </c>
      <c r="B905" t="s">
        <v>3683</v>
      </c>
      <c r="C905" t="s">
        <v>3684</v>
      </c>
      <c r="D905" t="s">
        <v>3685</v>
      </c>
      <c r="E905" t="s">
        <v>29</v>
      </c>
      <c r="F905" t="s">
        <v>49</v>
      </c>
      <c r="G905" t="s">
        <v>226</v>
      </c>
      <c r="H905" t="s">
        <v>58</v>
      </c>
      <c r="I905" t="s">
        <v>43</v>
      </c>
      <c r="J905" t="s">
        <v>73</v>
      </c>
      <c r="K905">
        <v>7</v>
      </c>
      <c r="L905">
        <v>662.55</v>
      </c>
      <c r="M905" s="3">
        <v>0</v>
      </c>
      <c r="N905" t="str">
        <f>VLOOKUP(Table1[[#This Row],[Country]],REF_Country!$A$1:$D$11,2,FALSE)</f>
        <v>Southeast Asia</v>
      </c>
      <c r="O905" t="str">
        <f>VLOOKUP(Table1[[#This Row],[Country]],REF_Country!$A$1:$D$11,3,FALSE)</f>
        <v>VN</v>
      </c>
      <c r="P905">
        <f>VLOOKUP(Table1[[#This Row],[Country]],REF_Country!$A$1:$D$11,4,FALSE)</f>
        <v>0.1</v>
      </c>
      <c r="Q905">
        <f>VLOOKUP(Table1[[#This Row],[Category]],REF_Target!$A$1:$E$6,2,FALSE)</f>
        <v>35000</v>
      </c>
      <c r="R905">
        <f>Table1[[#This Row],[Quantity]]*Table1[[#This Row],[Unit_Price]]</f>
        <v>4637.8499999999995</v>
      </c>
      <c r="S905">
        <f>Table1[[#This Row],[Gross_Sales]]*Table1[[#This Row],[Discount_Rate]]</f>
        <v>0</v>
      </c>
      <c r="T905">
        <f>Table1[[#This Row],[Gross_Sales]]-Table1[[#This Row],[Discount_Amount]]</f>
        <v>4637.8499999999995</v>
      </c>
      <c r="U905">
        <f>VLOOKUP(Table1[[#This Row],[Category]],REF_Cost!$A$1:$B$6,2,FALSE)*Table1[[#This Row],[Quantity]]</f>
        <v>1050</v>
      </c>
      <c r="V905">
        <f>Table1[[#This Row],[Net_Sales]]-Table1[[#This Row],[Total_Cost]]</f>
        <v>3587.8499999999995</v>
      </c>
      <c r="W905" t="str">
        <f>TEXT(Table1[[#This Row],[Order_Date]],"mmm")</f>
        <v>Jun</v>
      </c>
      <c r="X905">
        <f>ROUNDUP(MONTH(Table1[[#This Row],[Order_Date]])/3,0)</f>
        <v>2</v>
      </c>
      <c r="Y905">
        <f>YEAR(Table1[[#This Row],[Order_Date]])</f>
        <v>2024</v>
      </c>
    </row>
    <row r="906" spans="1:25" x14ac:dyDescent="0.25">
      <c r="A906" t="s">
        <v>3686</v>
      </c>
      <c r="B906" t="s">
        <v>3687</v>
      </c>
      <c r="C906" t="s">
        <v>3688</v>
      </c>
      <c r="D906" t="s">
        <v>3689</v>
      </c>
      <c r="E906" t="s">
        <v>83</v>
      </c>
      <c r="F906" t="s">
        <v>84</v>
      </c>
      <c r="G906" t="s">
        <v>85</v>
      </c>
      <c r="H906" t="s">
        <v>42</v>
      </c>
      <c r="I906" t="s">
        <v>96</v>
      </c>
      <c r="J906" t="s">
        <v>59</v>
      </c>
      <c r="K906">
        <v>8</v>
      </c>
      <c r="L906">
        <v>1194.24</v>
      </c>
      <c r="M906" s="3">
        <v>0.1</v>
      </c>
      <c r="N906" t="str">
        <f>VLOOKUP(Table1[[#This Row],[Country]],REF_Country!$A$1:$D$11,2,FALSE)</f>
        <v>South Asia</v>
      </c>
      <c r="O906" t="str">
        <f>VLOOKUP(Table1[[#This Row],[Country]],REF_Country!$A$1:$D$11,3,FALSE)</f>
        <v>IN</v>
      </c>
      <c r="P906">
        <f>VLOOKUP(Table1[[#This Row],[Country]],REF_Country!$A$1:$D$11,4,FALSE)</f>
        <v>0.18</v>
      </c>
      <c r="Q906">
        <f>VLOOKUP(Table1[[#This Row],[Category]],REF_Target!$A$1:$E$6,2,FALSE)</f>
        <v>30000</v>
      </c>
      <c r="R906">
        <f>Table1[[#This Row],[Quantity]]*Table1[[#This Row],[Unit_Price]]</f>
        <v>9553.92</v>
      </c>
      <c r="S906">
        <f>Table1[[#This Row],[Gross_Sales]]*Table1[[#This Row],[Discount_Rate]]</f>
        <v>955.39200000000005</v>
      </c>
      <c r="T906">
        <f>Table1[[#This Row],[Gross_Sales]]-Table1[[#This Row],[Discount_Amount]]</f>
        <v>8598.5280000000002</v>
      </c>
      <c r="U906">
        <f>VLOOKUP(Table1[[#This Row],[Category]],REF_Cost!$A$1:$B$6,2,FALSE)*Table1[[#This Row],[Quantity]]</f>
        <v>1600</v>
      </c>
      <c r="V906">
        <f>Table1[[#This Row],[Net_Sales]]-Table1[[#This Row],[Total_Cost]]</f>
        <v>6998.5280000000002</v>
      </c>
      <c r="W906" t="str">
        <f>TEXT(Table1[[#This Row],[Order_Date]],"mmm")</f>
        <v>Jul</v>
      </c>
      <c r="X906">
        <f>ROUNDUP(MONTH(Table1[[#This Row],[Order_Date]])/3,0)</f>
        <v>3</v>
      </c>
      <c r="Y906">
        <f>YEAR(Table1[[#This Row],[Order_Date]])</f>
        <v>2024</v>
      </c>
    </row>
    <row r="907" spans="1:25" x14ac:dyDescent="0.25">
      <c r="A907" t="s">
        <v>3690</v>
      </c>
      <c r="B907" t="s">
        <v>3691</v>
      </c>
      <c r="C907" t="s">
        <v>3692</v>
      </c>
      <c r="D907" t="s">
        <v>3693</v>
      </c>
      <c r="E907" t="s">
        <v>149</v>
      </c>
      <c r="F907" t="s">
        <v>49</v>
      </c>
      <c r="G907" t="s">
        <v>286</v>
      </c>
      <c r="H907" t="s">
        <v>32</v>
      </c>
      <c r="I907" t="s">
        <v>96</v>
      </c>
      <c r="J907" t="s">
        <v>73</v>
      </c>
      <c r="K907">
        <v>6</v>
      </c>
      <c r="L907">
        <v>857.21</v>
      </c>
      <c r="M907" s="3">
        <v>0.2</v>
      </c>
      <c r="N907" t="str">
        <f>VLOOKUP(Table1[[#This Row],[Country]],REF_Country!$A$1:$D$11,2,FALSE)</f>
        <v>East Asia</v>
      </c>
      <c r="O907" t="str">
        <f>VLOOKUP(Table1[[#This Row],[Country]],REF_Country!$A$1:$D$11,3,FALSE)</f>
        <v>JP</v>
      </c>
      <c r="P907">
        <f>VLOOKUP(Table1[[#This Row],[Country]],REF_Country!$A$1:$D$11,4,FALSE)</f>
        <v>0.1</v>
      </c>
      <c r="Q907">
        <f>VLOOKUP(Table1[[#This Row],[Category]],REF_Target!$A$1:$E$6,2,FALSE)</f>
        <v>35000</v>
      </c>
      <c r="R907">
        <f>Table1[[#This Row],[Quantity]]*Table1[[#This Row],[Unit_Price]]</f>
        <v>5143.26</v>
      </c>
      <c r="S907">
        <f>Table1[[#This Row],[Gross_Sales]]*Table1[[#This Row],[Discount_Rate]]</f>
        <v>1028.652</v>
      </c>
      <c r="T907">
        <f>Table1[[#This Row],[Gross_Sales]]-Table1[[#This Row],[Discount_Amount]]</f>
        <v>4114.6080000000002</v>
      </c>
      <c r="U907">
        <f>VLOOKUP(Table1[[#This Row],[Category]],REF_Cost!$A$1:$B$6,2,FALSE)*Table1[[#This Row],[Quantity]]</f>
        <v>900</v>
      </c>
      <c r="V907">
        <f>Table1[[#This Row],[Net_Sales]]-Table1[[#This Row],[Total_Cost]]</f>
        <v>3214.6080000000002</v>
      </c>
      <c r="W907" t="str">
        <f>TEXT(Table1[[#This Row],[Order_Date]],"mmm")</f>
        <v>Nov</v>
      </c>
      <c r="X907">
        <f>ROUNDUP(MONTH(Table1[[#This Row],[Order_Date]])/3,0)</f>
        <v>4</v>
      </c>
      <c r="Y907">
        <f>YEAR(Table1[[#This Row],[Order_Date]])</f>
        <v>2024</v>
      </c>
    </row>
    <row r="908" spans="1:25" x14ac:dyDescent="0.25">
      <c r="A908" t="s">
        <v>3694</v>
      </c>
      <c r="B908" t="s">
        <v>3695</v>
      </c>
      <c r="C908" t="s">
        <v>3696</v>
      </c>
      <c r="D908" t="s">
        <v>3697</v>
      </c>
      <c r="E908" t="s">
        <v>149</v>
      </c>
      <c r="F908" t="s">
        <v>84</v>
      </c>
      <c r="G908" t="s">
        <v>90</v>
      </c>
      <c r="H908" t="s">
        <v>42</v>
      </c>
      <c r="I908" t="s">
        <v>51</v>
      </c>
      <c r="J908" t="s">
        <v>126</v>
      </c>
      <c r="K908">
        <v>9</v>
      </c>
      <c r="L908">
        <v>1242.6300000000001</v>
      </c>
      <c r="M908" s="3">
        <v>0.05</v>
      </c>
      <c r="N908" t="str">
        <f>VLOOKUP(Table1[[#This Row],[Country]],REF_Country!$A$1:$D$11,2,FALSE)</f>
        <v>East Asia</v>
      </c>
      <c r="O908" t="str">
        <f>VLOOKUP(Table1[[#This Row],[Country]],REF_Country!$A$1:$D$11,3,FALSE)</f>
        <v>JP</v>
      </c>
      <c r="P908">
        <f>VLOOKUP(Table1[[#This Row],[Country]],REF_Country!$A$1:$D$11,4,FALSE)</f>
        <v>0.1</v>
      </c>
      <c r="Q908">
        <f>VLOOKUP(Table1[[#This Row],[Category]],REF_Target!$A$1:$E$6,2,FALSE)</f>
        <v>30000</v>
      </c>
      <c r="R908">
        <f>Table1[[#This Row],[Quantity]]*Table1[[#This Row],[Unit_Price]]</f>
        <v>11183.670000000002</v>
      </c>
      <c r="S908">
        <f>Table1[[#This Row],[Gross_Sales]]*Table1[[#This Row],[Discount_Rate]]</f>
        <v>559.18350000000009</v>
      </c>
      <c r="T908">
        <f>Table1[[#This Row],[Gross_Sales]]-Table1[[#This Row],[Discount_Amount]]</f>
        <v>10624.486500000003</v>
      </c>
      <c r="U908">
        <f>VLOOKUP(Table1[[#This Row],[Category]],REF_Cost!$A$1:$B$6,2,FALSE)*Table1[[#This Row],[Quantity]]</f>
        <v>1800</v>
      </c>
      <c r="V908">
        <f>Table1[[#This Row],[Net_Sales]]-Table1[[#This Row],[Total_Cost]]</f>
        <v>8824.4865000000027</v>
      </c>
      <c r="W908" t="str">
        <f>TEXT(Table1[[#This Row],[Order_Date]],"mmm")</f>
        <v>Sep</v>
      </c>
      <c r="X908">
        <f>ROUNDUP(MONTH(Table1[[#This Row],[Order_Date]])/3,0)</f>
        <v>3</v>
      </c>
      <c r="Y908">
        <f>YEAR(Table1[[#This Row],[Order_Date]])</f>
        <v>2024</v>
      </c>
    </row>
    <row r="909" spans="1:25" x14ac:dyDescent="0.25">
      <c r="A909" t="s">
        <v>3698</v>
      </c>
      <c r="B909" t="s">
        <v>3699</v>
      </c>
      <c r="C909" t="s">
        <v>3700</v>
      </c>
      <c r="D909" t="s">
        <v>3701</v>
      </c>
      <c r="E909" t="s">
        <v>48</v>
      </c>
      <c r="F909" t="s">
        <v>84</v>
      </c>
      <c r="G909" t="s">
        <v>85</v>
      </c>
      <c r="H909" t="s">
        <v>72</v>
      </c>
      <c r="I909" t="s">
        <v>66</v>
      </c>
      <c r="J909" t="s">
        <v>126</v>
      </c>
      <c r="K909">
        <v>6</v>
      </c>
      <c r="L909">
        <v>122.87</v>
      </c>
      <c r="M909" s="3">
        <v>0.05</v>
      </c>
      <c r="N909" t="str">
        <f>VLOOKUP(Table1[[#This Row],[Country]],REF_Country!$A$1:$D$11,2,FALSE)</f>
        <v>Southeast Asia</v>
      </c>
      <c r="O909" t="str">
        <f>VLOOKUP(Table1[[#This Row],[Country]],REF_Country!$A$1:$D$11,3,FALSE)</f>
        <v>SG</v>
      </c>
      <c r="P909">
        <f>VLOOKUP(Table1[[#This Row],[Country]],REF_Country!$A$1:$D$11,4,FALSE)</f>
        <v>7.0000000000000007E-2</v>
      </c>
      <c r="Q909">
        <f>VLOOKUP(Table1[[#This Row],[Category]],REF_Target!$A$1:$E$6,2,FALSE)</f>
        <v>30000</v>
      </c>
      <c r="R909">
        <f>Table1[[#This Row],[Quantity]]*Table1[[#This Row],[Unit_Price]]</f>
        <v>737.22</v>
      </c>
      <c r="S909">
        <f>Table1[[#This Row],[Gross_Sales]]*Table1[[#This Row],[Discount_Rate]]</f>
        <v>36.861000000000004</v>
      </c>
      <c r="T909">
        <f>Table1[[#This Row],[Gross_Sales]]-Table1[[#This Row],[Discount_Amount]]</f>
        <v>700.35900000000004</v>
      </c>
      <c r="U909">
        <f>VLOOKUP(Table1[[#This Row],[Category]],REF_Cost!$A$1:$B$6,2,FALSE)*Table1[[#This Row],[Quantity]]</f>
        <v>1200</v>
      </c>
      <c r="V909">
        <f>Table1[[#This Row],[Net_Sales]]-Table1[[#This Row],[Total_Cost]]</f>
        <v>-499.64099999999996</v>
      </c>
      <c r="W909" t="str">
        <f>TEXT(Table1[[#This Row],[Order_Date]],"mmm")</f>
        <v>Jun</v>
      </c>
      <c r="X909">
        <f>ROUNDUP(MONTH(Table1[[#This Row],[Order_Date]])/3,0)</f>
        <v>2</v>
      </c>
      <c r="Y909">
        <f>YEAR(Table1[[#This Row],[Order_Date]])</f>
        <v>2024</v>
      </c>
    </row>
    <row r="910" spans="1:25" x14ac:dyDescent="0.25">
      <c r="A910" t="s">
        <v>3702</v>
      </c>
      <c r="B910" t="s">
        <v>3703</v>
      </c>
      <c r="C910" t="s">
        <v>3704</v>
      </c>
      <c r="D910" t="s">
        <v>3705</v>
      </c>
      <c r="E910" t="s">
        <v>71</v>
      </c>
      <c r="F910" t="s">
        <v>30</v>
      </c>
      <c r="G910" t="s">
        <v>195</v>
      </c>
      <c r="H910" t="s">
        <v>32</v>
      </c>
      <c r="I910" t="s">
        <v>96</v>
      </c>
      <c r="J910" t="s">
        <v>59</v>
      </c>
      <c r="K910">
        <v>6</v>
      </c>
      <c r="L910">
        <v>857.69</v>
      </c>
      <c r="M910" s="3">
        <v>0</v>
      </c>
      <c r="N910" t="str">
        <f>VLOOKUP(Table1[[#This Row],[Country]],REF_Country!$A$1:$D$11,2,FALSE)</f>
        <v>Southeast Asia</v>
      </c>
      <c r="O910" t="str">
        <f>VLOOKUP(Table1[[#This Row],[Country]],REF_Country!$A$1:$D$11,3,FALSE)</f>
        <v>PH</v>
      </c>
      <c r="P910">
        <f>VLOOKUP(Table1[[#This Row],[Country]],REF_Country!$A$1:$D$11,4,FALSE)</f>
        <v>0.12</v>
      </c>
      <c r="Q910">
        <f>VLOOKUP(Table1[[#This Row],[Category]],REF_Target!$A$1:$E$6,2,FALSE)</f>
        <v>40000</v>
      </c>
      <c r="R910">
        <f>Table1[[#This Row],[Quantity]]*Table1[[#This Row],[Unit_Price]]</f>
        <v>5146.1400000000003</v>
      </c>
      <c r="S910">
        <f>Table1[[#This Row],[Gross_Sales]]*Table1[[#This Row],[Discount_Rate]]</f>
        <v>0</v>
      </c>
      <c r="T910">
        <f>Table1[[#This Row],[Gross_Sales]]-Table1[[#This Row],[Discount_Amount]]</f>
        <v>5146.1400000000003</v>
      </c>
      <c r="U910">
        <f>VLOOKUP(Table1[[#This Row],[Category]],REF_Cost!$A$1:$B$6,2,FALSE)*Table1[[#This Row],[Quantity]]</f>
        <v>720</v>
      </c>
      <c r="V910">
        <f>Table1[[#This Row],[Net_Sales]]-Table1[[#This Row],[Total_Cost]]</f>
        <v>4426.1400000000003</v>
      </c>
      <c r="W910" t="str">
        <f>TEXT(Table1[[#This Row],[Order_Date]],"mmm")</f>
        <v>Jun</v>
      </c>
      <c r="X910">
        <f>ROUNDUP(MONTH(Table1[[#This Row],[Order_Date]])/3,0)</f>
        <v>2</v>
      </c>
      <c r="Y910">
        <f>YEAR(Table1[[#This Row],[Order_Date]])</f>
        <v>2024</v>
      </c>
    </row>
    <row r="911" spans="1:25" x14ac:dyDescent="0.25">
      <c r="A911" t="s">
        <v>3706</v>
      </c>
      <c r="B911" t="s">
        <v>3707</v>
      </c>
      <c r="C911" t="s">
        <v>3708</v>
      </c>
      <c r="D911" t="s">
        <v>3709</v>
      </c>
      <c r="E911" t="s">
        <v>116</v>
      </c>
      <c r="F911" t="s">
        <v>40</v>
      </c>
      <c r="G911" t="s">
        <v>315</v>
      </c>
      <c r="H911" t="s">
        <v>42</v>
      </c>
      <c r="I911" t="s">
        <v>96</v>
      </c>
      <c r="J911" t="s">
        <v>59</v>
      </c>
      <c r="K911">
        <v>2</v>
      </c>
      <c r="L911">
        <v>1078.6500000000001</v>
      </c>
      <c r="M911" s="3">
        <v>0.15</v>
      </c>
      <c r="N911" t="str">
        <f>VLOOKUP(Table1[[#This Row],[Country]],REF_Country!$A$1:$D$11,2,FALSE)</f>
        <v>Southeast Asia</v>
      </c>
      <c r="O911" t="str">
        <f>VLOOKUP(Table1[[#This Row],[Country]],REF_Country!$A$1:$D$11,3,FALSE)</f>
        <v>MY</v>
      </c>
      <c r="P911">
        <f>VLOOKUP(Table1[[#This Row],[Country]],REF_Country!$A$1:$D$11,4,FALSE)</f>
        <v>0.06</v>
      </c>
      <c r="Q911">
        <f>VLOOKUP(Table1[[#This Row],[Category]],REF_Target!$A$1:$E$6,2,FALSE)</f>
        <v>45000</v>
      </c>
      <c r="R911">
        <f>Table1[[#This Row],[Quantity]]*Table1[[#This Row],[Unit_Price]]</f>
        <v>2157.3000000000002</v>
      </c>
      <c r="S911">
        <f>Table1[[#This Row],[Gross_Sales]]*Table1[[#This Row],[Discount_Rate]]</f>
        <v>323.59500000000003</v>
      </c>
      <c r="T911">
        <f>Table1[[#This Row],[Gross_Sales]]-Table1[[#This Row],[Discount_Amount]]</f>
        <v>1833.7050000000002</v>
      </c>
      <c r="U911">
        <f>VLOOKUP(Table1[[#This Row],[Category]],REF_Cost!$A$1:$B$6,2,FALSE)*Table1[[#This Row],[Quantity]]</f>
        <v>160</v>
      </c>
      <c r="V911">
        <f>Table1[[#This Row],[Net_Sales]]-Table1[[#This Row],[Total_Cost]]</f>
        <v>1673.7050000000002</v>
      </c>
      <c r="W911" t="str">
        <f>TEXT(Table1[[#This Row],[Order_Date]],"mmm")</f>
        <v>Apr</v>
      </c>
      <c r="X911">
        <f>ROUNDUP(MONTH(Table1[[#This Row],[Order_Date]])/3,0)</f>
        <v>2</v>
      </c>
      <c r="Y911">
        <f>YEAR(Table1[[#This Row],[Order_Date]])</f>
        <v>2024</v>
      </c>
    </row>
    <row r="912" spans="1:25" x14ac:dyDescent="0.25">
      <c r="A912" t="s">
        <v>3710</v>
      </c>
      <c r="B912" t="s">
        <v>3711</v>
      </c>
      <c r="C912" t="s">
        <v>3712</v>
      </c>
      <c r="D912" t="s">
        <v>3713</v>
      </c>
      <c r="E912" t="s">
        <v>200</v>
      </c>
      <c r="F912" t="s">
        <v>49</v>
      </c>
      <c r="G912" t="s">
        <v>117</v>
      </c>
      <c r="H912" t="s">
        <v>32</v>
      </c>
      <c r="I912" t="s">
        <v>96</v>
      </c>
      <c r="J912" t="s">
        <v>73</v>
      </c>
      <c r="K912">
        <v>7</v>
      </c>
      <c r="L912">
        <v>1485.54</v>
      </c>
      <c r="M912" s="3">
        <v>0</v>
      </c>
      <c r="N912" t="str">
        <f>VLOOKUP(Table1[[#This Row],[Country]],REF_Country!$A$1:$D$11,2,FALSE)</f>
        <v>East Asia</v>
      </c>
      <c r="O912" t="str">
        <f>VLOOKUP(Table1[[#This Row],[Country]],REF_Country!$A$1:$D$11,3,FALSE)</f>
        <v>KR</v>
      </c>
      <c r="P912">
        <f>VLOOKUP(Table1[[#This Row],[Country]],REF_Country!$A$1:$D$11,4,FALSE)</f>
        <v>0.1</v>
      </c>
      <c r="Q912">
        <f>VLOOKUP(Table1[[#This Row],[Category]],REF_Target!$A$1:$E$6,2,FALSE)</f>
        <v>35000</v>
      </c>
      <c r="R912">
        <f>Table1[[#This Row],[Quantity]]*Table1[[#This Row],[Unit_Price]]</f>
        <v>10398.779999999999</v>
      </c>
      <c r="S912">
        <f>Table1[[#This Row],[Gross_Sales]]*Table1[[#This Row],[Discount_Rate]]</f>
        <v>0</v>
      </c>
      <c r="T912">
        <f>Table1[[#This Row],[Gross_Sales]]-Table1[[#This Row],[Discount_Amount]]</f>
        <v>10398.779999999999</v>
      </c>
      <c r="U912">
        <f>VLOOKUP(Table1[[#This Row],[Category]],REF_Cost!$A$1:$B$6,2,FALSE)*Table1[[#This Row],[Quantity]]</f>
        <v>1050</v>
      </c>
      <c r="V912">
        <f>Table1[[#This Row],[Net_Sales]]-Table1[[#This Row],[Total_Cost]]</f>
        <v>9348.7799999999988</v>
      </c>
      <c r="W912" t="str">
        <f>TEXT(Table1[[#This Row],[Order_Date]],"mmm")</f>
        <v>Apr</v>
      </c>
      <c r="X912">
        <f>ROUNDUP(MONTH(Table1[[#This Row],[Order_Date]])/3,0)</f>
        <v>2</v>
      </c>
      <c r="Y912">
        <f>YEAR(Table1[[#This Row],[Order_Date]])</f>
        <v>2024</v>
      </c>
    </row>
    <row r="913" spans="1:25" x14ac:dyDescent="0.25">
      <c r="A913" t="s">
        <v>3714</v>
      </c>
      <c r="B913" t="s">
        <v>3715</v>
      </c>
      <c r="C913" t="s">
        <v>3716</v>
      </c>
      <c r="D913" t="s">
        <v>3717</v>
      </c>
      <c r="E913" t="s">
        <v>39</v>
      </c>
      <c r="F913" t="s">
        <v>40</v>
      </c>
      <c r="G913" t="s">
        <v>144</v>
      </c>
      <c r="H913" t="s">
        <v>42</v>
      </c>
      <c r="I913" t="s">
        <v>66</v>
      </c>
      <c r="J913" t="s">
        <v>73</v>
      </c>
      <c r="K913">
        <v>10</v>
      </c>
      <c r="L913">
        <v>438.28</v>
      </c>
      <c r="M913" s="3">
        <v>0</v>
      </c>
      <c r="N913" t="str">
        <f>VLOOKUP(Table1[[#This Row],[Country]],REF_Country!$A$1:$D$11,2,FALSE)</f>
        <v>Southeast Asia</v>
      </c>
      <c r="O913" t="str">
        <f>VLOOKUP(Table1[[#This Row],[Country]],REF_Country!$A$1:$D$11,3,FALSE)</f>
        <v>TH</v>
      </c>
      <c r="P913">
        <f>VLOOKUP(Table1[[#This Row],[Country]],REF_Country!$A$1:$D$11,4,FALSE)</f>
        <v>7.0000000000000007E-2</v>
      </c>
      <c r="Q913">
        <f>VLOOKUP(Table1[[#This Row],[Category]],REF_Target!$A$1:$E$6,2,FALSE)</f>
        <v>45000</v>
      </c>
      <c r="R913">
        <f>Table1[[#This Row],[Quantity]]*Table1[[#This Row],[Unit_Price]]</f>
        <v>4382.7999999999993</v>
      </c>
      <c r="S913">
        <f>Table1[[#This Row],[Gross_Sales]]*Table1[[#This Row],[Discount_Rate]]</f>
        <v>0</v>
      </c>
      <c r="T913">
        <f>Table1[[#This Row],[Gross_Sales]]-Table1[[#This Row],[Discount_Amount]]</f>
        <v>4382.7999999999993</v>
      </c>
      <c r="U913">
        <f>VLOOKUP(Table1[[#This Row],[Category]],REF_Cost!$A$1:$B$6,2,FALSE)*Table1[[#This Row],[Quantity]]</f>
        <v>800</v>
      </c>
      <c r="V913">
        <f>Table1[[#This Row],[Net_Sales]]-Table1[[#This Row],[Total_Cost]]</f>
        <v>3582.7999999999993</v>
      </c>
      <c r="W913" t="str">
        <f>TEXT(Table1[[#This Row],[Order_Date]],"mmm")</f>
        <v>Jun</v>
      </c>
      <c r="X913">
        <f>ROUNDUP(MONTH(Table1[[#This Row],[Order_Date]])/3,0)</f>
        <v>2</v>
      </c>
      <c r="Y913">
        <f>YEAR(Table1[[#This Row],[Order_Date]])</f>
        <v>2024</v>
      </c>
    </row>
    <row r="914" spans="1:25" x14ac:dyDescent="0.25">
      <c r="A914" t="s">
        <v>3718</v>
      </c>
      <c r="B914" t="s">
        <v>3719</v>
      </c>
      <c r="C914" t="s">
        <v>3720</v>
      </c>
      <c r="D914" t="s">
        <v>3721</v>
      </c>
      <c r="E914" t="s">
        <v>78</v>
      </c>
      <c r="F914" t="s">
        <v>56</v>
      </c>
      <c r="G914" t="s">
        <v>190</v>
      </c>
      <c r="H914" t="s">
        <v>32</v>
      </c>
      <c r="I914" t="s">
        <v>96</v>
      </c>
      <c r="J914" t="s">
        <v>59</v>
      </c>
      <c r="K914">
        <v>2</v>
      </c>
      <c r="L914">
        <v>972.49</v>
      </c>
      <c r="M914" s="3">
        <v>0.1</v>
      </c>
      <c r="N914" t="str">
        <f>VLOOKUP(Table1[[#This Row],[Country]],REF_Country!$A$1:$D$11,2,FALSE)</f>
        <v>Oceania</v>
      </c>
      <c r="O914" t="str">
        <f>VLOOKUP(Table1[[#This Row],[Country]],REF_Country!$A$1:$D$11,3,FALSE)</f>
        <v>AU</v>
      </c>
      <c r="P914">
        <f>VLOOKUP(Table1[[#This Row],[Country]],REF_Country!$A$1:$D$11,4,FALSE)</f>
        <v>0.1</v>
      </c>
      <c r="Q914">
        <f>VLOOKUP(Table1[[#This Row],[Category]],REF_Target!$A$1:$E$6,2,FALSE)</f>
        <v>50000</v>
      </c>
      <c r="R914">
        <f>Table1[[#This Row],[Quantity]]*Table1[[#This Row],[Unit_Price]]</f>
        <v>1944.98</v>
      </c>
      <c r="S914">
        <f>Table1[[#This Row],[Gross_Sales]]*Table1[[#This Row],[Discount_Rate]]</f>
        <v>194.49800000000002</v>
      </c>
      <c r="T914">
        <f>Table1[[#This Row],[Gross_Sales]]-Table1[[#This Row],[Discount_Amount]]</f>
        <v>1750.482</v>
      </c>
      <c r="U914">
        <f>VLOOKUP(Table1[[#This Row],[Category]],REF_Cost!$A$1:$B$6,2,FALSE)*Table1[[#This Row],[Quantity]]</f>
        <v>900</v>
      </c>
      <c r="V914">
        <f>Table1[[#This Row],[Net_Sales]]-Table1[[#This Row],[Total_Cost]]</f>
        <v>850.48199999999997</v>
      </c>
      <c r="W914" t="str">
        <f>TEXT(Table1[[#This Row],[Order_Date]],"mmm")</f>
        <v>Jan</v>
      </c>
      <c r="X914">
        <f>ROUNDUP(MONTH(Table1[[#This Row],[Order_Date]])/3,0)</f>
        <v>1</v>
      </c>
      <c r="Y914">
        <f>YEAR(Table1[[#This Row],[Order_Date]])</f>
        <v>2024</v>
      </c>
    </row>
    <row r="915" spans="1:25" x14ac:dyDescent="0.25">
      <c r="A915" t="s">
        <v>3722</v>
      </c>
      <c r="B915" t="s">
        <v>3723</v>
      </c>
      <c r="C915" t="s">
        <v>3724</v>
      </c>
      <c r="D915" t="s">
        <v>3725</v>
      </c>
      <c r="E915" t="s">
        <v>116</v>
      </c>
      <c r="F915" t="s">
        <v>40</v>
      </c>
      <c r="G915" t="s">
        <v>315</v>
      </c>
      <c r="H915" t="s">
        <v>58</v>
      </c>
      <c r="I915" t="s">
        <v>96</v>
      </c>
      <c r="J915" t="s">
        <v>34</v>
      </c>
      <c r="K915">
        <v>1</v>
      </c>
      <c r="L915">
        <v>748.32</v>
      </c>
      <c r="M915" s="3">
        <v>0.1</v>
      </c>
      <c r="N915" t="str">
        <f>VLOOKUP(Table1[[#This Row],[Country]],REF_Country!$A$1:$D$11,2,FALSE)</f>
        <v>Southeast Asia</v>
      </c>
      <c r="O915" t="str">
        <f>VLOOKUP(Table1[[#This Row],[Country]],REF_Country!$A$1:$D$11,3,FALSE)</f>
        <v>MY</v>
      </c>
      <c r="P915">
        <f>VLOOKUP(Table1[[#This Row],[Country]],REF_Country!$A$1:$D$11,4,FALSE)</f>
        <v>0.06</v>
      </c>
      <c r="Q915">
        <f>VLOOKUP(Table1[[#This Row],[Category]],REF_Target!$A$1:$E$6,2,FALSE)</f>
        <v>45000</v>
      </c>
      <c r="R915">
        <f>Table1[[#This Row],[Quantity]]*Table1[[#This Row],[Unit_Price]]</f>
        <v>748.32</v>
      </c>
      <c r="S915">
        <f>Table1[[#This Row],[Gross_Sales]]*Table1[[#This Row],[Discount_Rate]]</f>
        <v>74.832000000000008</v>
      </c>
      <c r="T915">
        <f>Table1[[#This Row],[Gross_Sales]]-Table1[[#This Row],[Discount_Amount]]</f>
        <v>673.48800000000006</v>
      </c>
      <c r="U915">
        <f>VLOOKUP(Table1[[#This Row],[Category]],REF_Cost!$A$1:$B$6,2,FALSE)*Table1[[#This Row],[Quantity]]</f>
        <v>80</v>
      </c>
      <c r="V915">
        <f>Table1[[#This Row],[Net_Sales]]-Table1[[#This Row],[Total_Cost]]</f>
        <v>593.48800000000006</v>
      </c>
      <c r="W915" t="str">
        <f>TEXT(Table1[[#This Row],[Order_Date]],"mmm")</f>
        <v>Jun</v>
      </c>
      <c r="X915">
        <f>ROUNDUP(MONTH(Table1[[#This Row],[Order_Date]])/3,0)</f>
        <v>2</v>
      </c>
      <c r="Y915">
        <f>YEAR(Table1[[#This Row],[Order_Date]])</f>
        <v>2024</v>
      </c>
    </row>
    <row r="916" spans="1:25" x14ac:dyDescent="0.25">
      <c r="A916" t="s">
        <v>3726</v>
      </c>
      <c r="B916" t="s">
        <v>3727</v>
      </c>
      <c r="C916" t="s">
        <v>3728</v>
      </c>
      <c r="D916" t="s">
        <v>3729</v>
      </c>
      <c r="E916" t="s">
        <v>116</v>
      </c>
      <c r="F916" t="s">
        <v>56</v>
      </c>
      <c r="G916" t="s">
        <v>95</v>
      </c>
      <c r="H916" t="s">
        <v>32</v>
      </c>
      <c r="I916" t="s">
        <v>66</v>
      </c>
      <c r="J916" t="s">
        <v>34</v>
      </c>
      <c r="K916">
        <v>1</v>
      </c>
      <c r="L916">
        <v>86.03</v>
      </c>
      <c r="M916" s="3">
        <v>0</v>
      </c>
      <c r="N916" t="str">
        <f>VLOOKUP(Table1[[#This Row],[Country]],REF_Country!$A$1:$D$11,2,FALSE)</f>
        <v>Southeast Asia</v>
      </c>
      <c r="O916" t="str">
        <f>VLOOKUP(Table1[[#This Row],[Country]],REF_Country!$A$1:$D$11,3,FALSE)</f>
        <v>MY</v>
      </c>
      <c r="P916">
        <f>VLOOKUP(Table1[[#This Row],[Country]],REF_Country!$A$1:$D$11,4,FALSE)</f>
        <v>0.06</v>
      </c>
      <c r="Q916">
        <f>VLOOKUP(Table1[[#This Row],[Category]],REF_Target!$A$1:$E$6,2,FALSE)</f>
        <v>50000</v>
      </c>
      <c r="R916">
        <f>Table1[[#This Row],[Quantity]]*Table1[[#This Row],[Unit_Price]]</f>
        <v>86.03</v>
      </c>
      <c r="S916">
        <f>Table1[[#This Row],[Gross_Sales]]*Table1[[#This Row],[Discount_Rate]]</f>
        <v>0</v>
      </c>
      <c r="T916">
        <f>Table1[[#This Row],[Gross_Sales]]-Table1[[#This Row],[Discount_Amount]]</f>
        <v>86.03</v>
      </c>
      <c r="U916">
        <f>VLOOKUP(Table1[[#This Row],[Category]],REF_Cost!$A$1:$B$6,2,FALSE)*Table1[[#This Row],[Quantity]]</f>
        <v>450</v>
      </c>
      <c r="V916">
        <f>Table1[[#This Row],[Net_Sales]]-Table1[[#This Row],[Total_Cost]]</f>
        <v>-363.97</v>
      </c>
      <c r="W916" t="str">
        <f>TEXT(Table1[[#This Row],[Order_Date]],"mmm")</f>
        <v>Mar</v>
      </c>
      <c r="X916">
        <f>ROUNDUP(MONTH(Table1[[#This Row],[Order_Date]])/3,0)</f>
        <v>1</v>
      </c>
      <c r="Y916">
        <f>YEAR(Table1[[#This Row],[Order_Date]])</f>
        <v>2024</v>
      </c>
    </row>
    <row r="917" spans="1:25" x14ac:dyDescent="0.25">
      <c r="A917" t="s">
        <v>3730</v>
      </c>
      <c r="B917" t="s">
        <v>3731</v>
      </c>
      <c r="C917" t="s">
        <v>3732</v>
      </c>
      <c r="D917" t="s">
        <v>3733</v>
      </c>
      <c r="E917" t="s">
        <v>71</v>
      </c>
      <c r="F917" t="s">
        <v>40</v>
      </c>
      <c r="G917" t="s">
        <v>144</v>
      </c>
      <c r="H917" t="s">
        <v>32</v>
      </c>
      <c r="I917" t="s">
        <v>51</v>
      </c>
      <c r="J917" t="s">
        <v>126</v>
      </c>
      <c r="K917">
        <v>1</v>
      </c>
      <c r="L917">
        <v>1402.15</v>
      </c>
      <c r="M917" s="3">
        <v>0.05</v>
      </c>
      <c r="N917" t="str">
        <f>VLOOKUP(Table1[[#This Row],[Country]],REF_Country!$A$1:$D$11,2,FALSE)</f>
        <v>Southeast Asia</v>
      </c>
      <c r="O917" t="str">
        <f>VLOOKUP(Table1[[#This Row],[Country]],REF_Country!$A$1:$D$11,3,FALSE)</f>
        <v>PH</v>
      </c>
      <c r="P917">
        <f>VLOOKUP(Table1[[#This Row],[Country]],REF_Country!$A$1:$D$11,4,FALSE)</f>
        <v>0.12</v>
      </c>
      <c r="Q917">
        <f>VLOOKUP(Table1[[#This Row],[Category]],REF_Target!$A$1:$E$6,2,FALSE)</f>
        <v>45000</v>
      </c>
      <c r="R917">
        <f>Table1[[#This Row],[Quantity]]*Table1[[#This Row],[Unit_Price]]</f>
        <v>1402.15</v>
      </c>
      <c r="S917">
        <f>Table1[[#This Row],[Gross_Sales]]*Table1[[#This Row],[Discount_Rate]]</f>
        <v>70.107500000000002</v>
      </c>
      <c r="T917">
        <f>Table1[[#This Row],[Gross_Sales]]-Table1[[#This Row],[Discount_Amount]]</f>
        <v>1332.0425</v>
      </c>
      <c r="U917">
        <f>VLOOKUP(Table1[[#This Row],[Category]],REF_Cost!$A$1:$B$6,2,FALSE)*Table1[[#This Row],[Quantity]]</f>
        <v>80</v>
      </c>
      <c r="V917">
        <f>Table1[[#This Row],[Net_Sales]]-Table1[[#This Row],[Total_Cost]]</f>
        <v>1252.0425</v>
      </c>
      <c r="W917" t="str">
        <f>TEXT(Table1[[#This Row],[Order_Date]],"mmm")</f>
        <v>Mar</v>
      </c>
      <c r="X917">
        <f>ROUNDUP(MONTH(Table1[[#This Row],[Order_Date]])/3,0)</f>
        <v>1</v>
      </c>
      <c r="Y917">
        <f>YEAR(Table1[[#This Row],[Order_Date]])</f>
        <v>2024</v>
      </c>
    </row>
    <row r="918" spans="1:25" x14ac:dyDescent="0.25">
      <c r="A918" t="s">
        <v>3734</v>
      </c>
      <c r="B918" t="s">
        <v>3735</v>
      </c>
      <c r="C918" t="s">
        <v>3736</v>
      </c>
      <c r="D918" t="s">
        <v>3737</v>
      </c>
      <c r="E918" t="s">
        <v>83</v>
      </c>
      <c r="F918" t="s">
        <v>49</v>
      </c>
      <c r="G918" t="s">
        <v>50</v>
      </c>
      <c r="H918" t="s">
        <v>42</v>
      </c>
      <c r="I918" t="s">
        <v>51</v>
      </c>
      <c r="J918" t="s">
        <v>73</v>
      </c>
      <c r="K918">
        <v>3</v>
      </c>
      <c r="L918">
        <v>1052.52</v>
      </c>
      <c r="M918" s="3">
        <v>0.15</v>
      </c>
      <c r="N918" t="str">
        <f>VLOOKUP(Table1[[#This Row],[Country]],REF_Country!$A$1:$D$11,2,FALSE)</f>
        <v>South Asia</v>
      </c>
      <c r="O918" t="str">
        <f>VLOOKUP(Table1[[#This Row],[Country]],REF_Country!$A$1:$D$11,3,FALSE)</f>
        <v>IN</v>
      </c>
      <c r="P918">
        <f>VLOOKUP(Table1[[#This Row],[Country]],REF_Country!$A$1:$D$11,4,FALSE)</f>
        <v>0.18</v>
      </c>
      <c r="Q918">
        <f>VLOOKUP(Table1[[#This Row],[Category]],REF_Target!$A$1:$E$6,2,FALSE)</f>
        <v>35000</v>
      </c>
      <c r="R918">
        <f>Table1[[#This Row],[Quantity]]*Table1[[#This Row],[Unit_Price]]</f>
        <v>3157.56</v>
      </c>
      <c r="S918">
        <f>Table1[[#This Row],[Gross_Sales]]*Table1[[#This Row],[Discount_Rate]]</f>
        <v>473.63399999999996</v>
      </c>
      <c r="T918">
        <f>Table1[[#This Row],[Gross_Sales]]-Table1[[#This Row],[Discount_Amount]]</f>
        <v>2683.9259999999999</v>
      </c>
      <c r="U918">
        <f>VLOOKUP(Table1[[#This Row],[Category]],REF_Cost!$A$1:$B$6,2,FALSE)*Table1[[#This Row],[Quantity]]</f>
        <v>450</v>
      </c>
      <c r="V918">
        <f>Table1[[#This Row],[Net_Sales]]-Table1[[#This Row],[Total_Cost]]</f>
        <v>2233.9259999999999</v>
      </c>
      <c r="W918" t="str">
        <f>TEXT(Table1[[#This Row],[Order_Date]],"mmm")</f>
        <v>Feb</v>
      </c>
      <c r="X918">
        <f>ROUNDUP(MONTH(Table1[[#This Row],[Order_Date]])/3,0)</f>
        <v>1</v>
      </c>
      <c r="Y918">
        <f>YEAR(Table1[[#This Row],[Order_Date]])</f>
        <v>2024</v>
      </c>
    </row>
    <row r="919" spans="1:25" x14ac:dyDescent="0.25">
      <c r="A919" t="s">
        <v>3738</v>
      </c>
      <c r="B919" t="s">
        <v>3739</v>
      </c>
      <c r="C919" t="s">
        <v>3740</v>
      </c>
      <c r="D919" t="s">
        <v>3741</v>
      </c>
      <c r="E919" t="s">
        <v>149</v>
      </c>
      <c r="F919" t="s">
        <v>49</v>
      </c>
      <c r="G919" t="s">
        <v>117</v>
      </c>
      <c r="H919" t="s">
        <v>42</v>
      </c>
      <c r="I919" t="s">
        <v>96</v>
      </c>
      <c r="J919" t="s">
        <v>59</v>
      </c>
      <c r="K919">
        <v>4</v>
      </c>
      <c r="L919">
        <v>789.82</v>
      </c>
      <c r="M919" s="3">
        <v>0.15</v>
      </c>
      <c r="N919" t="str">
        <f>VLOOKUP(Table1[[#This Row],[Country]],REF_Country!$A$1:$D$11,2,FALSE)</f>
        <v>East Asia</v>
      </c>
      <c r="O919" t="str">
        <f>VLOOKUP(Table1[[#This Row],[Country]],REF_Country!$A$1:$D$11,3,FALSE)</f>
        <v>JP</v>
      </c>
      <c r="P919">
        <f>VLOOKUP(Table1[[#This Row],[Country]],REF_Country!$A$1:$D$11,4,FALSE)</f>
        <v>0.1</v>
      </c>
      <c r="Q919">
        <f>VLOOKUP(Table1[[#This Row],[Category]],REF_Target!$A$1:$E$6,2,FALSE)</f>
        <v>35000</v>
      </c>
      <c r="R919">
        <f>Table1[[#This Row],[Quantity]]*Table1[[#This Row],[Unit_Price]]</f>
        <v>3159.28</v>
      </c>
      <c r="S919">
        <f>Table1[[#This Row],[Gross_Sales]]*Table1[[#This Row],[Discount_Rate]]</f>
        <v>473.892</v>
      </c>
      <c r="T919">
        <f>Table1[[#This Row],[Gross_Sales]]-Table1[[#This Row],[Discount_Amount]]</f>
        <v>2685.3880000000004</v>
      </c>
      <c r="U919">
        <f>VLOOKUP(Table1[[#This Row],[Category]],REF_Cost!$A$1:$B$6,2,FALSE)*Table1[[#This Row],[Quantity]]</f>
        <v>600</v>
      </c>
      <c r="V919">
        <f>Table1[[#This Row],[Net_Sales]]-Table1[[#This Row],[Total_Cost]]</f>
        <v>2085.3880000000004</v>
      </c>
      <c r="W919" t="str">
        <f>TEXT(Table1[[#This Row],[Order_Date]],"mmm")</f>
        <v>Mar</v>
      </c>
      <c r="X919">
        <f>ROUNDUP(MONTH(Table1[[#This Row],[Order_Date]])/3,0)</f>
        <v>1</v>
      </c>
      <c r="Y919">
        <f>YEAR(Table1[[#This Row],[Order_Date]])</f>
        <v>2024</v>
      </c>
    </row>
    <row r="920" spans="1:25" x14ac:dyDescent="0.25">
      <c r="A920" t="s">
        <v>3742</v>
      </c>
      <c r="B920" t="s">
        <v>3743</v>
      </c>
      <c r="C920" t="s">
        <v>3744</v>
      </c>
      <c r="D920" t="s">
        <v>3745</v>
      </c>
      <c r="E920" t="s">
        <v>29</v>
      </c>
      <c r="F920" t="s">
        <v>84</v>
      </c>
      <c r="G920" t="s">
        <v>205</v>
      </c>
      <c r="H920" t="s">
        <v>72</v>
      </c>
      <c r="I920" t="s">
        <v>51</v>
      </c>
      <c r="J920" t="s">
        <v>126</v>
      </c>
      <c r="K920">
        <v>4</v>
      </c>
      <c r="L920">
        <v>539.22</v>
      </c>
      <c r="M920" s="3">
        <v>0.2</v>
      </c>
      <c r="N920" t="str">
        <f>VLOOKUP(Table1[[#This Row],[Country]],REF_Country!$A$1:$D$11,2,FALSE)</f>
        <v>Southeast Asia</v>
      </c>
      <c r="O920" t="str">
        <f>VLOOKUP(Table1[[#This Row],[Country]],REF_Country!$A$1:$D$11,3,FALSE)</f>
        <v>VN</v>
      </c>
      <c r="P920">
        <f>VLOOKUP(Table1[[#This Row],[Country]],REF_Country!$A$1:$D$11,4,FALSE)</f>
        <v>0.1</v>
      </c>
      <c r="Q920">
        <f>VLOOKUP(Table1[[#This Row],[Category]],REF_Target!$A$1:$E$6,2,FALSE)</f>
        <v>30000</v>
      </c>
      <c r="R920">
        <f>Table1[[#This Row],[Quantity]]*Table1[[#This Row],[Unit_Price]]</f>
        <v>2156.88</v>
      </c>
      <c r="S920">
        <f>Table1[[#This Row],[Gross_Sales]]*Table1[[#This Row],[Discount_Rate]]</f>
        <v>431.37600000000003</v>
      </c>
      <c r="T920">
        <f>Table1[[#This Row],[Gross_Sales]]-Table1[[#This Row],[Discount_Amount]]</f>
        <v>1725.5040000000001</v>
      </c>
      <c r="U920">
        <f>VLOOKUP(Table1[[#This Row],[Category]],REF_Cost!$A$1:$B$6,2,FALSE)*Table1[[#This Row],[Quantity]]</f>
        <v>800</v>
      </c>
      <c r="V920">
        <f>Table1[[#This Row],[Net_Sales]]-Table1[[#This Row],[Total_Cost]]</f>
        <v>925.50400000000013</v>
      </c>
      <c r="W920" t="str">
        <f>TEXT(Table1[[#This Row],[Order_Date]],"mmm")</f>
        <v>Sep</v>
      </c>
      <c r="X920">
        <f>ROUNDUP(MONTH(Table1[[#This Row],[Order_Date]])/3,0)</f>
        <v>3</v>
      </c>
      <c r="Y920">
        <f>YEAR(Table1[[#This Row],[Order_Date]])</f>
        <v>2024</v>
      </c>
    </row>
    <row r="921" spans="1:25" x14ac:dyDescent="0.25">
      <c r="A921" t="s">
        <v>3746</v>
      </c>
      <c r="B921" t="s">
        <v>3747</v>
      </c>
      <c r="C921" t="s">
        <v>3748</v>
      </c>
      <c r="D921" t="s">
        <v>3749</v>
      </c>
      <c r="E921" t="s">
        <v>39</v>
      </c>
      <c r="F921" t="s">
        <v>49</v>
      </c>
      <c r="G921" t="s">
        <v>226</v>
      </c>
      <c r="H921" t="s">
        <v>72</v>
      </c>
      <c r="I921" t="s">
        <v>33</v>
      </c>
      <c r="J921" t="s">
        <v>59</v>
      </c>
      <c r="K921">
        <v>2</v>
      </c>
      <c r="L921">
        <v>294.06</v>
      </c>
      <c r="M921" s="3">
        <v>0.05</v>
      </c>
      <c r="N921" t="str">
        <f>VLOOKUP(Table1[[#This Row],[Country]],REF_Country!$A$1:$D$11,2,FALSE)</f>
        <v>Southeast Asia</v>
      </c>
      <c r="O921" t="str">
        <f>VLOOKUP(Table1[[#This Row],[Country]],REF_Country!$A$1:$D$11,3,FALSE)</f>
        <v>TH</v>
      </c>
      <c r="P921">
        <f>VLOOKUP(Table1[[#This Row],[Country]],REF_Country!$A$1:$D$11,4,FALSE)</f>
        <v>7.0000000000000007E-2</v>
      </c>
      <c r="Q921">
        <f>VLOOKUP(Table1[[#This Row],[Category]],REF_Target!$A$1:$E$6,2,FALSE)</f>
        <v>35000</v>
      </c>
      <c r="R921">
        <f>Table1[[#This Row],[Quantity]]*Table1[[#This Row],[Unit_Price]]</f>
        <v>588.12</v>
      </c>
      <c r="S921">
        <f>Table1[[#This Row],[Gross_Sales]]*Table1[[#This Row],[Discount_Rate]]</f>
        <v>29.406000000000002</v>
      </c>
      <c r="T921">
        <f>Table1[[#This Row],[Gross_Sales]]-Table1[[#This Row],[Discount_Amount]]</f>
        <v>558.71400000000006</v>
      </c>
      <c r="U921">
        <f>VLOOKUP(Table1[[#This Row],[Category]],REF_Cost!$A$1:$B$6,2,FALSE)*Table1[[#This Row],[Quantity]]</f>
        <v>300</v>
      </c>
      <c r="V921">
        <f>Table1[[#This Row],[Net_Sales]]-Table1[[#This Row],[Total_Cost]]</f>
        <v>258.71400000000006</v>
      </c>
      <c r="W921" t="str">
        <f>TEXT(Table1[[#This Row],[Order_Date]],"mmm")</f>
        <v>Jan</v>
      </c>
      <c r="X921">
        <f>ROUNDUP(MONTH(Table1[[#This Row],[Order_Date]])/3,0)</f>
        <v>1</v>
      </c>
      <c r="Y921">
        <f>YEAR(Table1[[#This Row],[Order_Date]])</f>
        <v>2024</v>
      </c>
    </row>
    <row r="922" spans="1:25" x14ac:dyDescent="0.25">
      <c r="A922" t="s">
        <v>3750</v>
      </c>
      <c r="B922" t="s">
        <v>3751</v>
      </c>
      <c r="C922" t="s">
        <v>3752</v>
      </c>
      <c r="D922" t="s">
        <v>3753</v>
      </c>
      <c r="E922" t="s">
        <v>48</v>
      </c>
      <c r="F922" t="s">
        <v>40</v>
      </c>
      <c r="G922" t="s">
        <v>144</v>
      </c>
      <c r="H922" t="s">
        <v>42</v>
      </c>
      <c r="I922" t="s">
        <v>96</v>
      </c>
      <c r="J922" t="s">
        <v>73</v>
      </c>
      <c r="K922">
        <v>4</v>
      </c>
      <c r="L922">
        <v>1372.48</v>
      </c>
      <c r="M922" s="3">
        <v>0.05</v>
      </c>
      <c r="N922" t="str">
        <f>VLOOKUP(Table1[[#This Row],[Country]],REF_Country!$A$1:$D$11,2,FALSE)</f>
        <v>Southeast Asia</v>
      </c>
      <c r="O922" t="str">
        <f>VLOOKUP(Table1[[#This Row],[Country]],REF_Country!$A$1:$D$11,3,FALSE)</f>
        <v>SG</v>
      </c>
      <c r="P922">
        <f>VLOOKUP(Table1[[#This Row],[Country]],REF_Country!$A$1:$D$11,4,FALSE)</f>
        <v>7.0000000000000007E-2</v>
      </c>
      <c r="Q922">
        <f>VLOOKUP(Table1[[#This Row],[Category]],REF_Target!$A$1:$E$6,2,FALSE)</f>
        <v>45000</v>
      </c>
      <c r="R922">
        <f>Table1[[#This Row],[Quantity]]*Table1[[#This Row],[Unit_Price]]</f>
        <v>5489.92</v>
      </c>
      <c r="S922">
        <f>Table1[[#This Row],[Gross_Sales]]*Table1[[#This Row],[Discount_Rate]]</f>
        <v>274.49600000000004</v>
      </c>
      <c r="T922">
        <f>Table1[[#This Row],[Gross_Sales]]-Table1[[#This Row],[Discount_Amount]]</f>
        <v>5215.424</v>
      </c>
      <c r="U922">
        <f>VLOOKUP(Table1[[#This Row],[Category]],REF_Cost!$A$1:$B$6,2,FALSE)*Table1[[#This Row],[Quantity]]</f>
        <v>320</v>
      </c>
      <c r="V922">
        <f>Table1[[#This Row],[Net_Sales]]-Table1[[#This Row],[Total_Cost]]</f>
        <v>4895.424</v>
      </c>
      <c r="W922" t="str">
        <f>TEXT(Table1[[#This Row],[Order_Date]],"mmm")</f>
        <v>Dec</v>
      </c>
      <c r="X922">
        <f>ROUNDUP(MONTH(Table1[[#This Row],[Order_Date]])/3,0)</f>
        <v>4</v>
      </c>
      <c r="Y922">
        <f>YEAR(Table1[[#This Row],[Order_Date]])</f>
        <v>2024</v>
      </c>
    </row>
    <row r="923" spans="1:25" x14ac:dyDescent="0.25">
      <c r="A923" t="s">
        <v>3754</v>
      </c>
      <c r="B923" t="s">
        <v>3755</v>
      </c>
      <c r="C923" t="s">
        <v>3756</v>
      </c>
      <c r="D923" t="s">
        <v>3757</v>
      </c>
      <c r="E923" t="s">
        <v>149</v>
      </c>
      <c r="F923" t="s">
        <v>30</v>
      </c>
      <c r="G923" t="s">
        <v>65</v>
      </c>
      <c r="H923" t="s">
        <v>32</v>
      </c>
      <c r="I923" t="s">
        <v>43</v>
      </c>
      <c r="J923" t="s">
        <v>34</v>
      </c>
      <c r="K923">
        <v>10</v>
      </c>
      <c r="L923">
        <v>1427.97</v>
      </c>
      <c r="M923" s="3">
        <v>0.2</v>
      </c>
      <c r="N923" t="str">
        <f>VLOOKUP(Table1[[#This Row],[Country]],REF_Country!$A$1:$D$11,2,FALSE)</f>
        <v>East Asia</v>
      </c>
      <c r="O923" t="str">
        <f>VLOOKUP(Table1[[#This Row],[Country]],REF_Country!$A$1:$D$11,3,FALSE)</f>
        <v>JP</v>
      </c>
      <c r="P923">
        <f>VLOOKUP(Table1[[#This Row],[Country]],REF_Country!$A$1:$D$11,4,FALSE)</f>
        <v>0.1</v>
      </c>
      <c r="Q923">
        <f>VLOOKUP(Table1[[#This Row],[Category]],REF_Target!$A$1:$E$6,2,FALSE)</f>
        <v>40000</v>
      </c>
      <c r="R923">
        <f>Table1[[#This Row],[Quantity]]*Table1[[#This Row],[Unit_Price]]</f>
        <v>14279.7</v>
      </c>
      <c r="S923">
        <f>Table1[[#This Row],[Gross_Sales]]*Table1[[#This Row],[Discount_Rate]]</f>
        <v>2855.9400000000005</v>
      </c>
      <c r="T923">
        <f>Table1[[#This Row],[Gross_Sales]]-Table1[[#This Row],[Discount_Amount]]</f>
        <v>11423.76</v>
      </c>
      <c r="U923">
        <f>VLOOKUP(Table1[[#This Row],[Category]],REF_Cost!$A$1:$B$6,2,FALSE)*Table1[[#This Row],[Quantity]]</f>
        <v>1200</v>
      </c>
      <c r="V923">
        <f>Table1[[#This Row],[Net_Sales]]-Table1[[#This Row],[Total_Cost]]</f>
        <v>10223.76</v>
      </c>
      <c r="W923" t="str">
        <f>TEXT(Table1[[#This Row],[Order_Date]],"mmm")</f>
        <v>Apr</v>
      </c>
      <c r="X923">
        <f>ROUNDUP(MONTH(Table1[[#This Row],[Order_Date]])/3,0)</f>
        <v>2</v>
      </c>
      <c r="Y923">
        <f>YEAR(Table1[[#This Row],[Order_Date]])</f>
        <v>2024</v>
      </c>
    </row>
    <row r="924" spans="1:25" x14ac:dyDescent="0.25">
      <c r="A924" t="s">
        <v>3758</v>
      </c>
      <c r="B924" t="s">
        <v>3759</v>
      </c>
      <c r="C924" t="s">
        <v>3760</v>
      </c>
      <c r="D924" t="s">
        <v>3761</v>
      </c>
      <c r="E924" t="s">
        <v>200</v>
      </c>
      <c r="F924" t="s">
        <v>30</v>
      </c>
      <c r="G924" t="s">
        <v>65</v>
      </c>
      <c r="H924" t="s">
        <v>58</v>
      </c>
      <c r="I924" t="s">
        <v>66</v>
      </c>
      <c r="J924" t="s">
        <v>126</v>
      </c>
      <c r="K924">
        <v>9</v>
      </c>
      <c r="L924">
        <v>57.45</v>
      </c>
      <c r="M924" s="3">
        <v>0.1</v>
      </c>
      <c r="N924" t="str">
        <f>VLOOKUP(Table1[[#This Row],[Country]],REF_Country!$A$1:$D$11,2,FALSE)</f>
        <v>East Asia</v>
      </c>
      <c r="O924" t="str">
        <f>VLOOKUP(Table1[[#This Row],[Country]],REF_Country!$A$1:$D$11,3,FALSE)</f>
        <v>KR</v>
      </c>
      <c r="P924">
        <f>VLOOKUP(Table1[[#This Row],[Country]],REF_Country!$A$1:$D$11,4,FALSE)</f>
        <v>0.1</v>
      </c>
      <c r="Q924">
        <f>VLOOKUP(Table1[[#This Row],[Category]],REF_Target!$A$1:$E$6,2,FALSE)</f>
        <v>40000</v>
      </c>
      <c r="R924">
        <f>Table1[[#This Row],[Quantity]]*Table1[[#This Row],[Unit_Price]]</f>
        <v>517.05000000000007</v>
      </c>
      <c r="S924">
        <f>Table1[[#This Row],[Gross_Sales]]*Table1[[#This Row],[Discount_Rate]]</f>
        <v>51.705000000000013</v>
      </c>
      <c r="T924">
        <f>Table1[[#This Row],[Gross_Sales]]-Table1[[#This Row],[Discount_Amount]]</f>
        <v>465.34500000000003</v>
      </c>
      <c r="U924">
        <f>VLOOKUP(Table1[[#This Row],[Category]],REF_Cost!$A$1:$B$6,2,FALSE)*Table1[[#This Row],[Quantity]]</f>
        <v>1080</v>
      </c>
      <c r="V924">
        <f>Table1[[#This Row],[Net_Sales]]-Table1[[#This Row],[Total_Cost]]</f>
        <v>-614.65499999999997</v>
      </c>
      <c r="W924" t="str">
        <f>TEXT(Table1[[#This Row],[Order_Date]],"mmm")</f>
        <v>Feb</v>
      </c>
      <c r="X924">
        <f>ROUNDUP(MONTH(Table1[[#This Row],[Order_Date]])/3,0)</f>
        <v>1</v>
      </c>
      <c r="Y924">
        <f>YEAR(Table1[[#This Row],[Order_Date]])</f>
        <v>2024</v>
      </c>
    </row>
    <row r="925" spans="1:25" x14ac:dyDescent="0.25">
      <c r="A925" t="s">
        <v>3762</v>
      </c>
      <c r="B925" t="s">
        <v>3763</v>
      </c>
      <c r="C925" t="s">
        <v>3764</v>
      </c>
      <c r="D925" t="s">
        <v>3765</v>
      </c>
      <c r="E925" t="s">
        <v>39</v>
      </c>
      <c r="F925" t="s">
        <v>30</v>
      </c>
      <c r="G925" t="s">
        <v>195</v>
      </c>
      <c r="H925" t="s">
        <v>32</v>
      </c>
      <c r="I925" t="s">
        <v>96</v>
      </c>
      <c r="J925" t="s">
        <v>59</v>
      </c>
      <c r="K925">
        <v>9</v>
      </c>
      <c r="L925">
        <v>760.75</v>
      </c>
      <c r="M925" s="3">
        <v>0.05</v>
      </c>
      <c r="N925" t="str">
        <f>VLOOKUP(Table1[[#This Row],[Country]],REF_Country!$A$1:$D$11,2,FALSE)</f>
        <v>Southeast Asia</v>
      </c>
      <c r="O925" t="str">
        <f>VLOOKUP(Table1[[#This Row],[Country]],REF_Country!$A$1:$D$11,3,FALSE)</f>
        <v>TH</v>
      </c>
      <c r="P925">
        <f>VLOOKUP(Table1[[#This Row],[Country]],REF_Country!$A$1:$D$11,4,FALSE)</f>
        <v>7.0000000000000007E-2</v>
      </c>
      <c r="Q925">
        <f>VLOOKUP(Table1[[#This Row],[Category]],REF_Target!$A$1:$E$6,2,FALSE)</f>
        <v>40000</v>
      </c>
      <c r="R925">
        <f>Table1[[#This Row],[Quantity]]*Table1[[#This Row],[Unit_Price]]</f>
        <v>6846.75</v>
      </c>
      <c r="S925">
        <f>Table1[[#This Row],[Gross_Sales]]*Table1[[#This Row],[Discount_Rate]]</f>
        <v>342.33750000000003</v>
      </c>
      <c r="T925">
        <f>Table1[[#This Row],[Gross_Sales]]-Table1[[#This Row],[Discount_Amount]]</f>
        <v>6504.4125000000004</v>
      </c>
      <c r="U925">
        <f>VLOOKUP(Table1[[#This Row],[Category]],REF_Cost!$A$1:$B$6,2,FALSE)*Table1[[#This Row],[Quantity]]</f>
        <v>1080</v>
      </c>
      <c r="V925">
        <f>Table1[[#This Row],[Net_Sales]]-Table1[[#This Row],[Total_Cost]]</f>
        <v>5424.4125000000004</v>
      </c>
      <c r="W925" t="str">
        <f>TEXT(Table1[[#This Row],[Order_Date]],"mmm")</f>
        <v>Feb</v>
      </c>
      <c r="X925">
        <f>ROUNDUP(MONTH(Table1[[#This Row],[Order_Date]])/3,0)</f>
        <v>1</v>
      </c>
      <c r="Y925">
        <f>YEAR(Table1[[#This Row],[Order_Date]])</f>
        <v>2024</v>
      </c>
    </row>
    <row r="926" spans="1:25" x14ac:dyDescent="0.25">
      <c r="A926" t="s">
        <v>3766</v>
      </c>
      <c r="B926" t="s">
        <v>3767</v>
      </c>
      <c r="C926" t="s">
        <v>3768</v>
      </c>
      <c r="D926" t="s">
        <v>3769</v>
      </c>
      <c r="E926" t="s">
        <v>149</v>
      </c>
      <c r="F926" t="s">
        <v>49</v>
      </c>
      <c r="G926" t="s">
        <v>286</v>
      </c>
      <c r="H926" t="s">
        <v>58</v>
      </c>
      <c r="I926" t="s">
        <v>33</v>
      </c>
      <c r="J926" t="s">
        <v>34</v>
      </c>
      <c r="K926">
        <v>7</v>
      </c>
      <c r="L926">
        <v>451.6</v>
      </c>
      <c r="M926" s="3">
        <v>0</v>
      </c>
      <c r="N926" t="str">
        <f>VLOOKUP(Table1[[#This Row],[Country]],REF_Country!$A$1:$D$11,2,FALSE)</f>
        <v>East Asia</v>
      </c>
      <c r="O926" t="str">
        <f>VLOOKUP(Table1[[#This Row],[Country]],REF_Country!$A$1:$D$11,3,FALSE)</f>
        <v>JP</v>
      </c>
      <c r="P926">
        <f>VLOOKUP(Table1[[#This Row],[Country]],REF_Country!$A$1:$D$11,4,FALSE)</f>
        <v>0.1</v>
      </c>
      <c r="Q926">
        <f>VLOOKUP(Table1[[#This Row],[Category]],REF_Target!$A$1:$E$6,2,FALSE)</f>
        <v>35000</v>
      </c>
      <c r="R926">
        <f>Table1[[#This Row],[Quantity]]*Table1[[#This Row],[Unit_Price]]</f>
        <v>3161.2000000000003</v>
      </c>
      <c r="S926">
        <f>Table1[[#This Row],[Gross_Sales]]*Table1[[#This Row],[Discount_Rate]]</f>
        <v>0</v>
      </c>
      <c r="T926">
        <f>Table1[[#This Row],[Gross_Sales]]-Table1[[#This Row],[Discount_Amount]]</f>
        <v>3161.2000000000003</v>
      </c>
      <c r="U926">
        <f>VLOOKUP(Table1[[#This Row],[Category]],REF_Cost!$A$1:$B$6,2,FALSE)*Table1[[#This Row],[Quantity]]</f>
        <v>1050</v>
      </c>
      <c r="V926">
        <f>Table1[[#This Row],[Net_Sales]]-Table1[[#This Row],[Total_Cost]]</f>
        <v>2111.2000000000003</v>
      </c>
      <c r="W926" t="str">
        <f>TEXT(Table1[[#This Row],[Order_Date]],"mmm")</f>
        <v>Feb</v>
      </c>
      <c r="X926">
        <f>ROUNDUP(MONTH(Table1[[#This Row],[Order_Date]])/3,0)</f>
        <v>1</v>
      </c>
      <c r="Y926">
        <f>YEAR(Table1[[#This Row],[Order_Date]])</f>
        <v>2024</v>
      </c>
    </row>
    <row r="927" spans="1:25" x14ac:dyDescent="0.25">
      <c r="A927" t="s">
        <v>3770</v>
      </c>
      <c r="B927" t="s">
        <v>3771</v>
      </c>
      <c r="C927" t="s">
        <v>3772</v>
      </c>
      <c r="D927" t="s">
        <v>3773</v>
      </c>
      <c r="E927" t="s">
        <v>64</v>
      </c>
      <c r="F927" t="s">
        <v>30</v>
      </c>
      <c r="G927" t="s">
        <v>269</v>
      </c>
      <c r="H927" t="s">
        <v>58</v>
      </c>
      <c r="I927" t="s">
        <v>43</v>
      </c>
      <c r="J927" t="s">
        <v>126</v>
      </c>
      <c r="K927">
        <v>1</v>
      </c>
      <c r="L927">
        <v>341.08</v>
      </c>
      <c r="M927" s="3">
        <v>0</v>
      </c>
      <c r="N927" t="str">
        <f>VLOOKUP(Table1[[#This Row],[Country]],REF_Country!$A$1:$D$11,2,FALSE)</f>
        <v>Southeast Asia</v>
      </c>
      <c r="O927" t="str">
        <f>VLOOKUP(Table1[[#This Row],[Country]],REF_Country!$A$1:$D$11,3,FALSE)</f>
        <v>ID</v>
      </c>
      <c r="P927">
        <f>VLOOKUP(Table1[[#This Row],[Country]],REF_Country!$A$1:$D$11,4,FALSE)</f>
        <v>0.11</v>
      </c>
      <c r="Q927">
        <f>VLOOKUP(Table1[[#This Row],[Category]],REF_Target!$A$1:$E$6,2,FALSE)</f>
        <v>40000</v>
      </c>
      <c r="R927">
        <f>Table1[[#This Row],[Quantity]]*Table1[[#This Row],[Unit_Price]]</f>
        <v>341.08</v>
      </c>
      <c r="S927">
        <f>Table1[[#This Row],[Gross_Sales]]*Table1[[#This Row],[Discount_Rate]]</f>
        <v>0</v>
      </c>
      <c r="T927">
        <f>Table1[[#This Row],[Gross_Sales]]-Table1[[#This Row],[Discount_Amount]]</f>
        <v>341.08</v>
      </c>
      <c r="U927">
        <f>VLOOKUP(Table1[[#This Row],[Category]],REF_Cost!$A$1:$B$6,2,FALSE)*Table1[[#This Row],[Quantity]]</f>
        <v>120</v>
      </c>
      <c r="V927">
        <f>Table1[[#This Row],[Net_Sales]]-Table1[[#This Row],[Total_Cost]]</f>
        <v>221.07999999999998</v>
      </c>
      <c r="W927" t="str">
        <f>TEXT(Table1[[#This Row],[Order_Date]],"mmm")</f>
        <v>Aug</v>
      </c>
      <c r="X927">
        <f>ROUNDUP(MONTH(Table1[[#This Row],[Order_Date]])/3,0)</f>
        <v>3</v>
      </c>
      <c r="Y927">
        <f>YEAR(Table1[[#This Row],[Order_Date]])</f>
        <v>2024</v>
      </c>
    </row>
    <row r="928" spans="1:25" x14ac:dyDescent="0.25">
      <c r="A928" t="s">
        <v>3774</v>
      </c>
      <c r="B928" t="s">
        <v>3775</v>
      </c>
      <c r="C928" t="s">
        <v>3776</v>
      </c>
      <c r="D928" t="s">
        <v>3777</v>
      </c>
      <c r="E928" t="s">
        <v>83</v>
      </c>
      <c r="F928" t="s">
        <v>49</v>
      </c>
      <c r="G928" t="s">
        <v>226</v>
      </c>
      <c r="H928" t="s">
        <v>58</v>
      </c>
      <c r="I928" t="s">
        <v>96</v>
      </c>
      <c r="J928" t="s">
        <v>73</v>
      </c>
      <c r="K928">
        <v>4</v>
      </c>
      <c r="L928">
        <v>598.42999999999995</v>
      </c>
      <c r="M928" s="3">
        <v>0.2</v>
      </c>
      <c r="N928" t="str">
        <f>VLOOKUP(Table1[[#This Row],[Country]],REF_Country!$A$1:$D$11,2,FALSE)</f>
        <v>South Asia</v>
      </c>
      <c r="O928" t="str">
        <f>VLOOKUP(Table1[[#This Row],[Country]],REF_Country!$A$1:$D$11,3,FALSE)</f>
        <v>IN</v>
      </c>
      <c r="P928">
        <f>VLOOKUP(Table1[[#This Row],[Country]],REF_Country!$A$1:$D$11,4,FALSE)</f>
        <v>0.18</v>
      </c>
      <c r="Q928">
        <f>VLOOKUP(Table1[[#This Row],[Category]],REF_Target!$A$1:$E$6,2,FALSE)</f>
        <v>35000</v>
      </c>
      <c r="R928">
        <f>Table1[[#This Row],[Quantity]]*Table1[[#This Row],[Unit_Price]]</f>
        <v>2393.7199999999998</v>
      </c>
      <c r="S928">
        <f>Table1[[#This Row],[Gross_Sales]]*Table1[[#This Row],[Discount_Rate]]</f>
        <v>478.74399999999997</v>
      </c>
      <c r="T928">
        <f>Table1[[#This Row],[Gross_Sales]]-Table1[[#This Row],[Discount_Amount]]</f>
        <v>1914.9759999999999</v>
      </c>
      <c r="U928">
        <f>VLOOKUP(Table1[[#This Row],[Category]],REF_Cost!$A$1:$B$6,2,FALSE)*Table1[[#This Row],[Quantity]]</f>
        <v>600</v>
      </c>
      <c r="V928">
        <f>Table1[[#This Row],[Net_Sales]]-Table1[[#This Row],[Total_Cost]]</f>
        <v>1314.9759999999999</v>
      </c>
      <c r="W928" t="str">
        <f>TEXT(Table1[[#This Row],[Order_Date]],"mmm")</f>
        <v>Feb</v>
      </c>
      <c r="X928">
        <f>ROUNDUP(MONTH(Table1[[#This Row],[Order_Date]])/3,0)</f>
        <v>1</v>
      </c>
      <c r="Y928">
        <f>YEAR(Table1[[#This Row],[Order_Date]])</f>
        <v>2024</v>
      </c>
    </row>
    <row r="929" spans="1:25" x14ac:dyDescent="0.25">
      <c r="A929" t="s">
        <v>3778</v>
      </c>
      <c r="B929" t="s">
        <v>3779</v>
      </c>
      <c r="C929" t="s">
        <v>3780</v>
      </c>
      <c r="D929" t="s">
        <v>3781</v>
      </c>
      <c r="E929" t="s">
        <v>29</v>
      </c>
      <c r="F929" t="s">
        <v>40</v>
      </c>
      <c r="G929" t="s">
        <v>315</v>
      </c>
      <c r="H929" t="s">
        <v>42</v>
      </c>
      <c r="I929" t="s">
        <v>66</v>
      </c>
      <c r="J929" t="s">
        <v>73</v>
      </c>
      <c r="K929">
        <v>2</v>
      </c>
      <c r="L929">
        <v>1104.82</v>
      </c>
      <c r="M929" s="3">
        <v>0</v>
      </c>
      <c r="N929" t="str">
        <f>VLOOKUP(Table1[[#This Row],[Country]],REF_Country!$A$1:$D$11,2,FALSE)</f>
        <v>Southeast Asia</v>
      </c>
      <c r="O929" t="str">
        <f>VLOOKUP(Table1[[#This Row],[Country]],REF_Country!$A$1:$D$11,3,FALSE)</f>
        <v>VN</v>
      </c>
      <c r="P929">
        <f>VLOOKUP(Table1[[#This Row],[Country]],REF_Country!$A$1:$D$11,4,FALSE)</f>
        <v>0.1</v>
      </c>
      <c r="Q929">
        <f>VLOOKUP(Table1[[#This Row],[Category]],REF_Target!$A$1:$E$6,2,FALSE)</f>
        <v>45000</v>
      </c>
      <c r="R929">
        <f>Table1[[#This Row],[Quantity]]*Table1[[#This Row],[Unit_Price]]</f>
        <v>2209.64</v>
      </c>
      <c r="S929">
        <f>Table1[[#This Row],[Gross_Sales]]*Table1[[#This Row],[Discount_Rate]]</f>
        <v>0</v>
      </c>
      <c r="T929">
        <f>Table1[[#This Row],[Gross_Sales]]-Table1[[#This Row],[Discount_Amount]]</f>
        <v>2209.64</v>
      </c>
      <c r="U929">
        <f>VLOOKUP(Table1[[#This Row],[Category]],REF_Cost!$A$1:$B$6,2,FALSE)*Table1[[#This Row],[Quantity]]</f>
        <v>160</v>
      </c>
      <c r="V929">
        <f>Table1[[#This Row],[Net_Sales]]-Table1[[#This Row],[Total_Cost]]</f>
        <v>2049.64</v>
      </c>
      <c r="W929" t="str">
        <f>TEXT(Table1[[#This Row],[Order_Date]],"mmm")</f>
        <v>Apr</v>
      </c>
      <c r="X929">
        <f>ROUNDUP(MONTH(Table1[[#This Row],[Order_Date]])/3,0)</f>
        <v>2</v>
      </c>
      <c r="Y929">
        <f>YEAR(Table1[[#This Row],[Order_Date]])</f>
        <v>2024</v>
      </c>
    </row>
    <row r="930" spans="1:25" x14ac:dyDescent="0.25">
      <c r="A930" t="s">
        <v>3782</v>
      </c>
      <c r="B930" t="s">
        <v>3783</v>
      </c>
      <c r="C930" t="s">
        <v>3784</v>
      </c>
      <c r="D930" t="s">
        <v>3785</v>
      </c>
      <c r="E930" t="s">
        <v>48</v>
      </c>
      <c r="F930" t="s">
        <v>30</v>
      </c>
      <c r="G930" t="s">
        <v>65</v>
      </c>
      <c r="H930" t="s">
        <v>42</v>
      </c>
      <c r="I930" t="s">
        <v>96</v>
      </c>
      <c r="J930" t="s">
        <v>59</v>
      </c>
      <c r="K930">
        <v>3</v>
      </c>
      <c r="L930">
        <v>1351.31</v>
      </c>
      <c r="M930" s="3">
        <v>0</v>
      </c>
      <c r="N930" t="str">
        <f>VLOOKUP(Table1[[#This Row],[Country]],REF_Country!$A$1:$D$11,2,FALSE)</f>
        <v>Southeast Asia</v>
      </c>
      <c r="O930" t="str">
        <f>VLOOKUP(Table1[[#This Row],[Country]],REF_Country!$A$1:$D$11,3,FALSE)</f>
        <v>SG</v>
      </c>
      <c r="P930">
        <f>VLOOKUP(Table1[[#This Row],[Country]],REF_Country!$A$1:$D$11,4,FALSE)</f>
        <v>7.0000000000000007E-2</v>
      </c>
      <c r="Q930">
        <f>VLOOKUP(Table1[[#This Row],[Category]],REF_Target!$A$1:$E$6,2,FALSE)</f>
        <v>40000</v>
      </c>
      <c r="R930">
        <f>Table1[[#This Row],[Quantity]]*Table1[[#This Row],[Unit_Price]]</f>
        <v>4053.93</v>
      </c>
      <c r="S930">
        <f>Table1[[#This Row],[Gross_Sales]]*Table1[[#This Row],[Discount_Rate]]</f>
        <v>0</v>
      </c>
      <c r="T930">
        <f>Table1[[#This Row],[Gross_Sales]]-Table1[[#This Row],[Discount_Amount]]</f>
        <v>4053.93</v>
      </c>
      <c r="U930">
        <f>VLOOKUP(Table1[[#This Row],[Category]],REF_Cost!$A$1:$B$6,2,FALSE)*Table1[[#This Row],[Quantity]]</f>
        <v>360</v>
      </c>
      <c r="V930">
        <f>Table1[[#This Row],[Net_Sales]]-Table1[[#This Row],[Total_Cost]]</f>
        <v>3693.93</v>
      </c>
      <c r="W930" t="str">
        <f>TEXT(Table1[[#This Row],[Order_Date]],"mmm")</f>
        <v>Jun</v>
      </c>
      <c r="X930">
        <f>ROUNDUP(MONTH(Table1[[#This Row],[Order_Date]])/3,0)</f>
        <v>2</v>
      </c>
      <c r="Y930">
        <f>YEAR(Table1[[#This Row],[Order_Date]])</f>
        <v>2024</v>
      </c>
    </row>
    <row r="931" spans="1:25" x14ac:dyDescent="0.25">
      <c r="A931" t="s">
        <v>3786</v>
      </c>
      <c r="B931" t="s">
        <v>3787</v>
      </c>
      <c r="C931" t="s">
        <v>3070</v>
      </c>
      <c r="D931" t="s">
        <v>3788</v>
      </c>
      <c r="E931" t="s">
        <v>116</v>
      </c>
      <c r="F931" t="s">
        <v>30</v>
      </c>
      <c r="G931" t="s">
        <v>269</v>
      </c>
      <c r="H931" t="s">
        <v>32</v>
      </c>
      <c r="I931" t="s">
        <v>96</v>
      </c>
      <c r="J931" t="s">
        <v>73</v>
      </c>
      <c r="K931">
        <v>8</v>
      </c>
      <c r="L931">
        <v>897.1</v>
      </c>
      <c r="M931" s="3">
        <v>0.15</v>
      </c>
      <c r="N931" t="str">
        <f>VLOOKUP(Table1[[#This Row],[Country]],REF_Country!$A$1:$D$11,2,FALSE)</f>
        <v>Southeast Asia</v>
      </c>
      <c r="O931" t="str">
        <f>VLOOKUP(Table1[[#This Row],[Country]],REF_Country!$A$1:$D$11,3,FALSE)</f>
        <v>MY</v>
      </c>
      <c r="P931">
        <f>VLOOKUP(Table1[[#This Row],[Country]],REF_Country!$A$1:$D$11,4,FALSE)</f>
        <v>0.06</v>
      </c>
      <c r="Q931">
        <f>VLOOKUP(Table1[[#This Row],[Category]],REF_Target!$A$1:$E$6,2,FALSE)</f>
        <v>40000</v>
      </c>
      <c r="R931">
        <f>Table1[[#This Row],[Quantity]]*Table1[[#This Row],[Unit_Price]]</f>
        <v>7176.8</v>
      </c>
      <c r="S931">
        <f>Table1[[#This Row],[Gross_Sales]]*Table1[[#This Row],[Discount_Rate]]</f>
        <v>1076.52</v>
      </c>
      <c r="T931">
        <f>Table1[[#This Row],[Gross_Sales]]-Table1[[#This Row],[Discount_Amount]]</f>
        <v>6100.2800000000007</v>
      </c>
      <c r="U931">
        <f>VLOOKUP(Table1[[#This Row],[Category]],REF_Cost!$A$1:$B$6,2,FALSE)*Table1[[#This Row],[Quantity]]</f>
        <v>960</v>
      </c>
      <c r="V931">
        <f>Table1[[#This Row],[Net_Sales]]-Table1[[#This Row],[Total_Cost]]</f>
        <v>5140.2800000000007</v>
      </c>
      <c r="W931" t="str">
        <f>TEXT(Table1[[#This Row],[Order_Date]],"mmm")</f>
        <v>Mar</v>
      </c>
      <c r="X931">
        <f>ROUNDUP(MONTH(Table1[[#This Row],[Order_Date]])/3,0)</f>
        <v>1</v>
      </c>
      <c r="Y931">
        <f>YEAR(Table1[[#This Row],[Order_Date]])</f>
        <v>2024</v>
      </c>
    </row>
    <row r="932" spans="1:25" x14ac:dyDescent="0.25">
      <c r="A932" t="s">
        <v>3789</v>
      </c>
      <c r="B932" t="s">
        <v>3790</v>
      </c>
      <c r="C932" t="s">
        <v>3791</v>
      </c>
      <c r="D932" t="s">
        <v>3792</v>
      </c>
      <c r="E932" t="s">
        <v>64</v>
      </c>
      <c r="F932" t="s">
        <v>40</v>
      </c>
      <c r="G932" t="s">
        <v>315</v>
      </c>
      <c r="H932" t="s">
        <v>72</v>
      </c>
      <c r="I932" t="s">
        <v>43</v>
      </c>
      <c r="J932" t="s">
        <v>126</v>
      </c>
      <c r="K932">
        <v>9</v>
      </c>
      <c r="L932">
        <v>1255.51</v>
      </c>
      <c r="M932" s="3">
        <v>0.15</v>
      </c>
      <c r="N932" t="str">
        <f>VLOOKUP(Table1[[#This Row],[Country]],REF_Country!$A$1:$D$11,2,FALSE)</f>
        <v>Southeast Asia</v>
      </c>
      <c r="O932" t="str">
        <f>VLOOKUP(Table1[[#This Row],[Country]],REF_Country!$A$1:$D$11,3,FALSE)</f>
        <v>ID</v>
      </c>
      <c r="P932">
        <f>VLOOKUP(Table1[[#This Row],[Country]],REF_Country!$A$1:$D$11,4,FALSE)</f>
        <v>0.11</v>
      </c>
      <c r="Q932">
        <f>VLOOKUP(Table1[[#This Row],[Category]],REF_Target!$A$1:$E$6,2,FALSE)</f>
        <v>45000</v>
      </c>
      <c r="R932">
        <f>Table1[[#This Row],[Quantity]]*Table1[[#This Row],[Unit_Price]]</f>
        <v>11299.59</v>
      </c>
      <c r="S932">
        <f>Table1[[#This Row],[Gross_Sales]]*Table1[[#This Row],[Discount_Rate]]</f>
        <v>1694.9385</v>
      </c>
      <c r="T932">
        <f>Table1[[#This Row],[Gross_Sales]]-Table1[[#This Row],[Discount_Amount]]</f>
        <v>9604.6514999999999</v>
      </c>
      <c r="U932">
        <f>VLOOKUP(Table1[[#This Row],[Category]],REF_Cost!$A$1:$B$6,2,FALSE)*Table1[[#This Row],[Quantity]]</f>
        <v>720</v>
      </c>
      <c r="V932">
        <f>Table1[[#This Row],[Net_Sales]]-Table1[[#This Row],[Total_Cost]]</f>
        <v>8884.6514999999999</v>
      </c>
      <c r="W932" t="str">
        <f>TEXT(Table1[[#This Row],[Order_Date]],"mmm")</f>
        <v>Feb</v>
      </c>
      <c r="X932">
        <f>ROUNDUP(MONTH(Table1[[#This Row],[Order_Date]])/3,0)</f>
        <v>1</v>
      </c>
      <c r="Y932">
        <f>YEAR(Table1[[#This Row],[Order_Date]])</f>
        <v>2024</v>
      </c>
    </row>
    <row r="933" spans="1:25" x14ac:dyDescent="0.25">
      <c r="A933" t="s">
        <v>3793</v>
      </c>
      <c r="B933" t="s">
        <v>3794</v>
      </c>
      <c r="C933" t="s">
        <v>3795</v>
      </c>
      <c r="D933" t="s">
        <v>1925</v>
      </c>
      <c r="E933" t="s">
        <v>200</v>
      </c>
      <c r="F933" t="s">
        <v>49</v>
      </c>
      <c r="G933" t="s">
        <v>50</v>
      </c>
      <c r="H933" t="s">
        <v>42</v>
      </c>
      <c r="I933" t="s">
        <v>66</v>
      </c>
      <c r="J933" t="s">
        <v>59</v>
      </c>
      <c r="K933">
        <v>5</v>
      </c>
      <c r="L933">
        <v>1484.84</v>
      </c>
      <c r="M933" s="3">
        <v>0.2</v>
      </c>
      <c r="N933" t="str">
        <f>VLOOKUP(Table1[[#This Row],[Country]],REF_Country!$A$1:$D$11,2,FALSE)</f>
        <v>East Asia</v>
      </c>
      <c r="O933" t="str">
        <f>VLOOKUP(Table1[[#This Row],[Country]],REF_Country!$A$1:$D$11,3,FALSE)</f>
        <v>KR</v>
      </c>
      <c r="P933">
        <f>VLOOKUP(Table1[[#This Row],[Country]],REF_Country!$A$1:$D$11,4,FALSE)</f>
        <v>0.1</v>
      </c>
      <c r="Q933">
        <f>VLOOKUP(Table1[[#This Row],[Category]],REF_Target!$A$1:$E$6,2,FALSE)</f>
        <v>35000</v>
      </c>
      <c r="R933">
        <f>Table1[[#This Row],[Quantity]]*Table1[[#This Row],[Unit_Price]]</f>
        <v>7424.2</v>
      </c>
      <c r="S933">
        <f>Table1[[#This Row],[Gross_Sales]]*Table1[[#This Row],[Discount_Rate]]</f>
        <v>1484.8400000000001</v>
      </c>
      <c r="T933">
        <f>Table1[[#This Row],[Gross_Sales]]-Table1[[#This Row],[Discount_Amount]]</f>
        <v>5939.36</v>
      </c>
      <c r="U933">
        <f>VLOOKUP(Table1[[#This Row],[Category]],REF_Cost!$A$1:$B$6,2,FALSE)*Table1[[#This Row],[Quantity]]</f>
        <v>750</v>
      </c>
      <c r="V933">
        <f>Table1[[#This Row],[Net_Sales]]-Table1[[#This Row],[Total_Cost]]</f>
        <v>5189.3599999999997</v>
      </c>
      <c r="W933" t="str">
        <f>TEXT(Table1[[#This Row],[Order_Date]],"mmm")</f>
        <v>Jun</v>
      </c>
      <c r="X933">
        <f>ROUNDUP(MONTH(Table1[[#This Row],[Order_Date]])/3,0)</f>
        <v>2</v>
      </c>
      <c r="Y933">
        <f>YEAR(Table1[[#This Row],[Order_Date]])</f>
        <v>2024</v>
      </c>
    </row>
    <row r="934" spans="1:25" x14ac:dyDescent="0.25">
      <c r="A934" t="s">
        <v>3796</v>
      </c>
      <c r="B934" t="s">
        <v>3797</v>
      </c>
      <c r="C934" t="s">
        <v>3798</v>
      </c>
      <c r="D934" t="s">
        <v>3799</v>
      </c>
      <c r="E934" t="s">
        <v>71</v>
      </c>
      <c r="F934" t="s">
        <v>40</v>
      </c>
      <c r="G934" t="s">
        <v>41</v>
      </c>
      <c r="H934" t="s">
        <v>32</v>
      </c>
      <c r="I934" t="s">
        <v>43</v>
      </c>
      <c r="J934" t="s">
        <v>34</v>
      </c>
      <c r="K934">
        <v>5</v>
      </c>
      <c r="L934">
        <v>734.27</v>
      </c>
      <c r="M934" s="3">
        <v>0.2</v>
      </c>
      <c r="N934" t="str">
        <f>VLOOKUP(Table1[[#This Row],[Country]],REF_Country!$A$1:$D$11,2,FALSE)</f>
        <v>Southeast Asia</v>
      </c>
      <c r="O934" t="str">
        <f>VLOOKUP(Table1[[#This Row],[Country]],REF_Country!$A$1:$D$11,3,FALSE)</f>
        <v>PH</v>
      </c>
      <c r="P934">
        <f>VLOOKUP(Table1[[#This Row],[Country]],REF_Country!$A$1:$D$11,4,FALSE)</f>
        <v>0.12</v>
      </c>
      <c r="Q934">
        <f>VLOOKUP(Table1[[#This Row],[Category]],REF_Target!$A$1:$E$6,2,FALSE)</f>
        <v>45000</v>
      </c>
      <c r="R934">
        <f>Table1[[#This Row],[Quantity]]*Table1[[#This Row],[Unit_Price]]</f>
        <v>3671.35</v>
      </c>
      <c r="S934">
        <f>Table1[[#This Row],[Gross_Sales]]*Table1[[#This Row],[Discount_Rate]]</f>
        <v>734.27</v>
      </c>
      <c r="T934">
        <f>Table1[[#This Row],[Gross_Sales]]-Table1[[#This Row],[Discount_Amount]]</f>
        <v>2937.08</v>
      </c>
      <c r="U934">
        <f>VLOOKUP(Table1[[#This Row],[Category]],REF_Cost!$A$1:$B$6,2,FALSE)*Table1[[#This Row],[Quantity]]</f>
        <v>400</v>
      </c>
      <c r="V934">
        <f>Table1[[#This Row],[Net_Sales]]-Table1[[#This Row],[Total_Cost]]</f>
        <v>2537.08</v>
      </c>
      <c r="W934" t="str">
        <f>TEXT(Table1[[#This Row],[Order_Date]],"mmm")</f>
        <v>Jan</v>
      </c>
      <c r="X934">
        <f>ROUNDUP(MONTH(Table1[[#This Row],[Order_Date]])/3,0)</f>
        <v>1</v>
      </c>
      <c r="Y934">
        <f>YEAR(Table1[[#This Row],[Order_Date]])</f>
        <v>2024</v>
      </c>
    </row>
    <row r="935" spans="1:25" x14ac:dyDescent="0.25">
      <c r="A935" t="s">
        <v>3800</v>
      </c>
      <c r="B935" t="s">
        <v>3801</v>
      </c>
      <c r="C935" t="s">
        <v>3802</v>
      </c>
      <c r="D935" t="s">
        <v>3803</v>
      </c>
      <c r="E935" t="s">
        <v>200</v>
      </c>
      <c r="F935" t="s">
        <v>56</v>
      </c>
      <c r="G935" t="s">
        <v>95</v>
      </c>
      <c r="H935" t="s">
        <v>72</v>
      </c>
      <c r="I935" t="s">
        <v>51</v>
      </c>
      <c r="J935" t="s">
        <v>73</v>
      </c>
      <c r="K935">
        <v>7</v>
      </c>
      <c r="L935">
        <v>872.71</v>
      </c>
      <c r="M935" s="3">
        <v>0.05</v>
      </c>
      <c r="N935" t="str">
        <f>VLOOKUP(Table1[[#This Row],[Country]],REF_Country!$A$1:$D$11,2,FALSE)</f>
        <v>East Asia</v>
      </c>
      <c r="O935" t="str">
        <f>VLOOKUP(Table1[[#This Row],[Country]],REF_Country!$A$1:$D$11,3,FALSE)</f>
        <v>KR</v>
      </c>
      <c r="P935">
        <f>VLOOKUP(Table1[[#This Row],[Country]],REF_Country!$A$1:$D$11,4,FALSE)</f>
        <v>0.1</v>
      </c>
      <c r="Q935">
        <f>VLOOKUP(Table1[[#This Row],[Category]],REF_Target!$A$1:$E$6,2,FALSE)</f>
        <v>50000</v>
      </c>
      <c r="R935">
        <f>Table1[[#This Row],[Quantity]]*Table1[[#This Row],[Unit_Price]]</f>
        <v>6108.97</v>
      </c>
      <c r="S935">
        <f>Table1[[#This Row],[Gross_Sales]]*Table1[[#This Row],[Discount_Rate]]</f>
        <v>305.44850000000002</v>
      </c>
      <c r="T935">
        <f>Table1[[#This Row],[Gross_Sales]]-Table1[[#This Row],[Discount_Amount]]</f>
        <v>5803.5214999999998</v>
      </c>
      <c r="U935">
        <f>VLOOKUP(Table1[[#This Row],[Category]],REF_Cost!$A$1:$B$6,2,FALSE)*Table1[[#This Row],[Quantity]]</f>
        <v>3150</v>
      </c>
      <c r="V935">
        <f>Table1[[#This Row],[Net_Sales]]-Table1[[#This Row],[Total_Cost]]</f>
        <v>2653.5214999999998</v>
      </c>
      <c r="W935" t="str">
        <f>TEXT(Table1[[#This Row],[Order_Date]],"mmm")</f>
        <v>Dec</v>
      </c>
      <c r="X935">
        <f>ROUNDUP(MONTH(Table1[[#This Row],[Order_Date]])/3,0)</f>
        <v>4</v>
      </c>
      <c r="Y935">
        <f>YEAR(Table1[[#This Row],[Order_Date]])</f>
        <v>2024</v>
      </c>
    </row>
    <row r="936" spans="1:25" x14ac:dyDescent="0.25">
      <c r="A936" t="s">
        <v>3804</v>
      </c>
      <c r="B936" t="s">
        <v>3805</v>
      </c>
      <c r="C936" t="s">
        <v>3806</v>
      </c>
      <c r="D936" t="s">
        <v>3807</v>
      </c>
      <c r="E936" t="s">
        <v>78</v>
      </c>
      <c r="F936" t="s">
        <v>49</v>
      </c>
      <c r="G936" t="s">
        <v>259</v>
      </c>
      <c r="H936" t="s">
        <v>42</v>
      </c>
      <c r="I936" t="s">
        <v>33</v>
      </c>
      <c r="J936" t="s">
        <v>34</v>
      </c>
      <c r="K936">
        <v>6</v>
      </c>
      <c r="L936">
        <v>274.8</v>
      </c>
      <c r="M936" s="3">
        <v>0.05</v>
      </c>
      <c r="N936" t="str">
        <f>VLOOKUP(Table1[[#This Row],[Country]],REF_Country!$A$1:$D$11,2,FALSE)</f>
        <v>Oceania</v>
      </c>
      <c r="O936" t="str">
        <f>VLOOKUP(Table1[[#This Row],[Country]],REF_Country!$A$1:$D$11,3,FALSE)</f>
        <v>AU</v>
      </c>
      <c r="P936">
        <f>VLOOKUP(Table1[[#This Row],[Country]],REF_Country!$A$1:$D$11,4,FALSE)</f>
        <v>0.1</v>
      </c>
      <c r="Q936">
        <f>VLOOKUP(Table1[[#This Row],[Category]],REF_Target!$A$1:$E$6,2,FALSE)</f>
        <v>35000</v>
      </c>
      <c r="R936">
        <f>Table1[[#This Row],[Quantity]]*Table1[[#This Row],[Unit_Price]]</f>
        <v>1648.8000000000002</v>
      </c>
      <c r="S936">
        <f>Table1[[#This Row],[Gross_Sales]]*Table1[[#This Row],[Discount_Rate]]</f>
        <v>82.440000000000012</v>
      </c>
      <c r="T936">
        <f>Table1[[#This Row],[Gross_Sales]]-Table1[[#This Row],[Discount_Amount]]</f>
        <v>1566.3600000000001</v>
      </c>
      <c r="U936">
        <f>VLOOKUP(Table1[[#This Row],[Category]],REF_Cost!$A$1:$B$6,2,FALSE)*Table1[[#This Row],[Quantity]]</f>
        <v>900</v>
      </c>
      <c r="V936">
        <f>Table1[[#This Row],[Net_Sales]]-Table1[[#This Row],[Total_Cost]]</f>
        <v>666.36000000000013</v>
      </c>
      <c r="W936" t="str">
        <f>TEXT(Table1[[#This Row],[Order_Date]],"mmm")</f>
        <v>Nov</v>
      </c>
      <c r="X936">
        <f>ROUNDUP(MONTH(Table1[[#This Row],[Order_Date]])/3,0)</f>
        <v>4</v>
      </c>
      <c r="Y936">
        <f>YEAR(Table1[[#This Row],[Order_Date]])</f>
        <v>2024</v>
      </c>
    </row>
    <row r="937" spans="1:25" x14ac:dyDescent="0.25">
      <c r="A937" t="s">
        <v>3808</v>
      </c>
      <c r="B937" t="s">
        <v>3809</v>
      </c>
      <c r="C937" t="s">
        <v>3810</v>
      </c>
      <c r="D937" t="s">
        <v>3811</v>
      </c>
      <c r="E937" t="s">
        <v>83</v>
      </c>
      <c r="F937" t="s">
        <v>40</v>
      </c>
      <c r="G937" t="s">
        <v>315</v>
      </c>
      <c r="H937" t="s">
        <v>42</v>
      </c>
      <c r="I937" t="s">
        <v>33</v>
      </c>
      <c r="J937" t="s">
        <v>59</v>
      </c>
      <c r="K937">
        <v>2</v>
      </c>
      <c r="L937">
        <v>1253.74</v>
      </c>
      <c r="M937" s="3">
        <v>0.1</v>
      </c>
      <c r="N937" t="str">
        <f>VLOOKUP(Table1[[#This Row],[Country]],REF_Country!$A$1:$D$11,2,FALSE)</f>
        <v>South Asia</v>
      </c>
      <c r="O937" t="str">
        <f>VLOOKUP(Table1[[#This Row],[Country]],REF_Country!$A$1:$D$11,3,FALSE)</f>
        <v>IN</v>
      </c>
      <c r="P937">
        <f>VLOOKUP(Table1[[#This Row],[Country]],REF_Country!$A$1:$D$11,4,FALSE)</f>
        <v>0.18</v>
      </c>
      <c r="Q937">
        <f>VLOOKUP(Table1[[#This Row],[Category]],REF_Target!$A$1:$E$6,2,FALSE)</f>
        <v>45000</v>
      </c>
      <c r="R937">
        <f>Table1[[#This Row],[Quantity]]*Table1[[#This Row],[Unit_Price]]</f>
        <v>2507.48</v>
      </c>
      <c r="S937">
        <f>Table1[[#This Row],[Gross_Sales]]*Table1[[#This Row],[Discount_Rate]]</f>
        <v>250.74800000000002</v>
      </c>
      <c r="T937">
        <f>Table1[[#This Row],[Gross_Sales]]-Table1[[#This Row],[Discount_Amount]]</f>
        <v>2256.732</v>
      </c>
      <c r="U937">
        <f>VLOOKUP(Table1[[#This Row],[Category]],REF_Cost!$A$1:$B$6,2,FALSE)*Table1[[#This Row],[Quantity]]</f>
        <v>160</v>
      </c>
      <c r="V937">
        <f>Table1[[#This Row],[Net_Sales]]-Table1[[#This Row],[Total_Cost]]</f>
        <v>2096.732</v>
      </c>
      <c r="W937" t="str">
        <f>TEXT(Table1[[#This Row],[Order_Date]],"mmm")</f>
        <v>Jun</v>
      </c>
      <c r="X937">
        <f>ROUNDUP(MONTH(Table1[[#This Row],[Order_Date]])/3,0)</f>
        <v>2</v>
      </c>
      <c r="Y937">
        <f>YEAR(Table1[[#This Row],[Order_Date]])</f>
        <v>2024</v>
      </c>
    </row>
    <row r="938" spans="1:25" x14ac:dyDescent="0.25">
      <c r="A938" t="s">
        <v>3812</v>
      </c>
      <c r="B938" t="s">
        <v>3813</v>
      </c>
      <c r="C938" t="s">
        <v>3814</v>
      </c>
      <c r="D938" t="s">
        <v>3815</v>
      </c>
      <c r="E938" t="s">
        <v>48</v>
      </c>
      <c r="F938" t="s">
        <v>49</v>
      </c>
      <c r="G938" t="s">
        <v>286</v>
      </c>
      <c r="H938" t="s">
        <v>72</v>
      </c>
      <c r="I938" t="s">
        <v>66</v>
      </c>
      <c r="J938" t="s">
        <v>34</v>
      </c>
      <c r="K938">
        <v>5</v>
      </c>
      <c r="L938">
        <v>791.93</v>
      </c>
      <c r="M938" s="3">
        <v>0.15</v>
      </c>
      <c r="N938" t="str">
        <f>VLOOKUP(Table1[[#This Row],[Country]],REF_Country!$A$1:$D$11,2,FALSE)</f>
        <v>Southeast Asia</v>
      </c>
      <c r="O938" t="str">
        <f>VLOOKUP(Table1[[#This Row],[Country]],REF_Country!$A$1:$D$11,3,FALSE)</f>
        <v>SG</v>
      </c>
      <c r="P938">
        <f>VLOOKUP(Table1[[#This Row],[Country]],REF_Country!$A$1:$D$11,4,FALSE)</f>
        <v>7.0000000000000007E-2</v>
      </c>
      <c r="Q938">
        <f>VLOOKUP(Table1[[#This Row],[Category]],REF_Target!$A$1:$E$6,2,FALSE)</f>
        <v>35000</v>
      </c>
      <c r="R938">
        <f>Table1[[#This Row],[Quantity]]*Table1[[#This Row],[Unit_Price]]</f>
        <v>3959.6499999999996</v>
      </c>
      <c r="S938">
        <f>Table1[[#This Row],[Gross_Sales]]*Table1[[#This Row],[Discount_Rate]]</f>
        <v>593.94749999999988</v>
      </c>
      <c r="T938">
        <f>Table1[[#This Row],[Gross_Sales]]-Table1[[#This Row],[Discount_Amount]]</f>
        <v>3365.7024999999999</v>
      </c>
      <c r="U938">
        <f>VLOOKUP(Table1[[#This Row],[Category]],REF_Cost!$A$1:$B$6,2,FALSE)*Table1[[#This Row],[Quantity]]</f>
        <v>750</v>
      </c>
      <c r="V938">
        <f>Table1[[#This Row],[Net_Sales]]-Table1[[#This Row],[Total_Cost]]</f>
        <v>2615.7024999999999</v>
      </c>
      <c r="W938" t="str">
        <f>TEXT(Table1[[#This Row],[Order_Date]],"mmm")</f>
        <v>Feb</v>
      </c>
      <c r="X938">
        <f>ROUNDUP(MONTH(Table1[[#This Row],[Order_Date]])/3,0)</f>
        <v>1</v>
      </c>
      <c r="Y938">
        <f>YEAR(Table1[[#This Row],[Order_Date]])</f>
        <v>2024</v>
      </c>
    </row>
    <row r="939" spans="1:25" x14ac:dyDescent="0.25">
      <c r="A939" t="s">
        <v>3816</v>
      </c>
      <c r="B939" t="s">
        <v>3817</v>
      </c>
      <c r="C939" t="s">
        <v>3818</v>
      </c>
      <c r="D939" t="s">
        <v>3819</v>
      </c>
      <c r="E939" t="s">
        <v>200</v>
      </c>
      <c r="F939" t="s">
        <v>56</v>
      </c>
      <c r="G939" t="s">
        <v>95</v>
      </c>
      <c r="H939" t="s">
        <v>32</v>
      </c>
      <c r="I939" t="s">
        <v>96</v>
      </c>
      <c r="J939" t="s">
        <v>59</v>
      </c>
      <c r="K939">
        <v>10</v>
      </c>
      <c r="L939">
        <v>435.28</v>
      </c>
      <c r="M939" s="3">
        <v>0</v>
      </c>
      <c r="N939" t="str">
        <f>VLOOKUP(Table1[[#This Row],[Country]],REF_Country!$A$1:$D$11,2,FALSE)</f>
        <v>East Asia</v>
      </c>
      <c r="O939" t="str">
        <f>VLOOKUP(Table1[[#This Row],[Country]],REF_Country!$A$1:$D$11,3,FALSE)</f>
        <v>KR</v>
      </c>
      <c r="P939">
        <f>VLOOKUP(Table1[[#This Row],[Country]],REF_Country!$A$1:$D$11,4,FALSE)</f>
        <v>0.1</v>
      </c>
      <c r="Q939">
        <f>VLOOKUP(Table1[[#This Row],[Category]],REF_Target!$A$1:$E$6,2,FALSE)</f>
        <v>50000</v>
      </c>
      <c r="R939">
        <f>Table1[[#This Row],[Quantity]]*Table1[[#This Row],[Unit_Price]]</f>
        <v>4352.7999999999993</v>
      </c>
      <c r="S939">
        <f>Table1[[#This Row],[Gross_Sales]]*Table1[[#This Row],[Discount_Rate]]</f>
        <v>0</v>
      </c>
      <c r="T939">
        <f>Table1[[#This Row],[Gross_Sales]]-Table1[[#This Row],[Discount_Amount]]</f>
        <v>4352.7999999999993</v>
      </c>
      <c r="U939">
        <f>VLOOKUP(Table1[[#This Row],[Category]],REF_Cost!$A$1:$B$6,2,FALSE)*Table1[[#This Row],[Quantity]]</f>
        <v>4500</v>
      </c>
      <c r="V939">
        <f>Table1[[#This Row],[Net_Sales]]-Table1[[#This Row],[Total_Cost]]</f>
        <v>-147.20000000000073</v>
      </c>
      <c r="W939" t="str">
        <f>TEXT(Table1[[#This Row],[Order_Date]],"mmm")</f>
        <v>Feb</v>
      </c>
      <c r="X939">
        <f>ROUNDUP(MONTH(Table1[[#This Row],[Order_Date]])/3,0)</f>
        <v>1</v>
      </c>
      <c r="Y939">
        <f>YEAR(Table1[[#This Row],[Order_Date]])</f>
        <v>2024</v>
      </c>
    </row>
    <row r="940" spans="1:25" x14ac:dyDescent="0.25">
      <c r="A940" t="s">
        <v>3820</v>
      </c>
      <c r="B940" t="s">
        <v>3821</v>
      </c>
      <c r="C940" t="s">
        <v>3822</v>
      </c>
      <c r="D940" t="s">
        <v>3823</v>
      </c>
      <c r="E940" t="s">
        <v>64</v>
      </c>
      <c r="F940" t="s">
        <v>56</v>
      </c>
      <c r="G940" t="s">
        <v>190</v>
      </c>
      <c r="H940" t="s">
        <v>72</v>
      </c>
      <c r="I940" t="s">
        <v>51</v>
      </c>
      <c r="J940" t="s">
        <v>59</v>
      </c>
      <c r="K940">
        <v>5</v>
      </c>
      <c r="L940">
        <v>219.51</v>
      </c>
      <c r="M940" s="3">
        <v>0.15</v>
      </c>
      <c r="N940" t="str">
        <f>VLOOKUP(Table1[[#This Row],[Country]],REF_Country!$A$1:$D$11,2,FALSE)</f>
        <v>Southeast Asia</v>
      </c>
      <c r="O940" t="str">
        <f>VLOOKUP(Table1[[#This Row],[Country]],REF_Country!$A$1:$D$11,3,FALSE)</f>
        <v>ID</v>
      </c>
      <c r="P940">
        <f>VLOOKUP(Table1[[#This Row],[Country]],REF_Country!$A$1:$D$11,4,FALSE)</f>
        <v>0.11</v>
      </c>
      <c r="Q940">
        <f>VLOOKUP(Table1[[#This Row],[Category]],REF_Target!$A$1:$E$6,2,FALSE)</f>
        <v>50000</v>
      </c>
      <c r="R940">
        <f>Table1[[#This Row],[Quantity]]*Table1[[#This Row],[Unit_Price]]</f>
        <v>1097.55</v>
      </c>
      <c r="S940">
        <f>Table1[[#This Row],[Gross_Sales]]*Table1[[#This Row],[Discount_Rate]]</f>
        <v>164.63249999999999</v>
      </c>
      <c r="T940">
        <f>Table1[[#This Row],[Gross_Sales]]-Table1[[#This Row],[Discount_Amount]]</f>
        <v>932.91750000000002</v>
      </c>
      <c r="U940">
        <f>VLOOKUP(Table1[[#This Row],[Category]],REF_Cost!$A$1:$B$6,2,FALSE)*Table1[[#This Row],[Quantity]]</f>
        <v>2250</v>
      </c>
      <c r="V940">
        <f>Table1[[#This Row],[Net_Sales]]-Table1[[#This Row],[Total_Cost]]</f>
        <v>-1317.0825</v>
      </c>
      <c r="W940" t="str">
        <f>TEXT(Table1[[#This Row],[Order_Date]],"mmm")</f>
        <v>Aug</v>
      </c>
      <c r="X940">
        <f>ROUNDUP(MONTH(Table1[[#This Row],[Order_Date]])/3,0)</f>
        <v>3</v>
      </c>
      <c r="Y940">
        <f>YEAR(Table1[[#This Row],[Order_Date]])</f>
        <v>2024</v>
      </c>
    </row>
    <row r="941" spans="1:25" x14ac:dyDescent="0.25">
      <c r="A941" t="s">
        <v>3824</v>
      </c>
      <c r="B941" t="s">
        <v>3825</v>
      </c>
      <c r="C941" t="s">
        <v>3826</v>
      </c>
      <c r="D941" t="s">
        <v>3827</v>
      </c>
      <c r="E941" t="s">
        <v>116</v>
      </c>
      <c r="F941" t="s">
        <v>84</v>
      </c>
      <c r="G941" t="s">
        <v>85</v>
      </c>
      <c r="H941" t="s">
        <v>42</v>
      </c>
      <c r="I941" t="s">
        <v>96</v>
      </c>
      <c r="J941" t="s">
        <v>34</v>
      </c>
      <c r="K941">
        <v>6</v>
      </c>
      <c r="L941">
        <v>62.72</v>
      </c>
      <c r="M941" s="3">
        <v>0</v>
      </c>
      <c r="N941" t="str">
        <f>VLOOKUP(Table1[[#This Row],[Country]],REF_Country!$A$1:$D$11,2,FALSE)</f>
        <v>Southeast Asia</v>
      </c>
      <c r="O941" t="str">
        <f>VLOOKUP(Table1[[#This Row],[Country]],REF_Country!$A$1:$D$11,3,FALSE)</f>
        <v>MY</v>
      </c>
      <c r="P941">
        <f>VLOOKUP(Table1[[#This Row],[Country]],REF_Country!$A$1:$D$11,4,FALSE)</f>
        <v>0.06</v>
      </c>
      <c r="Q941">
        <f>VLOOKUP(Table1[[#This Row],[Category]],REF_Target!$A$1:$E$6,2,FALSE)</f>
        <v>30000</v>
      </c>
      <c r="R941">
        <f>Table1[[#This Row],[Quantity]]*Table1[[#This Row],[Unit_Price]]</f>
        <v>376.32</v>
      </c>
      <c r="S941">
        <f>Table1[[#This Row],[Gross_Sales]]*Table1[[#This Row],[Discount_Rate]]</f>
        <v>0</v>
      </c>
      <c r="T941">
        <f>Table1[[#This Row],[Gross_Sales]]-Table1[[#This Row],[Discount_Amount]]</f>
        <v>376.32</v>
      </c>
      <c r="U941">
        <f>VLOOKUP(Table1[[#This Row],[Category]],REF_Cost!$A$1:$B$6,2,FALSE)*Table1[[#This Row],[Quantity]]</f>
        <v>1200</v>
      </c>
      <c r="V941">
        <f>Table1[[#This Row],[Net_Sales]]-Table1[[#This Row],[Total_Cost]]</f>
        <v>-823.68000000000006</v>
      </c>
      <c r="W941" t="str">
        <f>TEXT(Table1[[#This Row],[Order_Date]],"mmm")</f>
        <v>Apr</v>
      </c>
      <c r="X941">
        <f>ROUNDUP(MONTH(Table1[[#This Row],[Order_Date]])/3,0)</f>
        <v>2</v>
      </c>
      <c r="Y941">
        <f>YEAR(Table1[[#This Row],[Order_Date]])</f>
        <v>2024</v>
      </c>
    </row>
    <row r="942" spans="1:25" x14ac:dyDescent="0.25">
      <c r="A942" t="s">
        <v>3828</v>
      </c>
      <c r="B942" t="s">
        <v>3829</v>
      </c>
      <c r="C942" t="s">
        <v>3830</v>
      </c>
      <c r="D942" t="s">
        <v>3831</v>
      </c>
      <c r="E942" t="s">
        <v>29</v>
      </c>
      <c r="F942" t="s">
        <v>30</v>
      </c>
      <c r="G942" t="s">
        <v>139</v>
      </c>
      <c r="H942" t="s">
        <v>72</v>
      </c>
      <c r="I942" t="s">
        <v>43</v>
      </c>
      <c r="J942" t="s">
        <v>59</v>
      </c>
      <c r="K942">
        <v>6</v>
      </c>
      <c r="L942">
        <v>662.19</v>
      </c>
      <c r="M942" s="3">
        <v>0.15</v>
      </c>
      <c r="N942" t="str">
        <f>VLOOKUP(Table1[[#This Row],[Country]],REF_Country!$A$1:$D$11,2,FALSE)</f>
        <v>Southeast Asia</v>
      </c>
      <c r="O942" t="str">
        <f>VLOOKUP(Table1[[#This Row],[Country]],REF_Country!$A$1:$D$11,3,FALSE)</f>
        <v>VN</v>
      </c>
      <c r="P942">
        <f>VLOOKUP(Table1[[#This Row],[Country]],REF_Country!$A$1:$D$11,4,FALSE)</f>
        <v>0.1</v>
      </c>
      <c r="Q942">
        <f>VLOOKUP(Table1[[#This Row],[Category]],REF_Target!$A$1:$E$6,2,FALSE)</f>
        <v>40000</v>
      </c>
      <c r="R942">
        <f>Table1[[#This Row],[Quantity]]*Table1[[#This Row],[Unit_Price]]</f>
        <v>3973.1400000000003</v>
      </c>
      <c r="S942">
        <f>Table1[[#This Row],[Gross_Sales]]*Table1[[#This Row],[Discount_Rate]]</f>
        <v>595.971</v>
      </c>
      <c r="T942">
        <f>Table1[[#This Row],[Gross_Sales]]-Table1[[#This Row],[Discount_Amount]]</f>
        <v>3377.1690000000003</v>
      </c>
      <c r="U942">
        <f>VLOOKUP(Table1[[#This Row],[Category]],REF_Cost!$A$1:$B$6,2,FALSE)*Table1[[#This Row],[Quantity]]</f>
        <v>720</v>
      </c>
      <c r="V942">
        <f>Table1[[#This Row],[Net_Sales]]-Table1[[#This Row],[Total_Cost]]</f>
        <v>2657.1690000000003</v>
      </c>
      <c r="W942" t="str">
        <f>TEXT(Table1[[#This Row],[Order_Date]],"mmm")</f>
        <v>May</v>
      </c>
      <c r="X942">
        <f>ROUNDUP(MONTH(Table1[[#This Row],[Order_Date]])/3,0)</f>
        <v>2</v>
      </c>
      <c r="Y942">
        <f>YEAR(Table1[[#This Row],[Order_Date]])</f>
        <v>2024</v>
      </c>
    </row>
    <row r="943" spans="1:25" x14ac:dyDescent="0.25">
      <c r="A943" t="s">
        <v>3832</v>
      </c>
      <c r="B943" t="s">
        <v>3833</v>
      </c>
      <c r="C943" t="s">
        <v>3834</v>
      </c>
      <c r="D943" t="s">
        <v>3835</v>
      </c>
      <c r="E943" t="s">
        <v>29</v>
      </c>
      <c r="F943" t="s">
        <v>84</v>
      </c>
      <c r="G943" t="s">
        <v>205</v>
      </c>
      <c r="H943" t="s">
        <v>72</v>
      </c>
      <c r="I943" t="s">
        <v>96</v>
      </c>
      <c r="J943" t="s">
        <v>34</v>
      </c>
      <c r="K943">
        <v>8</v>
      </c>
      <c r="L943">
        <v>456.54</v>
      </c>
      <c r="M943" s="3">
        <v>0.15</v>
      </c>
      <c r="N943" t="str">
        <f>VLOOKUP(Table1[[#This Row],[Country]],REF_Country!$A$1:$D$11,2,FALSE)</f>
        <v>Southeast Asia</v>
      </c>
      <c r="O943" t="str">
        <f>VLOOKUP(Table1[[#This Row],[Country]],REF_Country!$A$1:$D$11,3,FALSE)</f>
        <v>VN</v>
      </c>
      <c r="P943">
        <f>VLOOKUP(Table1[[#This Row],[Country]],REF_Country!$A$1:$D$11,4,FALSE)</f>
        <v>0.1</v>
      </c>
      <c r="Q943">
        <f>VLOOKUP(Table1[[#This Row],[Category]],REF_Target!$A$1:$E$6,2,FALSE)</f>
        <v>30000</v>
      </c>
      <c r="R943">
        <f>Table1[[#This Row],[Quantity]]*Table1[[#This Row],[Unit_Price]]</f>
        <v>3652.32</v>
      </c>
      <c r="S943">
        <f>Table1[[#This Row],[Gross_Sales]]*Table1[[#This Row],[Discount_Rate]]</f>
        <v>547.84799999999996</v>
      </c>
      <c r="T943">
        <f>Table1[[#This Row],[Gross_Sales]]-Table1[[#This Row],[Discount_Amount]]</f>
        <v>3104.4720000000002</v>
      </c>
      <c r="U943">
        <f>VLOOKUP(Table1[[#This Row],[Category]],REF_Cost!$A$1:$B$6,2,FALSE)*Table1[[#This Row],[Quantity]]</f>
        <v>1600</v>
      </c>
      <c r="V943">
        <f>Table1[[#This Row],[Net_Sales]]-Table1[[#This Row],[Total_Cost]]</f>
        <v>1504.4720000000002</v>
      </c>
      <c r="W943" t="str">
        <f>TEXT(Table1[[#This Row],[Order_Date]],"mmm")</f>
        <v>Aug</v>
      </c>
      <c r="X943">
        <f>ROUNDUP(MONTH(Table1[[#This Row],[Order_Date]])/3,0)</f>
        <v>3</v>
      </c>
      <c r="Y943">
        <f>YEAR(Table1[[#This Row],[Order_Date]])</f>
        <v>2024</v>
      </c>
    </row>
    <row r="944" spans="1:25" x14ac:dyDescent="0.25">
      <c r="A944" t="s">
        <v>3836</v>
      </c>
      <c r="B944" t="s">
        <v>3837</v>
      </c>
      <c r="C944" t="s">
        <v>3838</v>
      </c>
      <c r="D944" t="s">
        <v>3839</v>
      </c>
      <c r="E944" t="s">
        <v>71</v>
      </c>
      <c r="F944" t="s">
        <v>40</v>
      </c>
      <c r="G944" t="s">
        <v>315</v>
      </c>
      <c r="H944" t="s">
        <v>42</v>
      </c>
      <c r="I944" t="s">
        <v>96</v>
      </c>
      <c r="J944" t="s">
        <v>34</v>
      </c>
      <c r="K944">
        <v>7</v>
      </c>
      <c r="L944">
        <v>710.54</v>
      </c>
      <c r="M944" s="3">
        <v>0.1</v>
      </c>
      <c r="N944" t="str">
        <f>VLOOKUP(Table1[[#This Row],[Country]],REF_Country!$A$1:$D$11,2,FALSE)</f>
        <v>Southeast Asia</v>
      </c>
      <c r="O944" t="str">
        <f>VLOOKUP(Table1[[#This Row],[Country]],REF_Country!$A$1:$D$11,3,FALSE)</f>
        <v>PH</v>
      </c>
      <c r="P944">
        <f>VLOOKUP(Table1[[#This Row],[Country]],REF_Country!$A$1:$D$11,4,FALSE)</f>
        <v>0.12</v>
      </c>
      <c r="Q944">
        <f>VLOOKUP(Table1[[#This Row],[Category]],REF_Target!$A$1:$E$6,2,FALSE)</f>
        <v>45000</v>
      </c>
      <c r="R944">
        <f>Table1[[#This Row],[Quantity]]*Table1[[#This Row],[Unit_Price]]</f>
        <v>4973.78</v>
      </c>
      <c r="S944">
        <f>Table1[[#This Row],[Gross_Sales]]*Table1[[#This Row],[Discount_Rate]]</f>
        <v>497.37799999999999</v>
      </c>
      <c r="T944">
        <f>Table1[[#This Row],[Gross_Sales]]-Table1[[#This Row],[Discount_Amount]]</f>
        <v>4476.402</v>
      </c>
      <c r="U944">
        <f>VLOOKUP(Table1[[#This Row],[Category]],REF_Cost!$A$1:$B$6,2,FALSE)*Table1[[#This Row],[Quantity]]</f>
        <v>560</v>
      </c>
      <c r="V944">
        <f>Table1[[#This Row],[Net_Sales]]-Table1[[#This Row],[Total_Cost]]</f>
        <v>3916.402</v>
      </c>
      <c r="W944" t="str">
        <f>TEXT(Table1[[#This Row],[Order_Date]],"mmm")</f>
        <v>Mar</v>
      </c>
      <c r="X944">
        <f>ROUNDUP(MONTH(Table1[[#This Row],[Order_Date]])/3,0)</f>
        <v>1</v>
      </c>
      <c r="Y944">
        <f>YEAR(Table1[[#This Row],[Order_Date]])</f>
        <v>2024</v>
      </c>
    </row>
    <row r="945" spans="1:25" x14ac:dyDescent="0.25">
      <c r="A945" t="s">
        <v>3840</v>
      </c>
      <c r="B945" t="s">
        <v>3841</v>
      </c>
      <c r="C945" t="s">
        <v>3842</v>
      </c>
      <c r="D945" t="s">
        <v>3843</v>
      </c>
      <c r="E945" t="s">
        <v>149</v>
      </c>
      <c r="F945" t="s">
        <v>56</v>
      </c>
      <c r="G945" t="s">
        <v>95</v>
      </c>
      <c r="H945" t="s">
        <v>58</v>
      </c>
      <c r="I945" t="s">
        <v>43</v>
      </c>
      <c r="J945" t="s">
        <v>59</v>
      </c>
      <c r="K945">
        <v>5</v>
      </c>
      <c r="L945">
        <v>928.58</v>
      </c>
      <c r="M945" s="3">
        <v>0</v>
      </c>
      <c r="N945" t="str">
        <f>VLOOKUP(Table1[[#This Row],[Country]],REF_Country!$A$1:$D$11,2,FALSE)</f>
        <v>East Asia</v>
      </c>
      <c r="O945" t="str">
        <f>VLOOKUP(Table1[[#This Row],[Country]],REF_Country!$A$1:$D$11,3,FALSE)</f>
        <v>JP</v>
      </c>
      <c r="P945">
        <f>VLOOKUP(Table1[[#This Row],[Country]],REF_Country!$A$1:$D$11,4,FALSE)</f>
        <v>0.1</v>
      </c>
      <c r="Q945">
        <f>VLOOKUP(Table1[[#This Row],[Category]],REF_Target!$A$1:$E$6,2,FALSE)</f>
        <v>50000</v>
      </c>
      <c r="R945">
        <f>Table1[[#This Row],[Quantity]]*Table1[[#This Row],[Unit_Price]]</f>
        <v>4642.9000000000005</v>
      </c>
      <c r="S945">
        <f>Table1[[#This Row],[Gross_Sales]]*Table1[[#This Row],[Discount_Rate]]</f>
        <v>0</v>
      </c>
      <c r="T945">
        <f>Table1[[#This Row],[Gross_Sales]]-Table1[[#This Row],[Discount_Amount]]</f>
        <v>4642.9000000000005</v>
      </c>
      <c r="U945">
        <f>VLOOKUP(Table1[[#This Row],[Category]],REF_Cost!$A$1:$B$6,2,FALSE)*Table1[[#This Row],[Quantity]]</f>
        <v>2250</v>
      </c>
      <c r="V945">
        <f>Table1[[#This Row],[Net_Sales]]-Table1[[#This Row],[Total_Cost]]</f>
        <v>2392.9000000000005</v>
      </c>
      <c r="W945" t="str">
        <f>TEXT(Table1[[#This Row],[Order_Date]],"mmm")</f>
        <v>Oct</v>
      </c>
      <c r="X945">
        <f>ROUNDUP(MONTH(Table1[[#This Row],[Order_Date]])/3,0)</f>
        <v>4</v>
      </c>
      <c r="Y945">
        <f>YEAR(Table1[[#This Row],[Order_Date]])</f>
        <v>2024</v>
      </c>
    </row>
    <row r="946" spans="1:25" x14ac:dyDescent="0.25">
      <c r="A946" t="s">
        <v>3844</v>
      </c>
      <c r="B946" t="s">
        <v>3845</v>
      </c>
      <c r="C946" t="s">
        <v>3846</v>
      </c>
      <c r="D946" t="s">
        <v>3847</v>
      </c>
      <c r="E946" t="s">
        <v>64</v>
      </c>
      <c r="F946" t="s">
        <v>49</v>
      </c>
      <c r="G946" t="s">
        <v>259</v>
      </c>
      <c r="H946" t="s">
        <v>32</v>
      </c>
      <c r="I946" t="s">
        <v>66</v>
      </c>
      <c r="J946" t="s">
        <v>126</v>
      </c>
      <c r="K946">
        <v>1</v>
      </c>
      <c r="L946">
        <v>698.43</v>
      </c>
      <c r="M946" s="3">
        <v>0</v>
      </c>
      <c r="N946" t="str">
        <f>VLOOKUP(Table1[[#This Row],[Country]],REF_Country!$A$1:$D$11,2,FALSE)</f>
        <v>Southeast Asia</v>
      </c>
      <c r="O946" t="str">
        <f>VLOOKUP(Table1[[#This Row],[Country]],REF_Country!$A$1:$D$11,3,FALSE)</f>
        <v>ID</v>
      </c>
      <c r="P946">
        <f>VLOOKUP(Table1[[#This Row],[Country]],REF_Country!$A$1:$D$11,4,FALSE)</f>
        <v>0.11</v>
      </c>
      <c r="Q946">
        <f>VLOOKUP(Table1[[#This Row],[Category]],REF_Target!$A$1:$E$6,2,FALSE)</f>
        <v>35000</v>
      </c>
      <c r="R946">
        <f>Table1[[#This Row],[Quantity]]*Table1[[#This Row],[Unit_Price]]</f>
        <v>698.43</v>
      </c>
      <c r="S946">
        <f>Table1[[#This Row],[Gross_Sales]]*Table1[[#This Row],[Discount_Rate]]</f>
        <v>0</v>
      </c>
      <c r="T946">
        <f>Table1[[#This Row],[Gross_Sales]]-Table1[[#This Row],[Discount_Amount]]</f>
        <v>698.43</v>
      </c>
      <c r="U946">
        <f>VLOOKUP(Table1[[#This Row],[Category]],REF_Cost!$A$1:$B$6,2,FALSE)*Table1[[#This Row],[Quantity]]</f>
        <v>150</v>
      </c>
      <c r="V946">
        <f>Table1[[#This Row],[Net_Sales]]-Table1[[#This Row],[Total_Cost]]</f>
        <v>548.42999999999995</v>
      </c>
      <c r="W946" t="str">
        <f>TEXT(Table1[[#This Row],[Order_Date]],"mmm")</f>
        <v>Jul</v>
      </c>
      <c r="X946">
        <f>ROUNDUP(MONTH(Table1[[#This Row],[Order_Date]])/3,0)</f>
        <v>3</v>
      </c>
      <c r="Y946">
        <f>YEAR(Table1[[#This Row],[Order_Date]])</f>
        <v>2024</v>
      </c>
    </row>
    <row r="947" spans="1:25" x14ac:dyDescent="0.25">
      <c r="A947" t="s">
        <v>3848</v>
      </c>
      <c r="B947" t="s">
        <v>3849</v>
      </c>
      <c r="C947" t="s">
        <v>3850</v>
      </c>
      <c r="D947" t="s">
        <v>3851</v>
      </c>
      <c r="E947" t="s">
        <v>29</v>
      </c>
      <c r="F947" t="s">
        <v>40</v>
      </c>
      <c r="G947" t="s">
        <v>565</v>
      </c>
      <c r="H947" t="s">
        <v>32</v>
      </c>
      <c r="I947" t="s">
        <v>43</v>
      </c>
      <c r="J947" t="s">
        <v>73</v>
      </c>
      <c r="K947">
        <v>1</v>
      </c>
      <c r="L947">
        <v>1040.53</v>
      </c>
      <c r="M947" s="3">
        <v>0</v>
      </c>
      <c r="N947" t="str">
        <f>VLOOKUP(Table1[[#This Row],[Country]],REF_Country!$A$1:$D$11,2,FALSE)</f>
        <v>Southeast Asia</v>
      </c>
      <c r="O947" t="str">
        <f>VLOOKUP(Table1[[#This Row],[Country]],REF_Country!$A$1:$D$11,3,FALSE)</f>
        <v>VN</v>
      </c>
      <c r="P947">
        <f>VLOOKUP(Table1[[#This Row],[Country]],REF_Country!$A$1:$D$11,4,FALSE)</f>
        <v>0.1</v>
      </c>
      <c r="Q947">
        <f>VLOOKUP(Table1[[#This Row],[Category]],REF_Target!$A$1:$E$6,2,FALSE)</f>
        <v>45000</v>
      </c>
      <c r="R947">
        <f>Table1[[#This Row],[Quantity]]*Table1[[#This Row],[Unit_Price]]</f>
        <v>1040.53</v>
      </c>
      <c r="S947">
        <f>Table1[[#This Row],[Gross_Sales]]*Table1[[#This Row],[Discount_Rate]]</f>
        <v>0</v>
      </c>
      <c r="T947">
        <f>Table1[[#This Row],[Gross_Sales]]-Table1[[#This Row],[Discount_Amount]]</f>
        <v>1040.53</v>
      </c>
      <c r="U947">
        <f>VLOOKUP(Table1[[#This Row],[Category]],REF_Cost!$A$1:$B$6,2,FALSE)*Table1[[#This Row],[Quantity]]</f>
        <v>80</v>
      </c>
      <c r="V947">
        <f>Table1[[#This Row],[Net_Sales]]-Table1[[#This Row],[Total_Cost]]</f>
        <v>960.53</v>
      </c>
      <c r="W947" t="str">
        <f>TEXT(Table1[[#This Row],[Order_Date]],"mmm")</f>
        <v>Oct</v>
      </c>
      <c r="X947">
        <f>ROUNDUP(MONTH(Table1[[#This Row],[Order_Date]])/3,0)</f>
        <v>4</v>
      </c>
      <c r="Y947">
        <f>YEAR(Table1[[#This Row],[Order_Date]])</f>
        <v>2024</v>
      </c>
    </row>
    <row r="948" spans="1:25" x14ac:dyDescent="0.25">
      <c r="A948" t="s">
        <v>3852</v>
      </c>
      <c r="B948" t="s">
        <v>3853</v>
      </c>
      <c r="C948" t="s">
        <v>3854</v>
      </c>
      <c r="D948" t="s">
        <v>3855</v>
      </c>
      <c r="E948" t="s">
        <v>48</v>
      </c>
      <c r="F948" t="s">
        <v>84</v>
      </c>
      <c r="G948" t="s">
        <v>412</v>
      </c>
      <c r="H948" t="s">
        <v>72</v>
      </c>
      <c r="I948" t="s">
        <v>51</v>
      </c>
      <c r="J948" t="s">
        <v>126</v>
      </c>
      <c r="K948">
        <v>1</v>
      </c>
      <c r="L948">
        <v>1082.93</v>
      </c>
      <c r="M948" s="3">
        <v>0.1</v>
      </c>
      <c r="N948" t="str">
        <f>VLOOKUP(Table1[[#This Row],[Country]],REF_Country!$A$1:$D$11,2,FALSE)</f>
        <v>Southeast Asia</v>
      </c>
      <c r="O948" t="str">
        <f>VLOOKUP(Table1[[#This Row],[Country]],REF_Country!$A$1:$D$11,3,FALSE)</f>
        <v>SG</v>
      </c>
      <c r="P948">
        <f>VLOOKUP(Table1[[#This Row],[Country]],REF_Country!$A$1:$D$11,4,FALSE)</f>
        <v>7.0000000000000007E-2</v>
      </c>
      <c r="Q948">
        <f>VLOOKUP(Table1[[#This Row],[Category]],REF_Target!$A$1:$E$6,2,FALSE)</f>
        <v>30000</v>
      </c>
      <c r="R948">
        <f>Table1[[#This Row],[Quantity]]*Table1[[#This Row],[Unit_Price]]</f>
        <v>1082.93</v>
      </c>
      <c r="S948">
        <f>Table1[[#This Row],[Gross_Sales]]*Table1[[#This Row],[Discount_Rate]]</f>
        <v>108.29300000000001</v>
      </c>
      <c r="T948">
        <f>Table1[[#This Row],[Gross_Sales]]-Table1[[#This Row],[Discount_Amount]]</f>
        <v>974.63700000000006</v>
      </c>
      <c r="U948">
        <f>VLOOKUP(Table1[[#This Row],[Category]],REF_Cost!$A$1:$B$6,2,FALSE)*Table1[[#This Row],[Quantity]]</f>
        <v>200</v>
      </c>
      <c r="V948">
        <f>Table1[[#This Row],[Net_Sales]]-Table1[[#This Row],[Total_Cost]]</f>
        <v>774.63700000000006</v>
      </c>
      <c r="W948" t="str">
        <f>TEXT(Table1[[#This Row],[Order_Date]],"mmm")</f>
        <v>Sep</v>
      </c>
      <c r="X948">
        <f>ROUNDUP(MONTH(Table1[[#This Row],[Order_Date]])/3,0)</f>
        <v>3</v>
      </c>
      <c r="Y948">
        <f>YEAR(Table1[[#This Row],[Order_Date]])</f>
        <v>2024</v>
      </c>
    </row>
    <row r="949" spans="1:25" x14ac:dyDescent="0.25">
      <c r="A949" t="s">
        <v>3856</v>
      </c>
      <c r="B949" t="s">
        <v>3857</v>
      </c>
      <c r="C949" t="s">
        <v>3858</v>
      </c>
      <c r="D949" t="s">
        <v>3859</v>
      </c>
      <c r="E949" t="s">
        <v>116</v>
      </c>
      <c r="F949" t="s">
        <v>40</v>
      </c>
      <c r="G949" t="s">
        <v>144</v>
      </c>
      <c r="H949" t="s">
        <v>32</v>
      </c>
      <c r="I949" t="s">
        <v>33</v>
      </c>
      <c r="J949" t="s">
        <v>34</v>
      </c>
      <c r="K949">
        <v>2</v>
      </c>
      <c r="L949">
        <v>382.1</v>
      </c>
      <c r="M949" s="3">
        <v>0.1</v>
      </c>
      <c r="N949" t="str">
        <f>VLOOKUP(Table1[[#This Row],[Country]],REF_Country!$A$1:$D$11,2,FALSE)</f>
        <v>Southeast Asia</v>
      </c>
      <c r="O949" t="str">
        <f>VLOOKUP(Table1[[#This Row],[Country]],REF_Country!$A$1:$D$11,3,FALSE)</f>
        <v>MY</v>
      </c>
      <c r="P949">
        <f>VLOOKUP(Table1[[#This Row],[Country]],REF_Country!$A$1:$D$11,4,FALSE)</f>
        <v>0.06</v>
      </c>
      <c r="Q949">
        <f>VLOOKUP(Table1[[#This Row],[Category]],REF_Target!$A$1:$E$6,2,FALSE)</f>
        <v>45000</v>
      </c>
      <c r="R949">
        <f>Table1[[#This Row],[Quantity]]*Table1[[#This Row],[Unit_Price]]</f>
        <v>764.2</v>
      </c>
      <c r="S949">
        <f>Table1[[#This Row],[Gross_Sales]]*Table1[[#This Row],[Discount_Rate]]</f>
        <v>76.42</v>
      </c>
      <c r="T949">
        <f>Table1[[#This Row],[Gross_Sales]]-Table1[[#This Row],[Discount_Amount]]</f>
        <v>687.78000000000009</v>
      </c>
      <c r="U949">
        <f>VLOOKUP(Table1[[#This Row],[Category]],REF_Cost!$A$1:$B$6,2,FALSE)*Table1[[#This Row],[Quantity]]</f>
        <v>160</v>
      </c>
      <c r="V949">
        <f>Table1[[#This Row],[Net_Sales]]-Table1[[#This Row],[Total_Cost]]</f>
        <v>527.78000000000009</v>
      </c>
      <c r="W949" t="str">
        <f>TEXT(Table1[[#This Row],[Order_Date]],"mmm")</f>
        <v>Mar</v>
      </c>
      <c r="X949">
        <f>ROUNDUP(MONTH(Table1[[#This Row],[Order_Date]])/3,0)</f>
        <v>1</v>
      </c>
      <c r="Y949">
        <f>YEAR(Table1[[#This Row],[Order_Date]])</f>
        <v>2024</v>
      </c>
    </row>
    <row r="950" spans="1:25" x14ac:dyDescent="0.25">
      <c r="A950" t="s">
        <v>3860</v>
      </c>
      <c r="B950" t="s">
        <v>3861</v>
      </c>
      <c r="C950" t="s">
        <v>3862</v>
      </c>
      <c r="D950" t="s">
        <v>3863</v>
      </c>
      <c r="E950" t="s">
        <v>149</v>
      </c>
      <c r="F950" t="s">
        <v>49</v>
      </c>
      <c r="G950" t="s">
        <v>286</v>
      </c>
      <c r="H950" t="s">
        <v>42</v>
      </c>
      <c r="I950" t="s">
        <v>33</v>
      </c>
      <c r="J950" t="s">
        <v>126</v>
      </c>
      <c r="K950">
        <v>9</v>
      </c>
      <c r="L950">
        <v>1233.0999999999999</v>
      </c>
      <c r="M950" s="3">
        <v>0.05</v>
      </c>
      <c r="N950" t="str">
        <f>VLOOKUP(Table1[[#This Row],[Country]],REF_Country!$A$1:$D$11,2,FALSE)</f>
        <v>East Asia</v>
      </c>
      <c r="O950" t="str">
        <f>VLOOKUP(Table1[[#This Row],[Country]],REF_Country!$A$1:$D$11,3,FALSE)</f>
        <v>JP</v>
      </c>
      <c r="P950">
        <f>VLOOKUP(Table1[[#This Row],[Country]],REF_Country!$A$1:$D$11,4,FALSE)</f>
        <v>0.1</v>
      </c>
      <c r="Q950">
        <f>VLOOKUP(Table1[[#This Row],[Category]],REF_Target!$A$1:$E$6,2,FALSE)</f>
        <v>35000</v>
      </c>
      <c r="R950">
        <f>Table1[[#This Row],[Quantity]]*Table1[[#This Row],[Unit_Price]]</f>
        <v>11097.9</v>
      </c>
      <c r="S950">
        <f>Table1[[#This Row],[Gross_Sales]]*Table1[[#This Row],[Discount_Rate]]</f>
        <v>554.89499999999998</v>
      </c>
      <c r="T950">
        <f>Table1[[#This Row],[Gross_Sales]]-Table1[[#This Row],[Discount_Amount]]</f>
        <v>10543.004999999999</v>
      </c>
      <c r="U950">
        <f>VLOOKUP(Table1[[#This Row],[Category]],REF_Cost!$A$1:$B$6,2,FALSE)*Table1[[#This Row],[Quantity]]</f>
        <v>1350</v>
      </c>
      <c r="V950">
        <f>Table1[[#This Row],[Net_Sales]]-Table1[[#This Row],[Total_Cost]]</f>
        <v>9193.0049999999992</v>
      </c>
      <c r="W950" t="str">
        <f>TEXT(Table1[[#This Row],[Order_Date]],"mmm")</f>
        <v>Jan</v>
      </c>
      <c r="X950">
        <f>ROUNDUP(MONTH(Table1[[#This Row],[Order_Date]])/3,0)</f>
        <v>1</v>
      </c>
      <c r="Y950">
        <f>YEAR(Table1[[#This Row],[Order_Date]])</f>
        <v>2024</v>
      </c>
    </row>
    <row r="951" spans="1:25" x14ac:dyDescent="0.25">
      <c r="A951" t="s">
        <v>3864</v>
      </c>
      <c r="B951" t="s">
        <v>3865</v>
      </c>
      <c r="C951" t="s">
        <v>3866</v>
      </c>
      <c r="D951" t="s">
        <v>3867</v>
      </c>
      <c r="E951" t="s">
        <v>48</v>
      </c>
      <c r="F951" t="s">
        <v>30</v>
      </c>
      <c r="G951" t="s">
        <v>31</v>
      </c>
      <c r="H951" t="s">
        <v>42</v>
      </c>
      <c r="I951" t="s">
        <v>96</v>
      </c>
      <c r="J951" t="s">
        <v>59</v>
      </c>
      <c r="K951">
        <v>9</v>
      </c>
      <c r="L951">
        <v>268.60000000000002</v>
      </c>
      <c r="M951" s="3">
        <v>0</v>
      </c>
      <c r="N951" t="str">
        <f>VLOOKUP(Table1[[#This Row],[Country]],REF_Country!$A$1:$D$11,2,FALSE)</f>
        <v>Southeast Asia</v>
      </c>
      <c r="O951" t="str">
        <f>VLOOKUP(Table1[[#This Row],[Country]],REF_Country!$A$1:$D$11,3,FALSE)</f>
        <v>SG</v>
      </c>
      <c r="P951">
        <f>VLOOKUP(Table1[[#This Row],[Country]],REF_Country!$A$1:$D$11,4,FALSE)</f>
        <v>7.0000000000000007E-2</v>
      </c>
      <c r="Q951">
        <f>VLOOKUP(Table1[[#This Row],[Category]],REF_Target!$A$1:$E$6,2,FALSE)</f>
        <v>40000</v>
      </c>
      <c r="R951">
        <f>Table1[[#This Row],[Quantity]]*Table1[[#This Row],[Unit_Price]]</f>
        <v>2417.4</v>
      </c>
      <c r="S951">
        <f>Table1[[#This Row],[Gross_Sales]]*Table1[[#This Row],[Discount_Rate]]</f>
        <v>0</v>
      </c>
      <c r="T951">
        <f>Table1[[#This Row],[Gross_Sales]]-Table1[[#This Row],[Discount_Amount]]</f>
        <v>2417.4</v>
      </c>
      <c r="U951">
        <f>VLOOKUP(Table1[[#This Row],[Category]],REF_Cost!$A$1:$B$6,2,FALSE)*Table1[[#This Row],[Quantity]]</f>
        <v>1080</v>
      </c>
      <c r="V951">
        <f>Table1[[#This Row],[Net_Sales]]-Table1[[#This Row],[Total_Cost]]</f>
        <v>1337.4</v>
      </c>
      <c r="W951" t="str">
        <f>TEXT(Table1[[#This Row],[Order_Date]],"mmm")</f>
        <v>Mar</v>
      </c>
      <c r="X951">
        <f>ROUNDUP(MONTH(Table1[[#This Row],[Order_Date]])/3,0)</f>
        <v>1</v>
      </c>
      <c r="Y951">
        <f>YEAR(Table1[[#This Row],[Order_Date]])</f>
        <v>2024</v>
      </c>
    </row>
    <row r="952" spans="1:25" x14ac:dyDescent="0.25">
      <c r="A952" t="s">
        <v>3868</v>
      </c>
      <c r="B952" t="s">
        <v>3869</v>
      </c>
      <c r="C952" t="s">
        <v>3870</v>
      </c>
      <c r="D952" t="s">
        <v>3871</v>
      </c>
      <c r="E952" t="s">
        <v>200</v>
      </c>
      <c r="F952" t="s">
        <v>84</v>
      </c>
      <c r="G952" t="s">
        <v>412</v>
      </c>
      <c r="H952" t="s">
        <v>42</v>
      </c>
      <c r="I952" t="s">
        <v>96</v>
      </c>
      <c r="J952" t="s">
        <v>73</v>
      </c>
      <c r="K952">
        <v>2</v>
      </c>
      <c r="L952">
        <v>595.91999999999996</v>
      </c>
      <c r="M952" s="3">
        <v>0.1</v>
      </c>
      <c r="N952" t="str">
        <f>VLOOKUP(Table1[[#This Row],[Country]],REF_Country!$A$1:$D$11,2,FALSE)</f>
        <v>East Asia</v>
      </c>
      <c r="O952" t="str">
        <f>VLOOKUP(Table1[[#This Row],[Country]],REF_Country!$A$1:$D$11,3,FALSE)</f>
        <v>KR</v>
      </c>
      <c r="P952">
        <f>VLOOKUP(Table1[[#This Row],[Country]],REF_Country!$A$1:$D$11,4,FALSE)</f>
        <v>0.1</v>
      </c>
      <c r="Q952">
        <f>VLOOKUP(Table1[[#This Row],[Category]],REF_Target!$A$1:$E$6,2,FALSE)</f>
        <v>30000</v>
      </c>
      <c r="R952">
        <f>Table1[[#This Row],[Quantity]]*Table1[[#This Row],[Unit_Price]]</f>
        <v>1191.8399999999999</v>
      </c>
      <c r="S952">
        <f>Table1[[#This Row],[Gross_Sales]]*Table1[[#This Row],[Discount_Rate]]</f>
        <v>119.184</v>
      </c>
      <c r="T952">
        <f>Table1[[#This Row],[Gross_Sales]]-Table1[[#This Row],[Discount_Amount]]</f>
        <v>1072.6559999999999</v>
      </c>
      <c r="U952">
        <f>VLOOKUP(Table1[[#This Row],[Category]],REF_Cost!$A$1:$B$6,2,FALSE)*Table1[[#This Row],[Quantity]]</f>
        <v>400</v>
      </c>
      <c r="V952">
        <f>Table1[[#This Row],[Net_Sales]]-Table1[[#This Row],[Total_Cost]]</f>
        <v>672.65599999999995</v>
      </c>
      <c r="W952" t="str">
        <f>TEXT(Table1[[#This Row],[Order_Date]],"mmm")</f>
        <v>Dec</v>
      </c>
      <c r="X952">
        <f>ROUNDUP(MONTH(Table1[[#This Row],[Order_Date]])/3,0)</f>
        <v>4</v>
      </c>
      <c r="Y952">
        <f>YEAR(Table1[[#This Row],[Order_Date]])</f>
        <v>2024</v>
      </c>
    </row>
    <row r="953" spans="1:25" x14ac:dyDescent="0.25">
      <c r="A953" t="s">
        <v>3872</v>
      </c>
      <c r="B953" t="s">
        <v>3873</v>
      </c>
      <c r="C953" t="s">
        <v>3874</v>
      </c>
      <c r="D953" t="s">
        <v>3875</v>
      </c>
      <c r="E953" t="s">
        <v>83</v>
      </c>
      <c r="F953" t="s">
        <v>49</v>
      </c>
      <c r="G953" t="s">
        <v>117</v>
      </c>
      <c r="H953" t="s">
        <v>42</v>
      </c>
      <c r="I953" t="s">
        <v>51</v>
      </c>
      <c r="J953" t="s">
        <v>59</v>
      </c>
      <c r="K953">
        <v>1</v>
      </c>
      <c r="L953">
        <v>877.1</v>
      </c>
      <c r="M953" s="3">
        <v>0.2</v>
      </c>
      <c r="N953" t="str">
        <f>VLOOKUP(Table1[[#This Row],[Country]],REF_Country!$A$1:$D$11,2,FALSE)</f>
        <v>South Asia</v>
      </c>
      <c r="O953" t="str">
        <f>VLOOKUP(Table1[[#This Row],[Country]],REF_Country!$A$1:$D$11,3,FALSE)</f>
        <v>IN</v>
      </c>
      <c r="P953">
        <f>VLOOKUP(Table1[[#This Row],[Country]],REF_Country!$A$1:$D$11,4,FALSE)</f>
        <v>0.18</v>
      </c>
      <c r="Q953">
        <f>VLOOKUP(Table1[[#This Row],[Category]],REF_Target!$A$1:$E$6,2,FALSE)</f>
        <v>35000</v>
      </c>
      <c r="R953">
        <f>Table1[[#This Row],[Quantity]]*Table1[[#This Row],[Unit_Price]]</f>
        <v>877.1</v>
      </c>
      <c r="S953">
        <f>Table1[[#This Row],[Gross_Sales]]*Table1[[#This Row],[Discount_Rate]]</f>
        <v>175.42000000000002</v>
      </c>
      <c r="T953">
        <f>Table1[[#This Row],[Gross_Sales]]-Table1[[#This Row],[Discount_Amount]]</f>
        <v>701.68000000000006</v>
      </c>
      <c r="U953">
        <f>VLOOKUP(Table1[[#This Row],[Category]],REF_Cost!$A$1:$B$6,2,FALSE)*Table1[[#This Row],[Quantity]]</f>
        <v>150</v>
      </c>
      <c r="V953">
        <f>Table1[[#This Row],[Net_Sales]]-Table1[[#This Row],[Total_Cost]]</f>
        <v>551.68000000000006</v>
      </c>
      <c r="W953" t="str">
        <f>TEXT(Table1[[#This Row],[Order_Date]],"mmm")</f>
        <v>May</v>
      </c>
      <c r="X953">
        <f>ROUNDUP(MONTH(Table1[[#This Row],[Order_Date]])/3,0)</f>
        <v>2</v>
      </c>
      <c r="Y953">
        <f>YEAR(Table1[[#This Row],[Order_Date]])</f>
        <v>2024</v>
      </c>
    </row>
    <row r="954" spans="1:25" x14ac:dyDescent="0.25">
      <c r="A954" t="s">
        <v>3876</v>
      </c>
      <c r="B954" t="s">
        <v>3877</v>
      </c>
      <c r="C954" t="s">
        <v>3878</v>
      </c>
      <c r="D954" t="s">
        <v>3879</v>
      </c>
      <c r="E954" t="s">
        <v>29</v>
      </c>
      <c r="F954" t="s">
        <v>56</v>
      </c>
      <c r="G954" t="s">
        <v>95</v>
      </c>
      <c r="H954" t="s">
        <v>58</v>
      </c>
      <c r="I954" t="s">
        <v>33</v>
      </c>
      <c r="J954" t="s">
        <v>34</v>
      </c>
      <c r="K954">
        <v>9</v>
      </c>
      <c r="L954">
        <v>546.26</v>
      </c>
      <c r="M954" s="3">
        <v>0</v>
      </c>
      <c r="N954" t="str">
        <f>VLOOKUP(Table1[[#This Row],[Country]],REF_Country!$A$1:$D$11,2,FALSE)</f>
        <v>Southeast Asia</v>
      </c>
      <c r="O954" t="str">
        <f>VLOOKUP(Table1[[#This Row],[Country]],REF_Country!$A$1:$D$11,3,FALSE)</f>
        <v>VN</v>
      </c>
      <c r="P954">
        <f>VLOOKUP(Table1[[#This Row],[Country]],REF_Country!$A$1:$D$11,4,FALSE)</f>
        <v>0.1</v>
      </c>
      <c r="Q954">
        <f>VLOOKUP(Table1[[#This Row],[Category]],REF_Target!$A$1:$E$6,2,FALSE)</f>
        <v>50000</v>
      </c>
      <c r="R954">
        <f>Table1[[#This Row],[Quantity]]*Table1[[#This Row],[Unit_Price]]</f>
        <v>4916.34</v>
      </c>
      <c r="S954">
        <f>Table1[[#This Row],[Gross_Sales]]*Table1[[#This Row],[Discount_Rate]]</f>
        <v>0</v>
      </c>
      <c r="T954">
        <f>Table1[[#This Row],[Gross_Sales]]-Table1[[#This Row],[Discount_Amount]]</f>
        <v>4916.34</v>
      </c>
      <c r="U954">
        <f>VLOOKUP(Table1[[#This Row],[Category]],REF_Cost!$A$1:$B$6,2,FALSE)*Table1[[#This Row],[Quantity]]</f>
        <v>4050</v>
      </c>
      <c r="V954">
        <f>Table1[[#This Row],[Net_Sales]]-Table1[[#This Row],[Total_Cost]]</f>
        <v>866.34000000000015</v>
      </c>
      <c r="W954" t="str">
        <f>TEXT(Table1[[#This Row],[Order_Date]],"mmm")</f>
        <v>Aug</v>
      </c>
      <c r="X954">
        <f>ROUNDUP(MONTH(Table1[[#This Row],[Order_Date]])/3,0)</f>
        <v>3</v>
      </c>
      <c r="Y954">
        <f>YEAR(Table1[[#This Row],[Order_Date]])</f>
        <v>2024</v>
      </c>
    </row>
    <row r="955" spans="1:25" x14ac:dyDescent="0.25">
      <c r="A955" t="s">
        <v>3880</v>
      </c>
      <c r="B955" t="s">
        <v>3881</v>
      </c>
      <c r="C955" t="s">
        <v>3882</v>
      </c>
      <c r="D955" t="s">
        <v>3883</v>
      </c>
      <c r="E955" t="s">
        <v>48</v>
      </c>
      <c r="F955" t="s">
        <v>84</v>
      </c>
      <c r="G955" t="s">
        <v>90</v>
      </c>
      <c r="H955" t="s">
        <v>58</v>
      </c>
      <c r="I955" t="s">
        <v>96</v>
      </c>
      <c r="J955" t="s">
        <v>126</v>
      </c>
      <c r="K955">
        <v>3</v>
      </c>
      <c r="L955">
        <v>518.85</v>
      </c>
      <c r="M955" s="3">
        <v>0.05</v>
      </c>
      <c r="N955" t="str">
        <f>VLOOKUP(Table1[[#This Row],[Country]],REF_Country!$A$1:$D$11,2,FALSE)</f>
        <v>Southeast Asia</v>
      </c>
      <c r="O955" t="str">
        <f>VLOOKUP(Table1[[#This Row],[Country]],REF_Country!$A$1:$D$11,3,FALSE)</f>
        <v>SG</v>
      </c>
      <c r="P955">
        <f>VLOOKUP(Table1[[#This Row],[Country]],REF_Country!$A$1:$D$11,4,FALSE)</f>
        <v>7.0000000000000007E-2</v>
      </c>
      <c r="Q955">
        <f>VLOOKUP(Table1[[#This Row],[Category]],REF_Target!$A$1:$E$6,2,FALSE)</f>
        <v>30000</v>
      </c>
      <c r="R955">
        <f>Table1[[#This Row],[Quantity]]*Table1[[#This Row],[Unit_Price]]</f>
        <v>1556.5500000000002</v>
      </c>
      <c r="S955">
        <f>Table1[[#This Row],[Gross_Sales]]*Table1[[#This Row],[Discount_Rate]]</f>
        <v>77.827500000000015</v>
      </c>
      <c r="T955">
        <f>Table1[[#This Row],[Gross_Sales]]-Table1[[#This Row],[Discount_Amount]]</f>
        <v>1478.7225000000001</v>
      </c>
      <c r="U955">
        <f>VLOOKUP(Table1[[#This Row],[Category]],REF_Cost!$A$1:$B$6,2,FALSE)*Table1[[#This Row],[Quantity]]</f>
        <v>600</v>
      </c>
      <c r="V955">
        <f>Table1[[#This Row],[Net_Sales]]-Table1[[#This Row],[Total_Cost]]</f>
        <v>878.72250000000008</v>
      </c>
      <c r="W955" t="str">
        <f>TEXT(Table1[[#This Row],[Order_Date]],"mmm")</f>
        <v>Feb</v>
      </c>
      <c r="X955">
        <f>ROUNDUP(MONTH(Table1[[#This Row],[Order_Date]])/3,0)</f>
        <v>1</v>
      </c>
      <c r="Y955">
        <f>YEAR(Table1[[#This Row],[Order_Date]])</f>
        <v>2024</v>
      </c>
    </row>
    <row r="956" spans="1:25" x14ac:dyDescent="0.25">
      <c r="A956" t="s">
        <v>3884</v>
      </c>
      <c r="B956" t="s">
        <v>3885</v>
      </c>
      <c r="C956" t="s">
        <v>3886</v>
      </c>
      <c r="D956" t="s">
        <v>3887</v>
      </c>
      <c r="E956" t="s">
        <v>83</v>
      </c>
      <c r="F956" t="s">
        <v>30</v>
      </c>
      <c r="G956" t="s">
        <v>139</v>
      </c>
      <c r="H956" t="s">
        <v>58</v>
      </c>
      <c r="I956" t="s">
        <v>43</v>
      </c>
      <c r="J956" t="s">
        <v>59</v>
      </c>
      <c r="K956">
        <v>9</v>
      </c>
      <c r="L956">
        <v>1067.1199999999999</v>
      </c>
      <c r="M956" s="3">
        <v>0.2</v>
      </c>
      <c r="N956" t="str">
        <f>VLOOKUP(Table1[[#This Row],[Country]],REF_Country!$A$1:$D$11,2,FALSE)</f>
        <v>South Asia</v>
      </c>
      <c r="O956" t="str">
        <f>VLOOKUP(Table1[[#This Row],[Country]],REF_Country!$A$1:$D$11,3,FALSE)</f>
        <v>IN</v>
      </c>
      <c r="P956">
        <f>VLOOKUP(Table1[[#This Row],[Country]],REF_Country!$A$1:$D$11,4,FALSE)</f>
        <v>0.18</v>
      </c>
      <c r="Q956">
        <f>VLOOKUP(Table1[[#This Row],[Category]],REF_Target!$A$1:$E$6,2,FALSE)</f>
        <v>40000</v>
      </c>
      <c r="R956">
        <f>Table1[[#This Row],[Quantity]]*Table1[[#This Row],[Unit_Price]]</f>
        <v>9604.0799999999981</v>
      </c>
      <c r="S956">
        <f>Table1[[#This Row],[Gross_Sales]]*Table1[[#This Row],[Discount_Rate]]</f>
        <v>1920.8159999999998</v>
      </c>
      <c r="T956">
        <f>Table1[[#This Row],[Gross_Sales]]-Table1[[#This Row],[Discount_Amount]]</f>
        <v>7683.2639999999983</v>
      </c>
      <c r="U956">
        <f>VLOOKUP(Table1[[#This Row],[Category]],REF_Cost!$A$1:$B$6,2,FALSE)*Table1[[#This Row],[Quantity]]</f>
        <v>1080</v>
      </c>
      <c r="V956">
        <f>Table1[[#This Row],[Net_Sales]]-Table1[[#This Row],[Total_Cost]]</f>
        <v>6603.2639999999983</v>
      </c>
      <c r="W956" t="str">
        <f>TEXT(Table1[[#This Row],[Order_Date]],"mmm")</f>
        <v>Sep</v>
      </c>
      <c r="X956">
        <f>ROUNDUP(MONTH(Table1[[#This Row],[Order_Date]])/3,0)</f>
        <v>3</v>
      </c>
      <c r="Y956">
        <f>YEAR(Table1[[#This Row],[Order_Date]])</f>
        <v>2024</v>
      </c>
    </row>
    <row r="957" spans="1:25" x14ac:dyDescent="0.25">
      <c r="A957" t="s">
        <v>3888</v>
      </c>
      <c r="B957" t="s">
        <v>3889</v>
      </c>
      <c r="C957" t="s">
        <v>3890</v>
      </c>
      <c r="D957" t="s">
        <v>3891</v>
      </c>
      <c r="E957" t="s">
        <v>149</v>
      </c>
      <c r="F957" t="s">
        <v>56</v>
      </c>
      <c r="G957" t="s">
        <v>101</v>
      </c>
      <c r="H957" t="s">
        <v>32</v>
      </c>
      <c r="I957" t="s">
        <v>51</v>
      </c>
      <c r="J957" t="s">
        <v>34</v>
      </c>
      <c r="K957">
        <v>3</v>
      </c>
      <c r="L957">
        <v>58.84</v>
      </c>
      <c r="M957" s="3">
        <v>0</v>
      </c>
      <c r="N957" t="str">
        <f>VLOOKUP(Table1[[#This Row],[Country]],REF_Country!$A$1:$D$11,2,FALSE)</f>
        <v>East Asia</v>
      </c>
      <c r="O957" t="str">
        <f>VLOOKUP(Table1[[#This Row],[Country]],REF_Country!$A$1:$D$11,3,FALSE)</f>
        <v>JP</v>
      </c>
      <c r="P957">
        <f>VLOOKUP(Table1[[#This Row],[Country]],REF_Country!$A$1:$D$11,4,FALSE)</f>
        <v>0.1</v>
      </c>
      <c r="Q957">
        <f>VLOOKUP(Table1[[#This Row],[Category]],REF_Target!$A$1:$E$6,2,FALSE)</f>
        <v>50000</v>
      </c>
      <c r="R957">
        <f>Table1[[#This Row],[Quantity]]*Table1[[#This Row],[Unit_Price]]</f>
        <v>176.52</v>
      </c>
      <c r="S957">
        <f>Table1[[#This Row],[Gross_Sales]]*Table1[[#This Row],[Discount_Rate]]</f>
        <v>0</v>
      </c>
      <c r="T957">
        <f>Table1[[#This Row],[Gross_Sales]]-Table1[[#This Row],[Discount_Amount]]</f>
        <v>176.52</v>
      </c>
      <c r="U957">
        <f>VLOOKUP(Table1[[#This Row],[Category]],REF_Cost!$A$1:$B$6,2,FALSE)*Table1[[#This Row],[Quantity]]</f>
        <v>1350</v>
      </c>
      <c r="V957">
        <f>Table1[[#This Row],[Net_Sales]]-Table1[[#This Row],[Total_Cost]]</f>
        <v>-1173.48</v>
      </c>
      <c r="W957" t="str">
        <f>TEXT(Table1[[#This Row],[Order_Date]],"mmm")</f>
        <v>Jun</v>
      </c>
      <c r="X957">
        <f>ROUNDUP(MONTH(Table1[[#This Row],[Order_Date]])/3,0)</f>
        <v>2</v>
      </c>
      <c r="Y957">
        <f>YEAR(Table1[[#This Row],[Order_Date]])</f>
        <v>2024</v>
      </c>
    </row>
    <row r="958" spans="1:25" x14ac:dyDescent="0.25">
      <c r="A958" t="s">
        <v>3892</v>
      </c>
      <c r="B958" t="s">
        <v>3893</v>
      </c>
      <c r="C958" t="s">
        <v>3894</v>
      </c>
      <c r="D958" t="s">
        <v>3895</v>
      </c>
      <c r="E958" t="s">
        <v>39</v>
      </c>
      <c r="F958" t="s">
        <v>30</v>
      </c>
      <c r="G958" t="s">
        <v>269</v>
      </c>
      <c r="H958" t="s">
        <v>42</v>
      </c>
      <c r="I958" t="s">
        <v>96</v>
      </c>
      <c r="J958" t="s">
        <v>126</v>
      </c>
      <c r="K958">
        <v>3</v>
      </c>
      <c r="L958">
        <v>1351.19</v>
      </c>
      <c r="M958" s="3">
        <v>0.2</v>
      </c>
      <c r="N958" t="str">
        <f>VLOOKUP(Table1[[#This Row],[Country]],REF_Country!$A$1:$D$11,2,FALSE)</f>
        <v>Southeast Asia</v>
      </c>
      <c r="O958" t="str">
        <f>VLOOKUP(Table1[[#This Row],[Country]],REF_Country!$A$1:$D$11,3,FALSE)</f>
        <v>TH</v>
      </c>
      <c r="P958">
        <f>VLOOKUP(Table1[[#This Row],[Country]],REF_Country!$A$1:$D$11,4,FALSE)</f>
        <v>7.0000000000000007E-2</v>
      </c>
      <c r="Q958">
        <f>VLOOKUP(Table1[[#This Row],[Category]],REF_Target!$A$1:$E$6,2,FALSE)</f>
        <v>40000</v>
      </c>
      <c r="R958">
        <f>Table1[[#This Row],[Quantity]]*Table1[[#This Row],[Unit_Price]]</f>
        <v>4053.57</v>
      </c>
      <c r="S958">
        <f>Table1[[#This Row],[Gross_Sales]]*Table1[[#This Row],[Discount_Rate]]</f>
        <v>810.71400000000006</v>
      </c>
      <c r="T958">
        <f>Table1[[#This Row],[Gross_Sales]]-Table1[[#This Row],[Discount_Amount]]</f>
        <v>3242.8560000000002</v>
      </c>
      <c r="U958">
        <f>VLOOKUP(Table1[[#This Row],[Category]],REF_Cost!$A$1:$B$6,2,FALSE)*Table1[[#This Row],[Quantity]]</f>
        <v>360</v>
      </c>
      <c r="V958">
        <f>Table1[[#This Row],[Net_Sales]]-Table1[[#This Row],[Total_Cost]]</f>
        <v>2882.8560000000002</v>
      </c>
      <c r="W958" t="str">
        <f>TEXT(Table1[[#This Row],[Order_Date]],"mmm")</f>
        <v>Aug</v>
      </c>
      <c r="X958">
        <f>ROUNDUP(MONTH(Table1[[#This Row],[Order_Date]])/3,0)</f>
        <v>3</v>
      </c>
      <c r="Y958">
        <f>YEAR(Table1[[#This Row],[Order_Date]])</f>
        <v>2024</v>
      </c>
    </row>
    <row r="959" spans="1:25" x14ac:dyDescent="0.25">
      <c r="A959" t="s">
        <v>3896</v>
      </c>
      <c r="B959" t="s">
        <v>3897</v>
      </c>
      <c r="C959" t="s">
        <v>3898</v>
      </c>
      <c r="D959" t="s">
        <v>3899</v>
      </c>
      <c r="E959" t="s">
        <v>64</v>
      </c>
      <c r="F959" t="s">
        <v>56</v>
      </c>
      <c r="G959" t="s">
        <v>57</v>
      </c>
      <c r="H959" t="s">
        <v>32</v>
      </c>
      <c r="I959" t="s">
        <v>43</v>
      </c>
      <c r="J959" t="s">
        <v>59</v>
      </c>
      <c r="K959">
        <v>10</v>
      </c>
      <c r="L959">
        <v>1148.58</v>
      </c>
      <c r="M959" s="3">
        <v>0.2</v>
      </c>
      <c r="N959" t="str">
        <f>VLOOKUP(Table1[[#This Row],[Country]],REF_Country!$A$1:$D$11,2,FALSE)</f>
        <v>Southeast Asia</v>
      </c>
      <c r="O959" t="str">
        <f>VLOOKUP(Table1[[#This Row],[Country]],REF_Country!$A$1:$D$11,3,FALSE)</f>
        <v>ID</v>
      </c>
      <c r="P959">
        <f>VLOOKUP(Table1[[#This Row],[Country]],REF_Country!$A$1:$D$11,4,FALSE)</f>
        <v>0.11</v>
      </c>
      <c r="Q959">
        <f>VLOOKUP(Table1[[#This Row],[Category]],REF_Target!$A$1:$E$6,2,FALSE)</f>
        <v>50000</v>
      </c>
      <c r="R959">
        <f>Table1[[#This Row],[Quantity]]*Table1[[#This Row],[Unit_Price]]</f>
        <v>11485.8</v>
      </c>
      <c r="S959">
        <f>Table1[[#This Row],[Gross_Sales]]*Table1[[#This Row],[Discount_Rate]]</f>
        <v>2297.16</v>
      </c>
      <c r="T959">
        <f>Table1[[#This Row],[Gross_Sales]]-Table1[[#This Row],[Discount_Amount]]</f>
        <v>9188.64</v>
      </c>
      <c r="U959">
        <f>VLOOKUP(Table1[[#This Row],[Category]],REF_Cost!$A$1:$B$6,2,FALSE)*Table1[[#This Row],[Quantity]]</f>
        <v>4500</v>
      </c>
      <c r="V959">
        <f>Table1[[#This Row],[Net_Sales]]-Table1[[#This Row],[Total_Cost]]</f>
        <v>4688.6399999999994</v>
      </c>
      <c r="W959" t="str">
        <f>TEXT(Table1[[#This Row],[Order_Date]],"mmm")</f>
        <v>Nov</v>
      </c>
      <c r="X959">
        <f>ROUNDUP(MONTH(Table1[[#This Row],[Order_Date]])/3,0)</f>
        <v>4</v>
      </c>
      <c r="Y959">
        <f>YEAR(Table1[[#This Row],[Order_Date]])</f>
        <v>2024</v>
      </c>
    </row>
    <row r="960" spans="1:25" x14ac:dyDescent="0.25">
      <c r="A960" t="s">
        <v>3900</v>
      </c>
      <c r="B960" t="s">
        <v>3901</v>
      </c>
      <c r="C960" t="s">
        <v>3902</v>
      </c>
      <c r="D960" t="s">
        <v>3903</v>
      </c>
      <c r="E960" t="s">
        <v>48</v>
      </c>
      <c r="F960" t="s">
        <v>40</v>
      </c>
      <c r="G960" t="s">
        <v>41</v>
      </c>
      <c r="H960" t="s">
        <v>42</v>
      </c>
      <c r="I960" t="s">
        <v>66</v>
      </c>
      <c r="J960" t="s">
        <v>73</v>
      </c>
      <c r="K960">
        <v>5</v>
      </c>
      <c r="L960">
        <v>311.61</v>
      </c>
      <c r="M960" s="3">
        <v>0.1</v>
      </c>
      <c r="N960" t="str">
        <f>VLOOKUP(Table1[[#This Row],[Country]],REF_Country!$A$1:$D$11,2,FALSE)</f>
        <v>Southeast Asia</v>
      </c>
      <c r="O960" t="str">
        <f>VLOOKUP(Table1[[#This Row],[Country]],REF_Country!$A$1:$D$11,3,FALSE)</f>
        <v>SG</v>
      </c>
      <c r="P960">
        <f>VLOOKUP(Table1[[#This Row],[Country]],REF_Country!$A$1:$D$11,4,FALSE)</f>
        <v>7.0000000000000007E-2</v>
      </c>
      <c r="Q960">
        <f>VLOOKUP(Table1[[#This Row],[Category]],REF_Target!$A$1:$E$6,2,FALSE)</f>
        <v>45000</v>
      </c>
      <c r="R960">
        <f>Table1[[#This Row],[Quantity]]*Table1[[#This Row],[Unit_Price]]</f>
        <v>1558.0500000000002</v>
      </c>
      <c r="S960">
        <f>Table1[[#This Row],[Gross_Sales]]*Table1[[#This Row],[Discount_Rate]]</f>
        <v>155.80500000000004</v>
      </c>
      <c r="T960">
        <f>Table1[[#This Row],[Gross_Sales]]-Table1[[#This Row],[Discount_Amount]]</f>
        <v>1402.2450000000001</v>
      </c>
      <c r="U960">
        <f>VLOOKUP(Table1[[#This Row],[Category]],REF_Cost!$A$1:$B$6,2,FALSE)*Table1[[#This Row],[Quantity]]</f>
        <v>400</v>
      </c>
      <c r="V960">
        <f>Table1[[#This Row],[Net_Sales]]-Table1[[#This Row],[Total_Cost]]</f>
        <v>1002.2450000000001</v>
      </c>
      <c r="W960" t="str">
        <f>TEXT(Table1[[#This Row],[Order_Date]],"mmm")</f>
        <v>Dec</v>
      </c>
      <c r="X960">
        <f>ROUNDUP(MONTH(Table1[[#This Row],[Order_Date]])/3,0)</f>
        <v>4</v>
      </c>
      <c r="Y960">
        <f>YEAR(Table1[[#This Row],[Order_Date]])</f>
        <v>2024</v>
      </c>
    </row>
    <row r="961" spans="1:25" x14ac:dyDescent="0.25">
      <c r="A961" t="s">
        <v>3904</v>
      </c>
      <c r="B961" t="s">
        <v>3905</v>
      </c>
      <c r="C961" t="s">
        <v>3906</v>
      </c>
      <c r="D961" t="s">
        <v>3907</v>
      </c>
      <c r="E961" t="s">
        <v>78</v>
      </c>
      <c r="F961" t="s">
        <v>30</v>
      </c>
      <c r="G961" t="s">
        <v>269</v>
      </c>
      <c r="H961" t="s">
        <v>32</v>
      </c>
      <c r="I961" t="s">
        <v>43</v>
      </c>
      <c r="J961" t="s">
        <v>126</v>
      </c>
      <c r="K961">
        <v>2</v>
      </c>
      <c r="L961">
        <v>879.43</v>
      </c>
      <c r="M961" s="3">
        <v>0</v>
      </c>
      <c r="N961" t="str">
        <f>VLOOKUP(Table1[[#This Row],[Country]],REF_Country!$A$1:$D$11,2,FALSE)</f>
        <v>Oceania</v>
      </c>
      <c r="O961" t="str">
        <f>VLOOKUP(Table1[[#This Row],[Country]],REF_Country!$A$1:$D$11,3,FALSE)</f>
        <v>AU</v>
      </c>
      <c r="P961">
        <f>VLOOKUP(Table1[[#This Row],[Country]],REF_Country!$A$1:$D$11,4,FALSE)</f>
        <v>0.1</v>
      </c>
      <c r="Q961">
        <f>VLOOKUP(Table1[[#This Row],[Category]],REF_Target!$A$1:$E$6,2,FALSE)</f>
        <v>40000</v>
      </c>
      <c r="R961">
        <f>Table1[[#This Row],[Quantity]]*Table1[[#This Row],[Unit_Price]]</f>
        <v>1758.86</v>
      </c>
      <c r="S961">
        <f>Table1[[#This Row],[Gross_Sales]]*Table1[[#This Row],[Discount_Rate]]</f>
        <v>0</v>
      </c>
      <c r="T961">
        <f>Table1[[#This Row],[Gross_Sales]]-Table1[[#This Row],[Discount_Amount]]</f>
        <v>1758.86</v>
      </c>
      <c r="U961">
        <f>VLOOKUP(Table1[[#This Row],[Category]],REF_Cost!$A$1:$B$6,2,FALSE)*Table1[[#This Row],[Quantity]]</f>
        <v>240</v>
      </c>
      <c r="V961">
        <f>Table1[[#This Row],[Net_Sales]]-Table1[[#This Row],[Total_Cost]]</f>
        <v>1518.86</v>
      </c>
      <c r="W961" t="str">
        <f>TEXT(Table1[[#This Row],[Order_Date]],"mmm")</f>
        <v>Mar</v>
      </c>
      <c r="X961">
        <f>ROUNDUP(MONTH(Table1[[#This Row],[Order_Date]])/3,0)</f>
        <v>1</v>
      </c>
      <c r="Y961">
        <f>YEAR(Table1[[#This Row],[Order_Date]])</f>
        <v>2024</v>
      </c>
    </row>
    <row r="962" spans="1:25" x14ac:dyDescent="0.25">
      <c r="A962" t="s">
        <v>3908</v>
      </c>
      <c r="B962" t="s">
        <v>3909</v>
      </c>
      <c r="C962" t="s">
        <v>3910</v>
      </c>
      <c r="D962" t="s">
        <v>3911</v>
      </c>
      <c r="E962" t="s">
        <v>116</v>
      </c>
      <c r="F962" t="s">
        <v>84</v>
      </c>
      <c r="G962" t="s">
        <v>85</v>
      </c>
      <c r="H962" t="s">
        <v>72</v>
      </c>
      <c r="I962" t="s">
        <v>43</v>
      </c>
      <c r="J962" t="s">
        <v>34</v>
      </c>
      <c r="K962">
        <v>9</v>
      </c>
      <c r="L962">
        <v>1028.31</v>
      </c>
      <c r="M962" s="3">
        <v>0.1</v>
      </c>
      <c r="N962" t="str">
        <f>VLOOKUP(Table1[[#This Row],[Country]],REF_Country!$A$1:$D$11,2,FALSE)</f>
        <v>Southeast Asia</v>
      </c>
      <c r="O962" t="str">
        <f>VLOOKUP(Table1[[#This Row],[Country]],REF_Country!$A$1:$D$11,3,FALSE)</f>
        <v>MY</v>
      </c>
      <c r="P962">
        <f>VLOOKUP(Table1[[#This Row],[Country]],REF_Country!$A$1:$D$11,4,FALSE)</f>
        <v>0.06</v>
      </c>
      <c r="Q962">
        <f>VLOOKUP(Table1[[#This Row],[Category]],REF_Target!$A$1:$E$6,2,FALSE)</f>
        <v>30000</v>
      </c>
      <c r="R962">
        <f>Table1[[#This Row],[Quantity]]*Table1[[#This Row],[Unit_Price]]</f>
        <v>9254.7899999999991</v>
      </c>
      <c r="S962">
        <f>Table1[[#This Row],[Gross_Sales]]*Table1[[#This Row],[Discount_Rate]]</f>
        <v>925.47899999999993</v>
      </c>
      <c r="T962">
        <f>Table1[[#This Row],[Gross_Sales]]-Table1[[#This Row],[Discount_Amount]]</f>
        <v>8329.3109999999997</v>
      </c>
      <c r="U962">
        <f>VLOOKUP(Table1[[#This Row],[Category]],REF_Cost!$A$1:$B$6,2,FALSE)*Table1[[#This Row],[Quantity]]</f>
        <v>1800</v>
      </c>
      <c r="V962">
        <f>Table1[[#This Row],[Net_Sales]]-Table1[[#This Row],[Total_Cost]]</f>
        <v>6529.3109999999997</v>
      </c>
      <c r="W962" t="str">
        <f>TEXT(Table1[[#This Row],[Order_Date]],"mmm")</f>
        <v>Jul</v>
      </c>
      <c r="X962">
        <f>ROUNDUP(MONTH(Table1[[#This Row],[Order_Date]])/3,0)</f>
        <v>3</v>
      </c>
      <c r="Y962">
        <f>YEAR(Table1[[#This Row],[Order_Date]])</f>
        <v>2024</v>
      </c>
    </row>
    <row r="963" spans="1:25" x14ac:dyDescent="0.25">
      <c r="A963" t="s">
        <v>3912</v>
      </c>
      <c r="B963" t="s">
        <v>3913</v>
      </c>
      <c r="C963" t="s">
        <v>3914</v>
      </c>
      <c r="D963" t="s">
        <v>3915</v>
      </c>
      <c r="E963" t="s">
        <v>78</v>
      </c>
      <c r="F963" t="s">
        <v>30</v>
      </c>
      <c r="G963" t="s">
        <v>269</v>
      </c>
      <c r="H963" t="s">
        <v>32</v>
      </c>
      <c r="I963" t="s">
        <v>43</v>
      </c>
      <c r="J963" t="s">
        <v>59</v>
      </c>
      <c r="K963">
        <v>7</v>
      </c>
      <c r="L963">
        <v>666.73</v>
      </c>
      <c r="M963" s="3">
        <v>0</v>
      </c>
      <c r="N963" t="str">
        <f>VLOOKUP(Table1[[#This Row],[Country]],REF_Country!$A$1:$D$11,2,FALSE)</f>
        <v>Oceania</v>
      </c>
      <c r="O963" t="str">
        <f>VLOOKUP(Table1[[#This Row],[Country]],REF_Country!$A$1:$D$11,3,FALSE)</f>
        <v>AU</v>
      </c>
      <c r="P963">
        <f>VLOOKUP(Table1[[#This Row],[Country]],REF_Country!$A$1:$D$11,4,FALSE)</f>
        <v>0.1</v>
      </c>
      <c r="Q963">
        <f>VLOOKUP(Table1[[#This Row],[Category]],REF_Target!$A$1:$E$6,2,FALSE)</f>
        <v>40000</v>
      </c>
      <c r="R963">
        <f>Table1[[#This Row],[Quantity]]*Table1[[#This Row],[Unit_Price]]</f>
        <v>4667.1100000000006</v>
      </c>
      <c r="S963">
        <f>Table1[[#This Row],[Gross_Sales]]*Table1[[#This Row],[Discount_Rate]]</f>
        <v>0</v>
      </c>
      <c r="T963">
        <f>Table1[[#This Row],[Gross_Sales]]-Table1[[#This Row],[Discount_Amount]]</f>
        <v>4667.1100000000006</v>
      </c>
      <c r="U963">
        <f>VLOOKUP(Table1[[#This Row],[Category]],REF_Cost!$A$1:$B$6,2,FALSE)*Table1[[#This Row],[Quantity]]</f>
        <v>840</v>
      </c>
      <c r="V963">
        <f>Table1[[#This Row],[Net_Sales]]-Table1[[#This Row],[Total_Cost]]</f>
        <v>3827.1100000000006</v>
      </c>
      <c r="W963" t="str">
        <f>TEXT(Table1[[#This Row],[Order_Date]],"mmm")</f>
        <v>Jun</v>
      </c>
      <c r="X963">
        <f>ROUNDUP(MONTH(Table1[[#This Row],[Order_Date]])/3,0)</f>
        <v>2</v>
      </c>
      <c r="Y963">
        <f>YEAR(Table1[[#This Row],[Order_Date]])</f>
        <v>2024</v>
      </c>
    </row>
    <row r="964" spans="1:25" x14ac:dyDescent="0.25">
      <c r="A964" t="s">
        <v>3916</v>
      </c>
      <c r="B964" t="s">
        <v>3917</v>
      </c>
      <c r="C964" t="s">
        <v>3918</v>
      </c>
      <c r="D964" t="s">
        <v>3919</v>
      </c>
      <c r="E964" t="s">
        <v>64</v>
      </c>
      <c r="F964" t="s">
        <v>40</v>
      </c>
      <c r="G964" t="s">
        <v>41</v>
      </c>
      <c r="H964" t="s">
        <v>58</v>
      </c>
      <c r="I964" t="s">
        <v>96</v>
      </c>
      <c r="J964" t="s">
        <v>59</v>
      </c>
      <c r="K964">
        <v>4</v>
      </c>
      <c r="L964">
        <v>506.42</v>
      </c>
      <c r="M964" s="3">
        <v>0.05</v>
      </c>
      <c r="N964" t="str">
        <f>VLOOKUP(Table1[[#This Row],[Country]],REF_Country!$A$1:$D$11,2,FALSE)</f>
        <v>Southeast Asia</v>
      </c>
      <c r="O964" t="str">
        <f>VLOOKUP(Table1[[#This Row],[Country]],REF_Country!$A$1:$D$11,3,FALSE)</f>
        <v>ID</v>
      </c>
      <c r="P964">
        <f>VLOOKUP(Table1[[#This Row],[Country]],REF_Country!$A$1:$D$11,4,FALSE)</f>
        <v>0.11</v>
      </c>
      <c r="Q964">
        <f>VLOOKUP(Table1[[#This Row],[Category]],REF_Target!$A$1:$E$6,2,FALSE)</f>
        <v>45000</v>
      </c>
      <c r="R964">
        <f>Table1[[#This Row],[Quantity]]*Table1[[#This Row],[Unit_Price]]</f>
        <v>2025.68</v>
      </c>
      <c r="S964">
        <f>Table1[[#This Row],[Gross_Sales]]*Table1[[#This Row],[Discount_Rate]]</f>
        <v>101.28400000000001</v>
      </c>
      <c r="T964">
        <f>Table1[[#This Row],[Gross_Sales]]-Table1[[#This Row],[Discount_Amount]]</f>
        <v>1924.396</v>
      </c>
      <c r="U964">
        <f>VLOOKUP(Table1[[#This Row],[Category]],REF_Cost!$A$1:$B$6,2,FALSE)*Table1[[#This Row],[Quantity]]</f>
        <v>320</v>
      </c>
      <c r="V964">
        <f>Table1[[#This Row],[Net_Sales]]-Table1[[#This Row],[Total_Cost]]</f>
        <v>1604.396</v>
      </c>
      <c r="W964" t="str">
        <f>TEXT(Table1[[#This Row],[Order_Date]],"mmm")</f>
        <v>Mar</v>
      </c>
      <c r="X964">
        <f>ROUNDUP(MONTH(Table1[[#This Row],[Order_Date]])/3,0)</f>
        <v>1</v>
      </c>
      <c r="Y964">
        <f>YEAR(Table1[[#This Row],[Order_Date]])</f>
        <v>2024</v>
      </c>
    </row>
    <row r="965" spans="1:25" x14ac:dyDescent="0.25">
      <c r="A965" t="s">
        <v>3920</v>
      </c>
      <c r="B965" t="s">
        <v>3921</v>
      </c>
      <c r="C965" t="s">
        <v>3922</v>
      </c>
      <c r="D965" t="s">
        <v>3923</v>
      </c>
      <c r="E965" t="s">
        <v>78</v>
      </c>
      <c r="F965" t="s">
        <v>40</v>
      </c>
      <c r="G965" t="s">
        <v>106</v>
      </c>
      <c r="H965" t="s">
        <v>58</v>
      </c>
      <c r="I965" t="s">
        <v>96</v>
      </c>
      <c r="J965" t="s">
        <v>126</v>
      </c>
      <c r="K965">
        <v>10</v>
      </c>
      <c r="L965">
        <v>1281.99</v>
      </c>
      <c r="M965" s="3">
        <v>0.15</v>
      </c>
      <c r="N965" t="str">
        <f>VLOOKUP(Table1[[#This Row],[Country]],REF_Country!$A$1:$D$11,2,FALSE)</f>
        <v>Oceania</v>
      </c>
      <c r="O965" t="str">
        <f>VLOOKUP(Table1[[#This Row],[Country]],REF_Country!$A$1:$D$11,3,FALSE)</f>
        <v>AU</v>
      </c>
      <c r="P965">
        <f>VLOOKUP(Table1[[#This Row],[Country]],REF_Country!$A$1:$D$11,4,FALSE)</f>
        <v>0.1</v>
      </c>
      <c r="Q965">
        <f>VLOOKUP(Table1[[#This Row],[Category]],REF_Target!$A$1:$E$6,2,FALSE)</f>
        <v>45000</v>
      </c>
      <c r="R965">
        <f>Table1[[#This Row],[Quantity]]*Table1[[#This Row],[Unit_Price]]</f>
        <v>12819.9</v>
      </c>
      <c r="S965">
        <f>Table1[[#This Row],[Gross_Sales]]*Table1[[#This Row],[Discount_Rate]]</f>
        <v>1922.9849999999999</v>
      </c>
      <c r="T965">
        <f>Table1[[#This Row],[Gross_Sales]]-Table1[[#This Row],[Discount_Amount]]</f>
        <v>10896.914999999999</v>
      </c>
      <c r="U965">
        <f>VLOOKUP(Table1[[#This Row],[Category]],REF_Cost!$A$1:$B$6,2,FALSE)*Table1[[#This Row],[Quantity]]</f>
        <v>800</v>
      </c>
      <c r="V965">
        <f>Table1[[#This Row],[Net_Sales]]-Table1[[#This Row],[Total_Cost]]</f>
        <v>10096.914999999999</v>
      </c>
      <c r="W965" t="str">
        <f>TEXT(Table1[[#This Row],[Order_Date]],"mmm")</f>
        <v>Mar</v>
      </c>
      <c r="X965">
        <f>ROUNDUP(MONTH(Table1[[#This Row],[Order_Date]])/3,0)</f>
        <v>1</v>
      </c>
      <c r="Y965">
        <f>YEAR(Table1[[#This Row],[Order_Date]])</f>
        <v>2024</v>
      </c>
    </row>
    <row r="966" spans="1:25" x14ac:dyDescent="0.25">
      <c r="A966" t="s">
        <v>3924</v>
      </c>
      <c r="B966" t="s">
        <v>3925</v>
      </c>
      <c r="C966" t="s">
        <v>3926</v>
      </c>
      <c r="D966" t="s">
        <v>3927</v>
      </c>
      <c r="E966" t="s">
        <v>200</v>
      </c>
      <c r="F966" t="s">
        <v>84</v>
      </c>
      <c r="G966" t="s">
        <v>205</v>
      </c>
      <c r="H966" t="s">
        <v>72</v>
      </c>
      <c r="I966" t="s">
        <v>66</v>
      </c>
      <c r="J966" t="s">
        <v>126</v>
      </c>
      <c r="K966">
        <v>7</v>
      </c>
      <c r="L966">
        <v>62.93</v>
      </c>
      <c r="M966" s="3">
        <v>0.05</v>
      </c>
      <c r="N966" t="str">
        <f>VLOOKUP(Table1[[#This Row],[Country]],REF_Country!$A$1:$D$11,2,FALSE)</f>
        <v>East Asia</v>
      </c>
      <c r="O966" t="str">
        <f>VLOOKUP(Table1[[#This Row],[Country]],REF_Country!$A$1:$D$11,3,FALSE)</f>
        <v>KR</v>
      </c>
      <c r="P966">
        <f>VLOOKUP(Table1[[#This Row],[Country]],REF_Country!$A$1:$D$11,4,FALSE)</f>
        <v>0.1</v>
      </c>
      <c r="Q966">
        <f>VLOOKUP(Table1[[#This Row],[Category]],REF_Target!$A$1:$E$6,2,FALSE)</f>
        <v>30000</v>
      </c>
      <c r="R966">
        <f>Table1[[#This Row],[Quantity]]*Table1[[#This Row],[Unit_Price]]</f>
        <v>440.51</v>
      </c>
      <c r="S966">
        <f>Table1[[#This Row],[Gross_Sales]]*Table1[[#This Row],[Discount_Rate]]</f>
        <v>22.025500000000001</v>
      </c>
      <c r="T966">
        <f>Table1[[#This Row],[Gross_Sales]]-Table1[[#This Row],[Discount_Amount]]</f>
        <v>418.48449999999997</v>
      </c>
      <c r="U966">
        <f>VLOOKUP(Table1[[#This Row],[Category]],REF_Cost!$A$1:$B$6,2,FALSE)*Table1[[#This Row],[Quantity]]</f>
        <v>1400</v>
      </c>
      <c r="V966">
        <f>Table1[[#This Row],[Net_Sales]]-Table1[[#This Row],[Total_Cost]]</f>
        <v>-981.51549999999997</v>
      </c>
      <c r="W966" t="str">
        <f>TEXT(Table1[[#This Row],[Order_Date]],"mmm")</f>
        <v>Dec</v>
      </c>
      <c r="X966">
        <f>ROUNDUP(MONTH(Table1[[#This Row],[Order_Date]])/3,0)</f>
        <v>4</v>
      </c>
      <c r="Y966">
        <f>YEAR(Table1[[#This Row],[Order_Date]])</f>
        <v>2024</v>
      </c>
    </row>
    <row r="967" spans="1:25" x14ac:dyDescent="0.25">
      <c r="A967" t="s">
        <v>3928</v>
      </c>
      <c r="B967" t="s">
        <v>3929</v>
      </c>
      <c r="C967" t="s">
        <v>3930</v>
      </c>
      <c r="D967" t="s">
        <v>3931</v>
      </c>
      <c r="E967" t="s">
        <v>71</v>
      </c>
      <c r="F967" t="s">
        <v>56</v>
      </c>
      <c r="G967" t="s">
        <v>95</v>
      </c>
      <c r="H967" t="s">
        <v>32</v>
      </c>
      <c r="I967" t="s">
        <v>66</v>
      </c>
      <c r="J967" t="s">
        <v>126</v>
      </c>
      <c r="K967">
        <v>10</v>
      </c>
      <c r="L967">
        <v>747.93</v>
      </c>
      <c r="M967" s="3">
        <v>0.15</v>
      </c>
      <c r="N967" t="str">
        <f>VLOOKUP(Table1[[#This Row],[Country]],REF_Country!$A$1:$D$11,2,FALSE)</f>
        <v>Southeast Asia</v>
      </c>
      <c r="O967" t="str">
        <f>VLOOKUP(Table1[[#This Row],[Country]],REF_Country!$A$1:$D$11,3,FALSE)</f>
        <v>PH</v>
      </c>
      <c r="P967">
        <f>VLOOKUP(Table1[[#This Row],[Country]],REF_Country!$A$1:$D$11,4,FALSE)</f>
        <v>0.12</v>
      </c>
      <c r="Q967">
        <f>VLOOKUP(Table1[[#This Row],[Category]],REF_Target!$A$1:$E$6,2,FALSE)</f>
        <v>50000</v>
      </c>
      <c r="R967">
        <f>Table1[[#This Row],[Quantity]]*Table1[[#This Row],[Unit_Price]]</f>
        <v>7479.2999999999993</v>
      </c>
      <c r="S967">
        <f>Table1[[#This Row],[Gross_Sales]]*Table1[[#This Row],[Discount_Rate]]</f>
        <v>1121.8949999999998</v>
      </c>
      <c r="T967">
        <f>Table1[[#This Row],[Gross_Sales]]-Table1[[#This Row],[Discount_Amount]]</f>
        <v>6357.4049999999997</v>
      </c>
      <c r="U967">
        <f>VLOOKUP(Table1[[#This Row],[Category]],REF_Cost!$A$1:$B$6,2,FALSE)*Table1[[#This Row],[Quantity]]</f>
        <v>4500</v>
      </c>
      <c r="V967">
        <f>Table1[[#This Row],[Net_Sales]]-Table1[[#This Row],[Total_Cost]]</f>
        <v>1857.4049999999997</v>
      </c>
      <c r="W967" t="str">
        <f>TEXT(Table1[[#This Row],[Order_Date]],"mmm")</f>
        <v>Apr</v>
      </c>
      <c r="X967">
        <f>ROUNDUP(MONTH(Table1[[#This Row],[Order_Date]])/3,0)</f>
        <v>2</v>
      </c>
      <c r="Y967">
        <f>YEAR(Table1[[#This Row],[Order_Date]])</f>
        <v>2024</v>
      </c>
    </row>
    <row r="968" spans="1:25" x14ac:dyDescent="0.25">
      <c r="A968" t="s">
        <v>3932</v>
      </c>
      <c r="B968" t="s">
        <v>3933</v>
      </c>
      <c r="C968" t="s">
        <v>3934</v>
      </c>
      <c r="D968" t="s">
        <v>3935</v>
      </c>
      <c r="E968" t="s">
        <v>116</v>
      </c>
      <c r="F968" t="s">
        <v>40</v>
      </c>
      <c r="G968" t="s">
        <v>565</v>
      </c>
      <c r="H968" t="s">
        <v>32</v>
      </c>
      <c r="I968" t="s">
        <v>51</v>
      </c>
      <c r="J968" t="s">
        <v>126</v>
      </c>
      <c r="K968">
        <v>5</v>
      </c>
      <c r="L968">
        <v>1420.7</v>
      </c>
      <c r="M968" s="3">
        <v>0.2</v>
      </c>
      <c r="N968" t="str">
        <f>VLOOKUP(Table1[[#This Row],[Country]],REF_Country!$A$1:$D$11,2,FALSE)</f>
        <v>Southeast Asia</v>
      </c>
      <c r="O968" t="str">
        <f>VLOOKUP(Table1[[#This Row],[Country]],REF_Country!$A$1:$D$11,3,FALSE)</f>
        <v>MY</v>
      </c>
      <c r="P968">
        <f>VLOOKUP(Table1[[#This Row],[Country]],REF_Country!$A$1:$D$11,4,FALSE)</f>
        <v>0.06</v>
      </c>
      <c r="Q968">
        <f>VLOOKUP(Table1[[#This Row],[Category]],REF_Target!$A$1:$E$6,2,FALSE)</f>
        <v>45000</v>
      </c>
      <c r="R968">
        <f>Table1[[#This Row],[Quantity]]*Table1[[#This Row],[Unit_Price]]</f>
        <v>7103.5</v>
      </c>
      <c r="S968">
        <f>Table1[[#This Row],[Gross_Sales]]*Table1[[#This Row],[Discount_Rate]]</f>
        <v>1420.7</v>
      </c>
      <c r="T968">
        <f>Table1[[#This Row],[Gross_Sales]]-Table1[[#This Row],[Discount_Amount]]</f>
        <v>5682.8</v>
      </c>
      <c r="U968">
        <f>VLOOKUP(Table1[[#This Row],[Category]],REF_Cost!$A$1:$B$6,2,FALSE)*Table1[[#This Row],[Quantity]]</f>
        <v>400</v>
      </c>
      <c r="V968">
        <f>Table1[[#This Row],[Net_Sales]]-Table1[[#This Row],[Total_Cost]]</f>
        <v>5282.8</v>
      </c>
      <c r="W968" t="str">
        <f>TEXT(Table1[[#This Row],[Order_Date]],"mmm")</f>
        <v>Nov</v>
      </c>
      <c r="X968">
        <f>ROUNDUP(MONTH(Table1[[#This Row],[Order_Date]])/3,0)</f>
        <v>4</v>
      </c>
      <c r="Y968">
        <f>YEAR(Table1[[#This Row],[Order_Date]])</f>
        <v>2024</v>
      </c>
    </row>
    <row r="969" spans="1:25" x14ac:dyDescent="0.25">
      <c r="A969" t="s">
        <v>3936</v>
      </c>
      <c r="B969" t="s">
        <v>3937</v>
      </c>
      <c r="C969" t="s">
        <v>3938</v>
      </c>
      <c r="D969" t="s">
        <v>3939</v>
      </c>
      <c r="E969" t="s">
        <v>71</v>
      </c>
      <c r="F969" t="s">
        <v>49</v>
      </c>
      <c r="G969" t="s">
        <v>226</v>
      </c>
      <c r="H969" t="s">
        <v>32</v>
      </c>
      <c r="I969" t="s">
        <v>51</v>
      </c>
      <c r="J969" t="s">
        <v>73</v>
      </c>
      <c r="K969">
        <v>4</v>
      </c>
      <c r="L969">
        <v>465.58</v>
      </c>
      <c r="M969" s="3">
        <v>0</v>
      </c>
      <c r="N969" t="str">
        <f>VLOOKUP(Table1[[#This Row],[Country]],REF_Country!$A$1:$D$11,2,FALSE)</f>
        <v>Southeast Asia</v>
      </c>
      <c r="O969" t="str">
        <f>VLOOKUP(Table1[[#This Row],[Country]],REF_Country!$A$1:$D$11,3,FALSE)</f>
        <v>PH</v>
      </c>
      <c r="P969">
        <f>VLOOKUP(Table1[[#This Row],[Country]],REF_Country!$A$1:$D$11,4,FALSE)</f>
        <v>0.12</v>
      </c>
      <c r="Q969">
        <f>VLOOKUP(Table1[[#This Row],[Category]],REF_Target!$A$1:$E$6,2,FALSE)</f>
        <v>35000</v>
      </c>
      <c r="R969">
        <f>Table1[[#This Row],[Quantity]]*Table1[[#This Row],[Unit_Price]]</f>
        <v>1862.32</v>
      </c>
      <c r="S969">
        <f>Table1[[#This Row],[Gross_Sales]]*Table1[[#This Row],[Discount_Rate]]</f>
        <v>0</v>
      </c>
      <c r="T969">
        <f>Table1[[#This Row],[Gross_Sales]]-Table1[[#This Row],[Discount_Amount]]</f>
        <v>1862.32</v>
      </c>
      <c r="U969">
        <f>VLOOKUP(Table1[[#This Row],[Category]],REF_Cost!$A$1:$B$6,2,FALSE)*Table1[[#This Row],[Quantity]]</f>
        <v>600</v>
      </c>
      <c r="V969">
        <f>Table1[[#This Row],[Net_Sales]]-Table1[[#This Row],[Total_Cost]]</f>
        <v>1262.32</v>
      </c>
      <c r="W969" t="str">
        <f>TEXT(Table1[[#This Row],[Order_Date]],"mmm")</f>
        <v>Sep</v>
      </c>
      <c r="X969">
        <f>ROUNDUP(MONTH(Table1[[#This Row],[Order_Date]])/3,0)</f>
        <v>3</v>
      </c>
      <c r="Y969">
        <f>YEAR(Table1[[#This Row],[Order_Date]])</f>
        <v>2024</v>
      </c>
    </row>
    <row r="970" spans="1:25" x14ac:dyDescent="0.25">
      <c r="A970" t="s">
        <v>3940</v>
      </c>
      <c r="B970" t="s">
        <v>3941</v>
      </c>
      <c r="C970" t="s">
        <v>3942</v>
      </c>
      <c r="D970" t="s">
        <v>3943</v>
      </c>
      <c r="E970" t="s">
        <v>64</v>
      </c>
      <c r="F970" t="s">
        <v>40</v>
      </c>
      <c r="G970" t="s">
        <v>565</v>
      </c>
      <c r="H970" t="s">
        <v>72</v>
      </c>
      <c r="I970" t="s">
        <v>96</v>
      </c>
      <c r="J970" t="s">
        <v>34</v>
      </c>
      <c r="K970">
        <v>7</v>
      </c>
      <c r="L970">
        <v>92.43</v>
      </c>
      <c r="M970" s="3">
        <v>0.2</v>
      </c>
      <c r="N970" t="str">
        <f>VLOOKUP(Table1[[#This Row],[Country]],REF_Country!$A$1:$D$11,2,FALSE)</f>
        <v>Southeast Asia</v>
      </c>
      <c r="O970" t="str">
        <f>VLOOKUP(Table1[[#This Row],[Country]],REF_Country!$A$1:$D$11,3,FALSE)</f>
        <v>ID</v>
      </c>
      <c r="P970">
        <f>VLOOKUP(Table1[[#This Row],[Country]],REF_Country!$A$1:$D$11,4,FALSE)</f>
        <v>0.11</v>
      </c>
      <c r="Q970">
        <f>VLOOKUP(Table1[[#This Row],[Category]],REF_Target!$A$1:$E$6,2,FALSE)</f>
        <v>45000</v>
      </c>
      <c r="R970">
        <f>Table1[[#This Row],[Quantity]]*Table1[[#This Row],[Unit_Price]]</f>
        <v>647.01</v>
      </c>
      <c r="S970">
        <f>Table1[[#This Row],[Gross_Sales]]*Table1[[#This Row],[Discount_Rate]]</f>
        <v>129.40200000000002</v>
      </c>
      <c r="T970">
        <f>Table1[[#This Row],[Gross_Sales]]-Table1[[#This Row],[Discount_Amount]]</f>
        <v>517.60799999999995</v>
      </c>
      <c r="U970">
        <f>VLOOKUP(Table1[[#This Row],[Category]],REF_Cost!$A$1:$B$6,2,FALSE)*Table1[[#This Row],[Quantity]]</f>
        <v>560</v>
      </c>
      <c r="V970">
        <f>Table1[[#This Row],[Net_Sales]]-Table1[[#This Row],[Total_Cost]]</f>
        <v>-42.392000000000053</v>
      </c>
      <c r="W970" t="str">
        <f>TEXT(Table1[[#This Row],[Order_Date]],"mmm")</f>
        <v>Nov</v>
      </c>
      <c r="X970">
        <f>ROUNDUP(MONTH(Table1[[#This Row],[Order_Date]])/3,0)</f>
        <v>4</v>
      </c>
      <c r="Y970">
        <f>YEAR(Table1[[#This Row],[Order_Date]])</f>
        <v>2024</v>
      </c>
    </row>
    <row r="971" spans="1:25" x14ac:dyDescent="0.25">
      <c r="A971" t="s">
        <v>3944</v>
      </c>
      <c r="B971" t="s">
        <v>3945</v>
      </c>
      <c r="C971" t="s">
        <v>3946</v>
      </c>
      <c r="D971" t="s">
        <v>3947</v>
      </c>
      <c r="E971" t="s">
        <v>116</v>
      </c>
      <c r="F971" t="s">
        <v>40</v>
      </c>
      <c r="G971" t="s">
        <v>315</v>
      </c>
      <c r="H971" t="s">
        <v>32</v>
      </c>
      <c r="I971" t="s">
        <v>43</v>
      </c>
      <c r="J971" t="s">
        <v>73</v>
      </c>
      <c r="K971">
        <v>6</v>
      </c>
      <c r="L971">
        <v>537.41</v>
      </c>
      <c r="M971" s="3">
        <v>0.1</v>
      </c>
      <c r="N971" t="str">
        <f>VLOOKUP(Table1[[#This Row],[Country]],REF_Country!$A$1:$D$11,2,FALSE)</f>
        <v>Southeast Asia</v>
      </c>
      <c r="O971" t="str">
        <f>VLOOKUP(Table1[[#This Row],[Country]],REF_Country!$A$1:$D$11,3,FALSE)</f>
        <v>MY</v>
      </c>
      <c r="P971">
        <f>VLOOKUP(Table1[[#This Row],[Country]],REF_Country!$A$1:$D$11,4,FALSE)</f>
        <v>0.06</v>
      </c>
      <c r="Q971">
        <f>VLOOKUP(Table1[[#This Row],[Category]],REF_Target!$A$1:$E$6,2,FALSE)</f>
        <v>45000</v>
      </c>
      <c r="R971">
        <f>Table1[[#This Row],[Quantity]]*Table1[[#This Row],[Unit_Price]]</f>
        <v>3224.46</v>
      </c>
      <c r="S971">
        <f>Table1[[#This Row],[Gross_Sales]]*Table1[[#This Row],[Discount_Rate]]</f>
        <v>322.44600000000003</v>
      </c>
      <c r="T971">
        <f>Table1[[#This Row],[Gross_Sales]]-Table1[[#This Row],[Discount_Amount]]</f>
        <v>2902.0140000000001</v>
      </c>
      <c r="U971">
        <f>VLOOKUP(Table1[[#This Row],[Category]],REF_Cost!$A$1:$B$6,2,FALSE)*Table1[[#This Row],[Quantity]]</f>
        <v>480</v>
      </c>
      <c r="V971">
        <f>Table1[[#This Row],[Net_Sales]]-Table1[[#This Row],[Total_Cost]]</f>
        <v>2422.0140000000001</v>
      </c>
      <c r="W971" t="str">
        <f>TEXT(Table1[[#This Row],[Order_Date]],"mmm")</f>
        <v>Mar</v>
      </c>
      <c r="X971">
        <f>ROUNDUP(MONTH(Table1[[#This Row],[Order_Date]])/3,0)</f>
        <v>1</v>
      </c>
      <c r="Y971">
        <f>YEAR(Table1[[#This Row],[Order_Date]])</f>
        <v>2024</v>
      </c>
    </row>
    <row r="972" spans="1:25" x14ac:dyDescent="0.25">
      <c r="A972" t="s">
        <v>3948</v>
      </c>
      <c r="B972" t="s">
        <v>3949</v>
      </c>
      <c r="C972" t="s">
        <v>3950</v>
      </c>
      <c r="D972" t="s">
        <v>3951</v>
      </c>
      <c r="E972" t="s">
        <v>149</v>
      </c>
      <c r="F972" t="s">
        <v>40</v>
      </c>
      <c r="G972" t="s">
        <v>41</v>
      </c>
      <c r="H972" t="s">
        <v>72</v>
      </c>
      <c r="I972" t="s">
        <v>51</v>
      </c>
      <c r="J972" t="s">
        <v>126</v>
      </c>
      <c r="K972">
        <v>1</v>
      </c>
      <c r="L972">
        <v>82.98</v>
      </c>
      <c r="M972" s="3">
        <v>0.2</v>
      </c>
      <c r="N972" t="str">
        <f>VLOOKUP(Table1[[#This Row],[Country]],REF_Country!$A$1:$D$11,2,FALSE)</f>
        <v>East Asia</v>
      </c>
      <c r="O972" t="str">
        <f>VLOOKUP(Table1[[#This Row],[Country]],REF_Country!$A$1:$D$11,3,FALSE)</f>
        <v>JP</v>
      </c>
      <c r="P972">
        <f>VLOOKUP(Table1[[#This Row],[Country]],REF_Country!$A$1:$D$11,4,FALSE)</f>
        <v>0.1</v>
      </c>
      <c r="Q972">
        <f>VLOOKUP(Table1[[#This Row],[Category]],REF_Target!$A$1:$E$6,2,FALSE)</f>
        <v>45000</v>
      </c>
      <c r="R972">
        <f>Table1[[#This Row],[Quantity]]*Table1[[#This Row],[Unit_Price]]</f>
        <v>82.98</v>
      </c>
      <c r="S972">
        <f>Table1[[#This Row],[Gross_Sales]]*Table1[[#This Row],[Discount_Rate]]</f>
        <v>16.596</v>
      </c>
      <c r="T972">
        <f>Table1[[#This Row],[Gross_Sales]]-Table1[[#This Row],[Discount_Amount]]</f>
        <v>66.384</v>
      </c>
      <c r="U972">
        <f>VLOOKUP(Table1[[#This Row],[Category]],REF_Cost!$A$1:$B$6,2,FALSE)*Table1[[#This Row],[Quantity]]</f>
        <v>80</v>
      </c>
      <c r="V972">
        <f>Table1[[#This Row],[Net_Sales]]-Table1[[#This Row],[Total_Cost]]</f>
        <v>-13.616</v>
      </c>
      <c r="W972" t="str">
        <f>TEXT(Table1[[#This Row],[Order_Date]],"mmm")</f>
        <v>Oct</v>
      </c>
      <c r="X972">
        <f>ROUNDUP(MONTH(Table1[[#This Row],[Order_Date]])/3,0)</f>
        <v>4</v>
      </c>
      <c r="Y972">
        <f>YEAR(Table1[[#This Row],[Order_Date]])</f>
        <v>2024</v>
      </c>
    </row>
    <row r="973" spans="1:25" x14ac:dyDescent="0.25">
      <c r="A973" t="s">
        <v>3952</v>
      </c>
      <c r="B973" t="s">
        <v>3953</v>
      </c>
      <c r="C973" t="s">
        <v>3954</v>
      </c>
      <c r="D973" t="s">
        <v>3955</v>
      </c>
      <c r="E973" t="s">
        <v>29</v>
      </c>
      <c r="F973" t="s">
        <v>56</v>
      </c>
      <c r="G973" t="s">
        <v>190</v>
      </c>
      <c r="H973" t="s">
        <v>72</v>
      </c>
      <c r="I973" t="s">
        <v>33</v>
      </c>
      <c r="J973" t="s">
        <v>34</v>
      </c>
      <c r="K973">
        <v>4</v>
      </c>
      <c r="L973">
        <v>534.26</v>
      </c>
      <c r="M973" s="3">
        <v>0.05</v>
      </c>
      <c r="N973" t="str">
        <f>VLOOKUP(Table1[[#This Row],[Country]],REF_Country!$A$1:$D$11,2,FALSE)</f>
        <v>Southeast Asia</v>
      </c>
      <c r="O973" t="str">
        <f>VLOOKUP(Table1[[#This Row],[Country]],REF_Country!$A$1:$D$11,3,FALSE)</f>
        <v>VN</v>
      </c>
      <c r="P973">
        <f>VLOOKUP(Table1[[#This Row],[Country]],REF_Country!$A$1:$D$11,4,FALSE)</f>
        <v>0.1</v>
      </c>
      <c r="Q973">
        <f>VLOOKUP(Table1[[#This Row],[Category]],REF_Target!$A$1:$E$6,2,FALSE)</f>
        <v>50000</v>
      </c>
      <c r="R973">
        <f>Table1[[#This Row],[Quantity]]*Table1[[#This Row],[Unit_Price]]</f>
        <v>2137.04</v>
      </c>
      <c r="S973">
        <f>Table1[[#This Row],[Gross_Sales]]*Table1[[#This Row],[Discount_Rate]]</f>
        <v>106.852</v>
      </c>
      <c r="T973">
        <f>Table1[[#This Row],[Gross_Sales]]-Table1[[#This Row],[Discount_Amount]]</f>
        <v>2030.1879999999999</v>
      </c>
      <c r="U973">
        <f>VLOOKUP(Table1[[#This Row],[Category]],REF_Cost!$A$1:$B$6,2,FALSE)*Table1[[#This Row],[Quantity]]</f>
        <v>1800</v>
      </c>
      <c r="V973">
        <f>Table1[[#This Row],[Net_Sales]]-Table1[[#This Row],[Total_Cost]]</f>
        <v>230.18799999999987</v>
      </c>
      <c r="W973" t="str">
        <f>TEXT(Table1[[#This Row],[Order_Date]],"mmm")</f>
        <v>Mar</v>
      </c>
      <c r="X973">
        <f>ROUNDUP(MONTH(Table1[[#This Row],[Order_Date]])/3,0)</f>
        <v>1</v>
      </c>
      <c r="Y973">
        <f>YEAR(Table1[[#This Row],[Order_Date]])</f>
        <v>2024</v>
      </c>
    </row>
    <row r="974" spans="1:25" x14ac:dyDescent="0.25">
      <c r="A974" t="s">
        <v>3956</v>
      </c>
      <c r="B974" t="s">
        <v>3957</v>
      </c>
      <c r="C974" t="s">
        <v>3958</v>
      </c>
      <c r="D974" t="s">
        <v>3959</v>
      </c>
      <c r="E974" t="s">
        <v>116</v>
      </c>
      <c r="F974" t="s">
        <v>56</v>
      </c>
      <c r="G974" t="s">
        <v>190</v>
      </c>
      <c r="H974" t="s">
        <v>58</v>
      </c>
      <c r="I974" t="s">
        <v>43</v>
      </c>
      <c r="J974" t="s">
        <v>34</v>
      </c>
      <c r="K974">
        <v>4</v>
      </c>
      <c r="L974">
        <v>1408.48</v>
      </c>
      <c r="M974" s="3">
        <v>0.1</v>
      </c>
      <c r="N974" t="str">
        <f>VLOOKUP(Table1[[#This Row],[Country]],REF_Country!$A$1:$D$11,2,FALSE)</f>
        <v>Southeast Asia</v>
      </c>
      <c r="O974" t="str">
        <f>VLOOKUP(Table1[[#This Row],[Country]],REF_Country!$A$1:$D$11,3,FALSE)</f>
        <v>MY</v>
      </c>
      <c r="P974">
        <f>VLOOKUP(Table1[[#This Row],[Country]],REF_Country!$A$1:$D$11,4,FALSE)</f>
        <v>0.06</v>
      </c>
      <c r="Q974">
        <f>VLOOKUP(Table1[[#This Row],[Category]],REF_Target!$A$1:$E$6,2,FALSE)</f>
        <v>50000</v>
      </c>
      <c r="R974">
        <f>Table1[[#This Row],[Quantity]]*Table1[[#This Row],[Unit_Price]]</f>
        <v>5633.92</v>
      </c>
      <c r="S974">
        <f>Table1[[#This Row],[Gross_Sales]]*Table1[[#This Row],[Discount_Rate]]</f>
        <v>563.39200000000005</v>
      </c>
      <c r="T974">
        <f>Table1[[#This Row],[Gross_Sales]]-Table1[[#This Row],[Discount_Amount]]</f>
        <v>5070.5280000000002</v>
      </c>
      <c r="U974">
        <f>VLOOKUP(Table1[[#This Row],[Category]],REF_Cost!$A$1:$B$6,2,FALSE)*Table1[[#This Row],[Quantity]]</f>
        <v>1800</v>
      </c>
      <c r="V974">
        <f>Table1[[#This Row],[Net_Sales]]-Table1[[#This Row],[Total_Cost]]</f>
        <v>3270.5280000000002</v>
      </c>
      <c r="W974" t="str">
        <f>TEXT(Table1[[#This Row],[Order_Date]],"mmm")</f>
        <v>Dec</v>
      </c>
      <c r="X974">
        <f>ROUNDUP(MONTH(Table1[[#This Row],[Order_Date]])/3,0)</f>
        <v>4</v>
      </c>
      <c r="Y974">
        <f>YEAR(Table1[[#This Row],[Order_Date]])</f>
        <v>2024</v>
      </c>
    </row>
    <row r="975" spans="1:25" x14ac:dyDescent="0.25">
      <c r="A975" t="s">
        <v>3960</v>
      </c>
      <c r="B975" t="s">
        <v>3961</v>
      </c>
      <c r="C975" t="s">
        <v>3962</v>
      </c>
      <c r="D975" t="s">
        <v>3963</v>
      </c>
      <c r="E975" t="s">
        <v>39</v>
      </c>
      <c r="F975" t="s">
        <v>40</v>
      </c>
      <c r="G975" t="s">
        <v>315</v>
      </c>
      <c r="H975" t="s">
        <v>32</v>
      </c>
      <c r="I975" t="s">
        <v>51</v>
      </c>
      <c r="J975" t="s">
        <v>59</v>
      </c>
      <c r="K975">
        <v>9</v>
      </c>
      <c r="L975">
        <v>488.51</v>
      </c>
      <c r="M975" s="3">
        <v>0.15</v>
      </c>
      <c r="N975" t="str">
        <f>VLOOKUP(Table1[[#This Row],[Country]],REF_Country!$A$1:$D$11,2,FALSE)</f>
        <v>Southeast Asia</v>
      </c>
      <c r="O975" t="str">
        <f>VLOOKUP(Table1[[#This Row],[Country]],REF_Country!$A$1:$D$11,3,FALSE)</f>
        <v>TH</v>
      </c>
      <c r="P975">
        <f>VLOOKUP(Table1[[#This Row],[Country]],REF_Country!$A$1:$D$11,4,FALSE)</f>
        <v>7.0000000000000007E-2</v>
      </c>
      <c r="Q975">
        <f>VLOOKUP(Table1[[#This Row],[Category]],REF_Target!$A$1:$E$6,2,FALSE)</f>
        <v>45000</v>
      </c>
      <c r="R975">
        <f>Table1[[#This Row],[Quantity]]*Table1[[#This Row],[Unit_Price]]</f>
        <v>4396.59</v>
      </c>
      <c r="S975">
        <f>Table1[[#This Row],[Gross_Sales]]*Table1[[#This Row],[Discount_Rate]]</f>
        <v>659.48850000000004</v>
      </c>
      <c r="T975">
        <f>Table1[[#This Row],[Gross_Sales]]-Table1[[#This Row],[Discount_Amount]]</f>
        <v>3737.1015000000002</v>
      </c>
      <c r="U975">
        <f>VLOOKUP(Table1[[#This Row],[Category]],REF_Cost!$A$1:$B$6,2,FALSE)*Table1[[#This Row],[Quantity]]</f>
        <v>720</v>
      </c>
      <c r="V975">
        <f>Table1[[#This Row],[Net_Sales]]-Table1[[#This Row],[Total_Cost]]</f>
        <v>3017.1015000000002</v>
      </c>
      <c r="W975" t="str">
        <f>TEXT(Table1[[#This Row],[Order_Date]],"mmm")</f>
        <v>Jul</v>
      </c>
      <c r="X975">
        <f>ROUNDUP(MONTH(Table1[[#This Row],[Order_Date]])/3,0)</f>
        <v>3</v>
      </c>
      <c r="Y975">
        <f>YEAR(Table1[[#This Row],[Order_Date]])</f>
        <v>2024</v>
      </c>
    </row>
    <row r="976" spans="1:25" x14ac:dyDescent="0.25">
      <c r="A976" t="s">
        <v>3964</v>
      </c>
      <c r="B976" t="s">
        <v>3965</v>
      </c>
      <c r="C976" t="s">
        <v>3966</v>
      </c>
      <c r="D976" t="s">
        <v>3967</v>
      </c>
      <c r="E976" t="s">
        <v>29</v>
      </c>
      <c r="F976" t="s">
        <v>56</v>
      </c>
      <c r="G976" t="s">
        <v>95</v>
      </c>
      <c r="H976" t="s">
        <v>58</v>
      </c>
      <c r="I976" t="s">
        <v>33</v>
      </c>
      <c r="J976" t="s">
        <v>73</v>
      </c>
      <c r="K976">
        <v>9</v>
      </c>
      <c r="L976">
        <v>1369.39</v>
      </c>
      <c r="M976" s="3">
        <v>0</v>
      </c>
      <c r="N976" t="str">
        <f>VLOOKUP(Table1[[#This Row],[Country]],REF_Country!$A$1:$D$11,2,FALSE)</f>
        <v>Southeast Asia</v>
      </c>
      <c r="O976" t="str">
        <f>VLOOKUP(Table1[[#This Row],[Country]],REF_Country!$A$1:$D$11,3,FALSE)</f>
        <v>VN</v>
      </c>
      <c r="P976">
        <f>VLOOKUP(Table1[[#This Row],[Country]],REF_Country!$A$1:$D$11,4,FALSE)</f>
        <v>0.1</v>
      </c>
      <c r="Q976">
        <f>VLOOKUP(Table1[[#This Row],[Category]],REF_Target!$A$1:$E$6,2,FALSE)</f>
        <v>50000</v>
      </c>
      <c r="R976">
        <f>Table1[[#This Row],[Quantity]]*Table1[[#This Row],[Unit_Price]]</f>
        <v>12324.51</v>
      </c>
      <c r="S976">
        <f>Table1[[#This Row],[Gross_Sales]]*Table1[[#This Row],[Discount_Rate]]</f>
        <v>0</v>
      </c>
      <c r="T976">
        <f>Table1[[#This Row],[Gross_Sales]]-Table1[[#This Row],[Discount_Amount]]</f>
        <v>12324.51</v>
      </c>
      <c r="U976">
        <f>VLOOKUP(Table1[[#This Row],[Category]],REF_Cost!$A$1:$B$6,2,FALSE)*Table1[[#This Row],[Quantity]]</f>
        <v>4050</v>
      </c>
      <c r="V976">
        <f>Table1[[#This Row],[Net_Sales]]-Table1[[#This Row],[Total_Cost]]</f>
        <v>8274.51</v>
      </c>
      <c r="W976" t="str">
        <f>TEXT(Table1[[#This Row],[Order_Date]],"mmm")</f>
        <v>Dec</v>
      </c>
      <c r="X976">
        <f>ROUNDUP(MONTH(Table1[[#This Row],[Order_Date]])/3,0)</f>
        <v>4</v>
      </c>
      <c r="Y976">
        <f>YEAR(Table1[[#This Row],[Order_Date]])</f>
        <v>2024</v>
      </c>
    </row>
    <row r="977" spans="1:25" x14ac:dyDescent="0.25">
      <c r="A977" t="s">
        <v>3968</v>
      </c>
      <c r="B977" t="s">
        <v>3969</v>
      </c>
      <c r="C977" t="s">
        <v>3970</v>
      </c>
      <c r="D977" t="s">
        <v>3971</v>
      </c>
      <c r="E977" t="s">
        <v>48</v>
      </c>
      <c r="F977" t="s">
        <v>56</v>
      </c>
      <c r="G977" t="s">
        <v>95</v>
      </c>
      <c r="H977" t="s">
        <v>32</v>
      </c>
      <c r="I977" t="s">
        <v>96</v>
      </c>
      <c r="J977" t="s">
        <v>126</v>
      </c>
      <c r="K977">
        <v>8</v>
      </c>
      <c r="L977">
        <v>1052.04</v>
      </c>
      <c r="M977" s="3">
        <v>0</v>
      </c>
      <c r="N977" t="str">
        <f>VLOOKUP(Table1[[#This Row],[Country]],REF_Country!$A$1:$D$11,2,FALSE)</f>
        <v>Southeast Asia</v>
      </c>
      <c r="O977" t="str">
        <f>VLOOKUP(Table1[[#This Row],[Country]],REF_Country!$A$1:$D$11,3,FALSE)</f>
        <v>SG</v>
      </c>
      <c r="P977">
        <f>VLOOKUP(Table1[[#This Row],[Country]],REF_Country!$A$1:$D$11,4,FALSE)</f>
        <v>7.0000000000000007E-2</v>
      </c>
      <c r="Q977">
        <f>VLOOKUP(Table1[[#This Row],[Category]],REF_Target!$A$1:$E$6,2,FALSE)</f>
        <v>50000</v>
      </c>
      <c r="R977">
        <f>Table1[[#This Row],[Quantity]]*Table1[[#This Row],[Unit_Price]]</f>
        <v>8416.32</v>
      </c>
      <c r="S977">
        <f>Table1[[#This Row],[Gross_Sales]]*Table1[[#This Row],[Discount_Rate]]</f>
        <v>0</v>
      </c>
      <c r="T977">
        <f>Table1[[#This Row],[Gross_Sales]]-Table1[[#This Row],[Discount_Amount]]</f>
        <v>8416.32</v>
      </c>
      <c r="U977">
        <f>VLOOKUP(Table1[[#This Row],[Category]],REF_Cost!$A$1:$B$6,2,FALSE)*Table1[[#This Row],[Quantity]]</f>
        <v>3600</v>
      </c>
      <c r="V977">
        <f>Table1[[#This Row],[Net_Sales]]-Table1[[#This Row],[Total_Cost]]</f>
        <v>4816.32</v>
      </c>
      <c r="W977" t="str">
        <f>TEXT(Table1[[#This Row],[Order_Date]],"mmm")</f>
        <v>Jul</v>
      </c>
      <c r="X977">
        <f>ROUNDUP(MONTH(Table1[[#This Row],[Order_Date]])/3,0)</f>
        <v>3</v>
      </c>
      <c r="Y977">
        <f>YEAR(Table1[[#This Row],[Order_Date]])</f>
        <v>2024</v>
      </c>
    </row>
    <row r="978" spans="1:25" x14ac:dyDescent="0.25">
      <c r="A978" t="s">
        <v>3972</v>
      </c>
      <c r="B978" t="s">
        <v>3973</v>
      </c>
      <c r="C978" t="s">
        <v>3974</v>
      </c>
      <c r="D978" t="s">
        <v>3975</v>
      </c>
      <c r="E978" t="s">
        <v>29</v>
      </c>
      <c r="F978" t="s">
        <v>56</v>
      </c>
      <c r="G978" t="s">
        <v>101</v>
      </c>
      <c r="H978" t="s">
        <v>42</v>
      </c>
      <c r="I978" t="s">
        <v>51</v>
      </c>
      <c r="J978" t="s">
        <v>34</v>
      </c>
      <c r="K978">
        <v>10</v>
      </c>
      <c r="L978">
        <v>429.45</v>
      </c>
      <c r="M978" s="3">
        <v>0.1</v>
      </c>
      <c r="N978" t="str">
        <f>VLOOKUP(Table1[[#This Row],[Country]],REF_Country!$A$1:$D$11,2,FALSE)</f>
        <v>Southeast Asia</v>
      </c>
      <c r="O978" t="str">
        <f>VLOOKUP(Table1[[#This Row],[Country]],REF_Country!$A$1:$D$11,3,FALSE)</f>
        <v>VN</v>
      </c>
      <c r="P978">
        <f>VLOOKUP(Table1[[#This Row],[Country]],REF_Country!$A$1:$D$11,4,FALSE)</f>
        <v>0.1</v>
      </c>
      <c r="Q978">
        <f>VLOOKUP(Table1[[#This Row],[Category]],REF_Target!$A$1:$E$6,2,FALSE)</f>
        <v>50000</v>
      </c>
      <c r="R978">
        <f>Table1[[#This Row],[Quantity]]*Table1[[#This Row],[Unit_Price]]</f>
        <v>4294.5</v>
      </c>
      <c r="S978">
        <f>Table1[[#This Row],[Gross_Sales]]*Table1[[#This Row],[Discount_Rate]]</f>
        <v>429.45000000000005</v>
      </c>
      <c r="T978">
        <f>Table1[[#This Row],[Gross_Sales]]-Table1[[#This Row],[Discount_Amount]]</f>
        <v>3865.05</v>
      </c>
      <c r="U978">
        <f>VLOOKUP(Table1[[#This Row],[Category]],REF_Cost!$A$1:$B$6,2,FALSE)*Table1[[#This Row],[Quantity]]</f>
        <v>4500</v>
      </c>
      <c r="V978">
        <f>Table1[[#This Row],[Net_Sales]]-Table1[[#This Row],[Total_Cost]]</f>
        <v>-634.94999999999982</v>
      </c>
      <c r="W978" t="str">
        <f>TEXT(Table1[[#This Row],[Order_Date]],"mmm")</f>
        <v>May</v>
      </c>
      <c r="X978">
        <f>ROUNDUP(MONTH(Table1[[#This Row],[Order_Date]])/3,0)</f>
        <v>2</v>
      </c>
      <c r="Y978">
        <f>YEAR(Table1[[#This Row],[Order_Date]])</f>
        <v>2024</v>
      </c>
    </row>
    <row r="979" spans="1:25" x14ac:dyDescent="0.25">
      <c r="A979" t="s">
        <v>3976</v>
      </c>
      <c r="B979" t="s">
        <v>3977</v>
      </c>
      <c r="C979" t="s">
        <v>3978</v>
      </c>
      <c r="D979" t="s">
        <v>3979</v>
      </c>
      <c r="E979" t="s">
        <v>39</v>
      </c>
      <c r="F979" t="s">
        <v>49</v>
      </c>
      <c r="G979" t="s">
        <v>286</v>
      </c>
      <c r="H979" t="s">
        <v>58</v>
      </c>
      <c r="I979" t="s">
        <v>51</v>
      </c>
      <c r="J979" t="s">
        <v>59</v>
      </c>
      <c r="K979">
        <v>9</v>
      </c>
      <c r="L979">
        <v>994.99</v>
      </c>
      <c r="M979" s="3">
        <v>0</v>
      </c>
      <c r="N979" t="str">
        <f>VLOOKUP(Table1[[#This Row],[Country]],REF_Country!$A$1:$D$11,2,FALSE)</f>
        <v>Southeast Asia</v>
      </c>
      <c r="O979" t="str">
        <f>VLOOKUP(Table1[[#This Row],[Country]],REF_Country!$A$1:$D$11,3,FALSE)</f>
        <v>TH</v>
      </c>
      <c r="P979">
        <f>VLOOKUP(Table1[[#This Row],[Country]],REF_Country!$A$1:$D$11,4,FALSE)</f>
        <v>7.0000000000000007E-2</v>
      </c>
      <c r="Q979">
        <f>VLOOKUP(Table1[[#This Row],[Category]],REF_Target!$A$1:$E$6,2,FALSE)</f>
        <v>35000</v>
      </c>
      <c r="R979">
        <f>Table1[[#This Row],[Quantity]]*Table1[[#This Row],[Unit_Price]]</f>
        <v>8954.91</v>
      </c>
      <c r="S979">
        <f>Table1[[#This Row],[Gross_Sales]]*Table1[[#This Row],[Discount_Rate]]</f>
        <v>0</v>
      </c>
      <c r="T979">
        <f>Table1[[#This Row],[Gross_Sales]]-Table1[[#This Row],[Discount_Amount]]</f>
        <v>8954.91</v>
      </c>
      <c r="U979">
        <f>VLOOKUP(Table1[[#This Row],[Category]],REF_Cost!$A$1:$B$6,2,FALSE)*Table1[[#This Row],[Quantity]]</f>
        <v>1350</v>
      </c>
      <c r="V979">
        <f>Table1[[#This Row],[Net_Sales]]-Table1[[#This Row],[Total_Cost]]</f>
        <v>7604.91</v>
      </c>
      <c r="W979" t="str">
        <f>TEXT(Table1[[#This Row],[Order_Date]],"mmm")</f>
        <v>Aug</v>
      </c>
      <c r="X979">
        <f>ROUNDUP(MONTH(Table1[[#This Row],[Order_Date]])/3,0)</f>
        <v>3</v>
      </c>
      <c r="Y979">
        <f>YEAR(Table1[[#This Row],[Order_Date]])</f>
        <v>2024</v>
      </c>
    </row>
    <row r="980" spans="1:25" x14ac:dyDescent="0.25">
      <c r="A980" t="s">
        <v>3980</v>
      </c>
      <c r="B980" t="s">
        <v>3981</v>
      </c>
      <c r="C980" t="s">
        <v>3982</v>
      </c>
      <c r="D980" t="s">
        <v>3983</v>
      </c>
      <c r="E980" t="s">
        <v>29</v>
      </c>
      <c r="F980" t="s">
        <v>40</v>
      </c>
      <c r="G980" t="s">
        <v>106</v>
      </c>
      <c r="H980" t="s">
        <v>42</v>
      </c>
      <c r="I980" t="s">
        <v>96</v>
      </c>
      <c r="J980" t="s">
        <v>126</v>
      </c>
      <c r="K980">
        <v>6</v>
      </c>
      <c r="L980">
        <v>1139.52</v>
      </c>
      <c r="M980" s="3">
        <v>0.2</v>
      </c>
      <c r="N980" t="str">
        <f>VLOOKUP(Table1[[#This Row],[Country]],REF_Country!$A$1:$D$11,2,FALSE)</f>
        <v>Southeast Asia</v>
      </c>
      <c r="O980" t="str">
        <f>VLOOKUP(Table1[[#This Row],[Country]],REF_Country!$A$1:$D$11,3,FALSE)</f>
        <v>VN</v>
      </c>
      <c r="P980">
        <f>VLOOKUP(Table1[[#This Row],[Country]],REF_Country!$A$1:$D$11,4,FALSE)</f>
        <v>0.1</v>
      </c>
      <c r="Q980">
        <f>VLOOKUP(Table1[[#This Row],[Category]],REF_Target!$A$1:$E$6,2,FALSE)</f>
        <v>45000</v>
      </c>
      <c r="R980">
        <f>Table1[[#This Row],[Quantity]]*Table1[[#This Row],[Unit_Price]]</f>
        <v>6837.12</v>
      </c>
      <c r="S980">
        <f>Table1[[#This Row],[Gross_Sales]]*Table1[[#This Row],[Discount_Rate]]</f>
        <v>1367.424</v>
      </c>
      <c r="T980">
        <f>Table1[[#This Row],[Gross_Sales]]-Table1[[#This Row],[Discount_Amount]]</f>
        <v>5469.6959999999999</v>
      </c>
      <c r="U980">
        <f>VLOOKUP(Table1[[#This Row],[Category]],REF_Cost!$A$1:$B$6,2,FALSE)*Table1[[#This Row],[Quantity]]</f>
        <v>480</v>
      </c>
      <c r="V980">
        <f>Table1[[#This Row],[Net_Sales]]-Table1[[#This Row],[Total_Cost]]</f>
        <v>4989.6959999999999</v>
      </c>
      <c r="W980" t="str">
        <f>TEXT(Table1[[#This Row],[Order_Date]],"mmm")</f>
        <v>Nov</v>
      </c>
      <c r="X980">
        <f>ROUNDUP(MONTH(Table1[[#This Row],[Order_Date]])/3,0)</f>
        <v>4</v>
      </c>
      <c r="Y980">
        <f>YEAR(Table1[[#This Row],[Order_Date]])</f>
        <v>2024</v>
      </c>
    </row>
    <row r="981" spans="1:25" x14ac:dyDescent="0.25">
      <c r="A981" t="s">
        <v>3984</v>
      </c>
      <c r="B981" t="s">
        <v>3985</v>
      </c>
      <c r="C981" t="s">
        <v>3986</v>
      </c>
      <c r="D981" t="s">
        <v>3987</v>
      </c>
      <c r="E981" t="s">
        <v>29</v>
      </c>
      <c r="F981" t="s">
        <v>40</v>
      </c>
      <c r="G981" t="s">
        <v>565</v>
      </c>
      <c r="H981" t="s">
        <v>58</v>
      </c>
      <c r="I981" t="s">
        <v>43</v>
      </c>
      <c r="J981" t="s">
        <v>34</v>
      </c>
      <c r="K981">
        <v>10</v>
      </c>
      <c r="L981">
        <v>644.4</v>
      </c>
      <c r="M981" s="3">
        <v>0.15</v>
      </c>
      <c r="N981" t="str">
        <f>VLOOKUP(Table1[[#This Row],[Country]],REF_Country!$A$1:$D$11,2,FALSE)</f>
        <v>Southeast Asia</v>
      </c>
      <c r="O981" t="str">
        <f>VLOOKUP(Table1[[#This Row],[Country]],REF_Country!$A$1:$D$11,3,FALSE)</f>
        <v>VN</v>
      </c>
      <c r="P981">
        <f>VLOOKUP(Table1[[#This Row],[Country]],REF_Country!$A$1:$D$11,4,FALSE)</f>
        <v>0.1</v>
      </c>
      <c r="Q981">
        <f>VLOOKUP(Table1[[#This Row],[Category]],REF_Target!$A$1:$E$6,2,FALSE)</f>
        <v>45000</v>
      </c>
      <c r="R981">
        <f>Table1[[#This Row],[Quantity]]*Table1[[#This Row],[Unit_Price]]</f>
        <v>6444</v>
      </c>
      <c r="S981">
        <f>Table1[[#This Row],[Gross_Sales]]*Table1[[#This Row],[Discount_Rate]]</f>
        <v>966.59999999999991</v>
      </c>
      <c r="T981">
        <f>Table1[[#This Row],[Gross_Sales]]-Table1[[#This Row],[Discount_Amount]]</f>
        <v>5477.4</v>
      </c>
      <c r="U981">
        <f>VLOOKUP(Table1[[#This Row],[Category]],REF_Cost!$A$1:$B$6,2,FALSE)*Table1[[#This Row],[Quantity]]</f>
        <v>800</v>
      </c>
      <c r="V981">
        <f>Table1[[#This Row],[Net_Sales]]-Table1[[#This Row],[Total_Cost]]</f>
        <v>4677.3999999999996</v>
      </c>
      <c r="W981" t="str">
        <f>TEXT(Table1[[#This Row],[Order_Date]],"mmm")</f>
        <v>Oct</v>
      </c>
      <c r="X981">
        <f>ROUNDUP(MONTH(Table1[[#This Row],[Order_Date]])/3,0)</f>
        <v>4</v>
      </c>
      <c r="Y981">
        <f>YEAR(Table1[[#This Row],[Order_Date]])</f>
        <v>2024</v>
      </c>
    </row>
    <row r="982" spans="1:25" x14ac:dyDescent="0.25">
      <c r="A982" t="s">
        <v>3988</v>
      </c>
      <c r="B982" t="s">
        <v>3989</v>
      </c>
      <c r="C982" t="s">
        <v>3990</v>
      </c>
      <c r="D982" t="s">
        <v>3991</v>
      </c>
      <c r="E982" t="s">
        <v>64</v>
      </c>
      <c r="F982" t="s">
        <v>84</v>
      </c>
      <c r="G982" t="s">
        <v>412</v>
      </c>
      <c r="H982" t="s">
        <v>58</v>
      </c>
      <c r="I982" t="s">
        <v>66</v>
      </c>
      <c r="J982" t="s">
        <v>34</v>
      </c>
      <c r="K982">
        <v>4</v>
      </c>
      <c r="L982">
        <v>142.02000000000001</v>
      </c>
      <c r="M982" s="3">
        <v>0.15</v>
      </c>
      <c r="N982" t="str">
        <f>VLOOKUP(Table1[[#This Row],[Country]],REF_Country!$A$1:$D$11,2,FALSE)</f>
        <v>Southeast Asia</v>
      </c>
      <c r="O982" t="str">
        <f>VLOOKUP(Table1[[#This Row],[Country]],REF_Country!$A$1:$D$11,3,FALSE)</f>
        <v>ID</v>
      </c>
      <c r="P982">
        <f>VLOOKUP(Table1[[#This Row],[Country]],REF_Country!$A$1:$D$11,4,FALSE)</f>
        <v>0.11</v>
      </c>
      <c r="Q982">
        <f>VLOOKUP(Table1[[#This Row],[Category]],REF_Target!$A$1:$E$6,2,FALSE)</f>
        <v>30000</v>
      </c>
      <c r="R982">
        <f>Table1[[#This Row],[Quantity]]*Table1[[#This Row],[Unit_Price]]</f>
        <v>568.08000000000004</v>
      </c>
      <c r="S982">
        <f>Table1[[#This Row],[Gross_Sales]]*Table1[[#This Row],[Discount_Rate]]</f>
        <v>85.212000000000003</v>
      </c>
      <c r="T982">
        <f>Table1[[#This Row],[Gross_Sales]]-Table1[[#This Row],[Discount_Amount]]</f>
        <v>482.86800000000005</v>
      </c>
      <c r="U982">
        <f>VLOOKUP(Table1[[#This Row],[Category]],REF_Cost!$A$1:$B$6,2,FALSE)*Table1[[#This Row],[Quantity]]</f>
        <v>800</v>
      </c>
      <c r="V982">
        <f>Table1[[#This Row],[Net_Sales]]-Table1[[#This Row],[Total_Cost]]</f>
        <v>-317.13199999999995</v>
      </c>
      <c r="W982" t="str">
        <f>TEXT(Table1[[#This Row],[Order_Date]],"mmm")</f>
        <v>May</v>
      </c>
      <c r="X982">
        <f>ROUNDUP(MONTH(Table1[[#This Row],[Order_Date]])/3,0)</f>
        <v>2</v>
      </c>
      <c r="Y982">
        <f>YEAR(Table1[[#This Row],[Order_Date]])</f>
        <v>2024</v>
      </c>
    </row>
    <row r="983" spans="1:25" x14ac:dyDescent="0.25">
      <c r="A983" t="s">
        <v>3992</v>
      </c>
      <c r="B983" t="s">
        <v>3993</v>
      </c>
      <c r="C983" t="s">
        <v>3994</v>
      </c>
      <c r="D983" t="s">
        <v>3995</v>
      </c>
      <c r="E983" t="s">
        <v>29</v>
      </c>
      <c r="F983" t="s">
        <v>84</v>
      </c>
      <c r="G983" t="s">
        <v>90</v>
      </c>
      <c r="H983" t="s">
        <v>58</v>
      </c>
      <c r="I983" t="s">
        <v>66</v>
      </c>
      <c r="J983" t="s">
        <v>73</v>
      </c>
      <c r="K983">
        <v>5</v>
      </c>
      <c r="L983">
        <v>33.32</v>
      </c>
      <c r="M983" s="3">
        <v>0.15</v>
      </c>
      <c r="N983" t="str">
        <f>VLOOKUP(Table1[[#This Row],[Country]],REF_Country!$A$1:$D$11,2,FALSE)</f>
        <v>Southeast Asia</v>
      </c>
      <c r="O983" t="str">
        <f>VLOOKUP(Table1[[#This Row],[Country]],REF_Country!$A$1:$D$11,3,FALSE)</f>
        <v>VN</v>
      </c>
      <c r="P983">
        <f>VLOOKUP(Table1[[#This Row],[Country]],REF_Country!$A$1:$D$11,4,FALSE)</f>
        <v>0.1</v>
      </c>
      <c r="Q983">
        <f>VLOOKUP(Table1[[#This Row],[Category]],REF_Target!$A$1:$E$6,2,FALSE)</f>
        <v>30000</v>
      </c>
      <c r="R983">
        <f>Table1[[#This Row],[Quantity]]*Table1[[#This Row],[Unit_Price]]</f>
        <v>166.6</v>
      </c>
      <c r="S983">
        <f>Table1[[#This Row],[Gross_Sales]]*Table1[[#This Row],[Discount_Rate]]</f>
        <v>24.99</v>
      </c>
      <c r="T983">
        <f>Table1[[#This Row],[Gross_Sales]]-Table1[[#This Row],[Discount_Amount]]</f>
        <v>141.60999999999999</v>
      </c>
      <c r="U983">
        <f>VLOOKUP(Table1[[#This Row],[Category]],REF_Cost!$A$1:$B$6,2,FALSE)*Table1[[#This Row],[Quantity]]</f>
        <v>1000</v>
      </c>
      <c r="V983">
        <f>Table1[[#This Row],[Net_Sales]]-Table1[[#This Row],[Total_Cost]]</f>
        <v>-858.39</v>
      </c>
      <c r="W983" t="str">
        <f>TEXT(Table1[[#This Row],[Order_Date]],"mmm")</f>
        <v>Nov</v>
      </c>
      <c r="X983">
        <f>ROUNDUP(MONTH(Table1[[#This Row],[Order_Date]])/3,0)</f>
        <v>4</v>
      </c>
      <c r="Y983">
        <f>YEAR(Table1[[#This Row],[Order_Date]])</f>
        <v>2024</v>
      </c>
    </row>
    <row r="984" spans="1:25" x14ac:dyDescent="0.25">
      <c r="A984" t="s">
        <v>3996</v>
      </c>
      <c r="B984" t="s">
        <v>3997</v>
      </c>
      <c r="C984" t="s">
        <v>3998</v>
      </c>
      <c r="D984" t="s">
        <v>3999</v>
      </c>
      <c r="E984" t="s">
        <v>64</v>
      </c>
      <c r="F984" t="s">
        <v>49</v>
      </c>
      <c r="G984" t="s">
        <v>117</v>
      </c>
      <c r="H984" t="s">
        <v>72</v>
      </c>
      <c r="I984" t="s">
        <v>96</v>
      </c>
      <c r="J984" t="s">
        <v>126</v>
      </c>
      <c r="K984">
        <v>8</v>
      </c>
      <c r="L984">
        <v>1449.34</v>
      </c>
      <c r="M984" s="3">
        <v>0.2</v>
      </c>
      <c r="N984" t="str">
        <f>VLOOKUP(Table1[[#This Row],[Country]],REF_Country!$A$1:$D$11,2,FALSE)</f>
        <v>Southeast Asia</v>
      </c>
      <c r="O984" t="str">
        <f>VLOOKUP(Table1[[#This Row],[Country]],REF_Country!$A$1:$D$11,3,FALSE)</f>
        <v>ID</v>
      </c>
      <c r="P984">
        <f>VLOOKUP(Table1[[#This Row],[Country]],REF_Country!$A$1:$D$11,4,FALSE)</f>
        <v>0.11</v>
      </c>
      <c r="Q984">
        <f>VLOOKUP(Table1[[#This Row],[Category]],REF_Target!$A$1:$E$6,2,FALSE)</f>
        <v>35000</v>
      </c>
      <c r="R984">
        <f>Table1[[#This Row],[Quantity]]*Table1[[#This Row],[Unit_Price]]</f>
        <v>11594.72</v>
      </c>
      <c r="S984">
        <f>Table1[[#This Row],[Gross_Sales]]*Table1[[#This Row],[Discount_Rate]]</f>
        <v>2318.944</v>
      </c>
      <c r="T984">
        <f>Table1[[#This Row],[Gross_Sales]]-Table1[[#This Row],[Discount_Amount]]</f>
        <v>9275.7759999999998</v>
      </c>
      <c r="U984">
        <f>VLOOKUP(Table1[[#This Row],[Category]],REF_Cost!$A$1:$B$6,2,FALSE)*Table1[[#This Row],[Quantity]]</f>
        <v>1200</v>
      </c>
      <c r="V984">
        <f>Table1[[#This Row],[Net_Sales]]-Table1[[#This Row],[Total_Cost]]</f>
        <v>8075.7759999999998</v>
      </c>
      <c r="W984" t="str">
        <f>TEXT(Table1[[#This Row],[Order_Date]],"mmm")</f>
        <v>Aug</v>
      </c>
      <c r="X984">
        <f>ROUNDUP(MONTH(Table1[[#This Row],[Order_Date]])/3,0)</f>
        <v>3</v>
      </c>
      <c r="Y984">
        <f>YEAR(Table1[[#This Row],[Order_Date]])</f>
        <v>2024</v>
      </c>
    </row>
    <row r="985" spans="1:25" x14ac:dyDescent="0.25">
      <c r="A985" t="s">
        <v>4000</v>
      </c>
      <c r="B985" t="s">
        <v>4001</v>
      </c>
      <c r="C985" t="s">
        <v>4002</v>
      </c>
      <c r="D985" t="s">
        <v>4003</v>
      </c>
      <c r="E985" t="s">
        <v>83</v>
      </c>
      <c r="F985" t="s">
        <v>40</v>
      </c>
      <c r="G985" t="s">
        <v>315</v>
      </c>
      <c r="H985" t="s">
        <v>58</v>
      </c>
      <c r="I985" t="s">
        <v>66</v>
      </c>
      <c r="J985" t="s">
        <v>59</v>
      </c>
      <c r="K985">
        <v>8</v>
      </c>
      <c r="L985">
        <v>1430.64</v>
      </c>
      <c r="M985" s="3">
        <v>0</v>
      </c>
      <c r="N985" t="str">
        <f>VLOOKUP(Table1[[#This Row],[Country]],REF_Country!$A$1:$D$11,2,FALSE)</f>
        <v>South Asia</v>
      </c>
      <c r="O985" t="str">
        <f>VLOOKUP(Table1[[#This Row],[Country]],REF_Country!$A$1:$D$11,3,FALSE)</f>
        <v>IN</v>
      </c>
      <c r="P985">
        <f>VLOOKUP(Table1[[#This Row],[Country]],REF_Country!$A$1:$D$11,4,FALSE)</f>
        <v>0.18</v>
      </c>
      <c r="Q985">
        <f>VLOOKUP(Table1[[#This Row],[Category]],REF_Target!$A$1:$E$6,2,FALSE)</f>
        <v>45000</v>
      </c>
      <c r="R985">
        <f>Table1[[#This Row],[Quantity]]*Table1[[#This Row],[Unit_Price]]</f>
        <v>11445.12</v>
      </c>
      <c r="S985">
        <f>Table1[[#This Row],[Gross_Sales]]*Table1[[#This Row],[Discount_Rate]]</f>
        <v>0</v>
      </c>
      <c r="T985">
        <f>Table1[[#This Row],[Gross_Sales]]-Table1[[#This Row],[Discount_Amount]]</f>
        <v>11445.12</v>
      </c>
      <c r="U985">
        <f>VLOOKUP(Table1[[#This Row],[Category]],REF_Cost!$A$1:$B$6,2,FALSE)*Table1[[#This Row],[Quantity]]</f>
        <v>640</v>
      </c>
      <c r="V985">
        <f>Table1[[#This Row],[Net_Sales]]-Table1[[#This Row],[Total_Cost]]</f>
        <v>10805.12</v>
      </c>
      <c r="W985" t="str">
        <f>TEXT(Table1[[#This Row],[Order_Date]],"mmm")</f>
        <v>Feb</v>
      </c>
      <c r="X985">
        <f>ROUNDUP(MONTH(Table1[[#This Row],[Order_Date]])/3,0)</f>
        <v>1</v>
      </c>
      <c r="Y985">
        <f>YEAR(Table1[[#This Row],[Order_Date]])</f>
        <v>2024</v>
      </c>
    </row>
    <row r="986" spans="1:25" x14ac:dyDescent="0.25">
      <c r="A986" t="s">
        <v>4004</v>
      </c>
      <c r="B986" t="s">
        <v>4005</v>
      </c>
      <c r="C986" t="s">
        <v>4006</v>
      </c>
      <c r="D986" t="s">
        <v>4007</v>
      </c>
      <c r="E986" t="s">
        <v>48</v>
      </c>
      <c r="F986" t="s">
        <v>30</v>
      </c>
      <c r="G986" t="s">
        <v>139</v>
      </c>
      <c r="H986" t="s">
        <v>32</v>
      </c>
      <c r="I986" t="s">
        <v>43</v>
      </c>
      <c r="J986" t="s">
        <v>34</v>
      </c>
      <c r="K986">
        <v>4</v>
      </c>
      <c r="L986">
        <v>989.13</v>
      </c>
      <c r="M986" s="3">
        <v>0</v>
      </c>
      <c r="N986" t="str">
        <f>VLOOKUP(Table1[[#This Row],[Country]],REF_Country!$A$1:$D$11,2,FALSE)</f>
        <v>Southeast Asia</v>
      </c>
      <c r="O986" t="str">
        <f>VLOOKUP(Table1[[#This Row],[Country]],REF_Country!$A$1:$D$11,3,FALSE)</f>
        <v>SG</v>
      </c>
      <c r="P986">
        <f>VLOOKUP(Table1[[#This Row],[Country]],REF_Country!$A$1:$D$11,4,FALSE)</f>
        <v>7.0000000000000007E-2</v>
      </c>
      <c r="Q986">
        <f>VLOOKUP(Table1[[#This Row],[Category]],REF_Target!$A$1:$E$6,2,FALSE)</f>
        <v>40000</v>
      </c>
      <c r="R986">
        <f>Table1[[#This Row],[Quantity]]*Table1[[#This Row],[Unit_Price]]</f>
        <v>3956.52</v>
      </c>
      <c r="S986">
        <f>Table1[[#This Row],[Gross_Sales]]*Table1[[#This Row],[Discount_Rate]]</f>
        <v>0</v>
      </c>
      <c r="T986">
        <f>Table1[[#This Row],[Gross_Sales]]-Table1[[#This Row],[Discount_Amount]]</f>
        <v>3956.52</v>
      </c>
      <c r="U986">
        <f>VLOOKUP(Table1[[#This Row],[Category]],REF_Cost!$A$1:$B$6,2,FALSE)*Table1[[#This Row],[Quantity]]</f>
        <v>480</v>
      </c>
      <c r="V986">
        <f>Table1[[#This Row],[Net_Sales]]-Table1[[#This Row],[Total_Cost]]</f>
        <v>3476.52</v>
      </c>
      <c r="W986" t="str">
        <f>TEXT(Table1[[#This Row],[Order_Date]],"mmm")</f>
        <v>Mar</v>
      </c>
      <c r="X986">
        <f>ROUNDUP(MONTH(Table1[[#This Row],[Order_Date]])/3,0)</f>
        <v>1</v>
      </c>
      <c r="Y986">
        <f>YEAR(Table1[[#This Row],[Order_Date]])</f>
        <v>2024</v>
      </c>
    </row>
    <row r="987" spans="1:25" x14ac:dyDescent="0.25">
      <c r="A987" t="s">
        <v>4008</v>
      </c>
      <c r="B987" t="s">
        <v>4009</v>
      </c>
      <c r="C987" t="s">
        <v>4010</v>
      </c>
      <c r="D987" t="s">
        <v>4011</v>
      </c>
      <c r="E987" t="s">
        <v>39</v>
      </c>
      <c r="F987" t="s">
        <v>56</v>
      </c>
      <c r="G987" t="s">
        <v>190</v>
      </c>
      <c r="H987" t="s">
        <v>58</v>
      </c>
      <c r="I987" t="s">
        <v>33</v>
      </c>
      <c r="J987" t="s">
        <v>126</v>
      </c>
      <c r="K987">
        <v>1</v>
      </c>
      <c r="L987">
        <v>1463.29</v>
      </c>
      <c r="M987" s="3">
        <v>0.2</v>
      </c>
      <c r="N987" t="str">
        <f>VLOOKUP(Table1[[#This Row],[Country]],REF_Country!$A$1:$D$11,2,FALSE)</f>
        <v>Southeast Asia</v>
      </c>
      <c r="O987" t="str">
        <f>VLOOKUP(Table1[[#This Row],[Country]],REF_Country!$A$1:$D$11,3,FALSE)</f>
        <v>TH</v>
      </c>
      <c r="P987">
        <f>VLOOKUP(Table1[[#This Row],[Country]],REF_Country!$A$1:$D$11,4,FALSE)</f>
        <v>7.0000000000000007E-2</v>
      </c>
      <c r="Q987">
        <f>VLOOKUP(Table1[[#This Row],[Category]],REF_Target!$A$1:$E$6,2,FALSE)</f>
        <v>50000</v>
      </c>
      <c r="R987">
        <f>Table1[[#This Row],[Quantity]]*Table1[[#This Row],[Unit_Price]]</f>
        <v>1463.29</v>
      </c>
      <c r="S987">
        <f>Table1[[#This Row],[Gross_Sales]]*Table1[[#This Row],[Discount_Rate]]</f>
        <v>292.65800000000002</v>
      </c>
      <c r="T987">
        <f>Table1[[#This Row],[Gross_Sales]]-Table1[[#This Row],[Discount_Amount]]</f>
        <v>1170.6320000000001</v>
      </c>
      <c r="U987">
        <f>VLOOKUP(Table1[[#This Row],[Category]],REF_Cost!$A$1:$B$6,2,FALSE)*Table1[[#This Row],[Quantity]]</f>
        <v>450</v>
      </c>
      <c r="V987">
        <f>Table1[[#This Row],[Net_Sales]]-Table1[[#This Row],[Total_Cost]]</f>
        <v>720.63200000000006</v>
      </c>
      <c r="W987" t="str">
        <f>TEXT(Table1[[#This Row],[Order_Date]],"mmm")</f>
        <v>Jun</v>
      </c>
      <c r="X987">
        <f>ROUNDUP(MONTH(Table1[[#This Row],[Order_Date]])/3,0)</f>
        <v>2</v>
      </c>
      <c r="Y987">
        <f>YEAR(Table1[[#This Row],[Order_Date]])</f>
        <v>2024</v>
      </c>
    </row>
    <row r="988" spans="1:25" x14ac:dyDescent="0.25">
      <c r="A988" t="s">
        <v>4012</v>
      </c>
      <c r="B988" t="s">
        <v>4013</v>
      </c>
      <c r="C988" t="s">
        <v>4014</v>
      </c>
      <c r="D988" t="s">
        <v>2508</v>
      </c>
      <c r="E988" t="s">
        <v>116</v>
      </c>
      <c r="F988" t="s">
        <v>40</v>
      </c>
      <c r="G988" t="s">
        <v>565</v>
      </c>
      <c r="H988" t="s">
        <v>72</v>
      </c>
      <c r="I988" t="s">
        <v>66</v>
      </c>
      <c r="J988" t="s">
        <v>59</v>
      </c>
      <c r="K988">
        <v>2</v>
      </c>
      <c r="L988">
        <v>183.08</v>
      </c>
      <c r="M988" s="3">
        <v>0</v>
      </c>
      <c r="N988" t="str">
        <f>VLOOKUP(Table1[[#This Row],[Country]],REF_Country!$A$1:$D$11,2,FALSE)</f>
        <v>Southeast Asia</v>
      </c>
      <c r="O988" t="str">
        <f>VLOOKUP(Table1[[#This Row],[Country]],REF_Country!$A$1:$D$11,3,FALSE)</f>
        <v>MY</v>
      </c>
      <c r="P988">
        <f>VLOOKUP(Table1[[#This Row],[Country]],REF_Country!$A$1:$D$11,4,FALSE)</f>
        <v>0.06</v>
      </c>
      <c r="Q988">
        <f>VLOOKUP(Table1[[#This Row],[Category]],REF_Target!$A$1:$E$6,2,FALSE)</f>
        <v>45000</v>
      </c>
      <c r="R988">
        <f>Table1[[#This Row],[Quantity]]*Table1[[#This Row],[Unit_Price]]</f>
        <v>366.16</v>
      </c>
      <c r="S988">
        <f>Table1[[#This Row],[Gross_Sales]]*Table1[[#This Row],[Discount_Rate]]</f>
        <v>0</v>
      </c>
      <c r="T988">
        <f>Table1[[#This Row],[Gross_Sales]]-Table1[[#This Row],[Discount_Amount]]</f>
        <v>366.16</v>
      </c>
      <c r="U988">
        <f>VLOOKUP(Table1[[#This Row],[Category]],REF_Cost!$A$1:$B$6,2,FALSE)*Table1[[#This Row],[Quantity]]</f>
        <v>160</v>
      </c>
      <c r="V988">
        <f>Table1[[#This Row],[Net_Sales]]-Table1[[#This Row],[Total_Cost]]</f>
        <v>206.16000000000003</v>
      </c>
      <c r="W988" t="str">
        <f>TEXT(Table1[[#This Row],[Order_Date]],"mmm")</f>
        <v>Apr</v>
      </c>
      <c r="X988">
        <f>ROUNDUP(MONTH(Table1[[#This Row],[Order_Date]])/3,0)</f>
        <v>2</v>
      </c>
      <c r="Y988">
        <f>YEAR(Table1[[#This Row],[Order_Date]])</f>
        <v>2024</v>
      </c>
    </row>
    <row r="989" spans="1:25" x14ac:dyDescent="0.25">
      <c r="A989" t="s">
        <v>4015</v>
      </c>
      <c r="B989" t="s">
        <v>4016</v>
      </c>
      <c r="C989" t="s">
        <v>4017</v>
      </c>
      <c r="D989" t="s">
        <v>4018</v>
      </c>
      <c r="E989" t="s">
        <v>149</v>
      </c>
      <c r="F989" t="s">
        <v>84</v>
      </c>
      <c r="G989" t="s">
        <v>85</v>
      </c>
      <c r="H989" t="s">
        <v>58</v>
      </c>
      <c r="I989" t="s">
        <v>96</v>
      </c>
      <c r="J989" t="s">
        <v>59</v>
      </c>
      <c r="K989">
        <v>10</v>
      </c>
      <c r="L989">
        <v>51.67</v>
      </c>
      <c r="M989" s="3">
        <v>0.05</v>
      </c>
      <c r="N989" t="str">
        <f>VLOOKUP(Table1[[#This Row],[Country]],REF_Country!$A$1:$D$11,2,FALSE)</f>
        <v>East Asia</v>
      </c>
      <c r="O989" t="str">
        <f>VLOOKUP(Table1[[#This Row],[Country]],REF_Country!$A$1:$D$11,3,FALSE)</f>
        <v>JP</v>
      </c>
      <c r="P989">
        <f>VLOOKUP(Table1[[#This Row],[Country]],REF_Country!$A$1:$D$11,4,FALSE)</f>
        <v>0.1</v>
      </c>
      <c r="Q989">
        <f>VLOOKUP(Table1[[#This Row],[Category]],REF_Target!$A$1:$E$6,2,FALSE)</f>
        <v>30000</v>
      </c>
      <c r="R989">
        <f>Table1[[#This Row],[Quantity]]*Table1[[#This Row],[Unit_Price]]</f>
        <v>516.70000000000005</v>
      </c>
      <c r="S989">
        <f>Table1[[#This Row],[Gross_Sales]]*Table1[[#This Row],[Discount_Rate]]</f>
        <v>25.835000000000004</v>
      </c>
      <c r="T989">
        <f>Table1[[#This Row],[Gross_Sales]]-Table1[[#This Row],[Discount_Amount]]</f>
        <v>490.86500000000007</v>
      </c>
      <c r="U989">
        <f>VLOOKUP(Table1[[#This Row],[Category]],REF_Cost!$A$1:$B$6,2,FALSE)*Table1[[#This Row],[Quantity]]</f>
        <v>2000</v>
      </c>
      <c r="V989">
        <f>Table1[[#This Row],[Net_Sales]]-Table1[[#This Row],[Total_Cost]]</f>
        <v>-1509.135</v>
      </c>
      <c r="W989" t="str">
        <f>TEXT(Table1[[#This Row],[Order_Date]],"mmm")</f>
        <v>Jul</v>
      </c>
      <c r="X989">
        <f>ROUNDUP(MONTH(Table1[[#This Row],[Order_Date]])/3,0)</f>
        <v>3</v>
      </c>
      <c r="Y989">
        <f>YEAR(Table1[[#This Row],[Order_Date]])</f>
        <v>2024</v>
      </c>
    </row>
    <row r="990" spans="1:25" x14ac:dyDescent="0.25">
      <c r="A990" t="s">
        <v>4019</v>
      </c>
      <c r="B990" t="s">
        <v>4020</v>
      </c>
      <c r="C990" t="s">
        <v>4021</v>
      </c>
      <c r="D990" t="s">
        <v>4022</v>
      </c>
      <c r="E990" t="s">
        <v>48</v>
      </c>
      <c r="F990" t="s">
        <v>84</v>
      </c>
      <c r="G990" t="s">
        <v>205</v>
      </c>
      <c r="H990" t="s">
        <v>32</v>
      </c>
      <c r="I990" t="s">
        <v>51</v>
      </c>
      <c r="J990" t="s">
        <v>73</v>
      </c>
      <c r="K990">
        <v>3</v>
      </c>
      <c r="L990">
        <v>446.95</v>
      </c>
      <c r="M990" s="3">
        <v>0.15</v>
      </c>
      <c r="N990" t="str">
        <f>VLOOKUP(Table1[[#This Row],[Country]],REF_Country!$A$1:$D$11,2,FALSE)</f>
        <v>Southeast Asia</v>
      </c>
      <c r="O990" t="str">
        <f>VLOOKUP(Table1[[#This Row],[Country]],REF_Country!$A$1:$D$11,3,FALSE)</f>
        <v>SG</v>
      </c>
      <c r="P990">
        <f>VLOOKUP(Table1[[#This Row],[Country]],REF_Country!$A$1:$D$11,4,FALSE)</f>
        <v>7.0000000000000007E-2</v>
      </c>
      <c r="Q990">
        <f>VLOOKUP(Table1[[#This Row],[Category]],REF_Target!$A$1:$E$6,2,FALSE)</f>
        <v>30000</v>
      </c>
      <c r="R990">
        <f>Table1[[#This Row],[Quantity]]*Table1[[#This Row],[Unit_Price]]</f>
        <v>1340.85</v>
      </c>
      <c r="S990">
        <f>Table1[[#This Row],[Gross_Sales]]*Table1[[#This Row],[Discount_Rate]]</f>
        <v>201.12749999999997</v>
      </c>
      <c r="T990">
        <f>Table1[[#This Row],[Gross_Sales]]-Table1[[#This Row],[Discount_Amount]]</f>
        <v>1139.7224999999999</v>
      </c>
      <c r="U990">
        <f>VLOOKUP(Table1[[#This Row],[Category]],REF_Cost!$A$1:$B$6,2,FALSE)*Table1[[#This Row],[Quantity]]</f>
        <v>600</v>
      </c>
      <c r="V990">
        <f>Table1[[#This Row],[Net_Sales]]-Table1[[#This Row],[Total_Cost]]</f>
        <v>539.72249999999985</v>
      </c>
      <c r="W990" t="str">
        <f>TEXT(Table1[[#This Row],[Order_Date]],"mmm")</f>
        <v>May</v>
      </c>
      <c r="X990">
        <f>ROUNDUP(MONTH(Table1[[#This Row],[Order_Date]])/3,0)</f>
        <v>2</v>
      </c>
      <c r="Y990">
        <f>YEAR(Table1[[#This Row],[Order_Date]])</f>
        <v>2024</v>
      </c>
    </row>
    <row r="991" spans="1:25" x14ac:dyDescent="0.25">
      <c r="A991" t="s">
        <v>4023</v>
      </c>
      <c r="B991" t="s">
        <v>4024</v>
      </c>
      <c r="C991" t="s">
        <v>4025</v>
      </c>
      <c r="D991" t="s">
        <v>4026</v>
      </c>
      <c r="E991" t="s">
        <v>78</v>
      </c>
      <c r="F991" t="s">
        <v>40</v>
      </c>
      <c r="G991" t="s">
        <v>315</v>
      </c>
      <c r="H991" t="s">
        <v>32</v>
      </c>
      <c r="I991" t="s">
        <v>43</v>
      </c>
      <c r="J991" t="s">
        <v>34</v>
      </c>
      <c r="K991">
        <v>7</v>
      </c>
      <c r="L991">
        <v>1410.81</v>
      </c>
      <c r="M991" s="3">
        <v>0.15</v>
      </c>
      <c r="N991" t="str">
        <f>VLOOKUP(Table1[[#This Row],[Country]],REF_Country!$A$1:$D$11,2,FALSE)</f>
        <v>Oceania</v>
      </c>
      <c r="O991" t="str">
        <f>VLOOKUP(Table1[[#This Row],[Country]],REF_Country!$A$1:$D$11,3,FALSE)</f>
        <v>AU</v>
      </c>
      <c r="P991">
        <f>VLOOKUP(Table1[[#This Row],[Country]],REF_Country!$A$1:$D$11,4,FALSE)</f>
        <v>0.1</v>
      </c>
      <c r="Q991">
        <f>VLOOKUP(Table1[[#This Row],[Category]],REF_Target!$A$1:$E$6,2,FALSE)</f>
        <v>45000</v>
      </c>
      <c r="R991">
        <f>Table1[[#This Row],[Quantity]]*Table1[[#This Row],[Unit_Price]]</f>
        <v>9875.67</v>
      </c>
      <c r="S991">
        <f>Table1[[#This Row],[Gross_Sales]]*Table1[[#This Row],[Discount_Rate]]</f>
        <v>1481.3505</v>
      </c>
      <c r="T991">
        <f>Table1[[#This Row],[Gross_Sales]]-Table1[[#This Row],[Discount_Amount]]</f>
        <v>8394.3194999999996</v>
      </c>
      <c r="U991">
        <f>VLOOKUP(Table1[[#This Row],[Category]],REF_Cost!$A$1:$B$6,2,FALSE)*Table1[[#This Row],[Quantity]]</f>
        <v>560</v>
      </c>
      <c r="V991">
        <f>Table1[[#This Row],[Net_Sales]]-Table1[[#This Row],[Total_Cost]]</f>
        <v>7834.3194999999996</v>
      </c>
      <c r="W991" t="str">
        <f>TEXT(Table1[[#This Row],[Order_Date]],"mmm")</f>
        <v>Sep</v>
      </c>
      <c r="X991">
        <f>ROUNDUP(MONTH(Table1[[#This Row],[Order_Date]])/3,0)</f>
        <v>3</v>
      </c>
      <c r="Y991">
        <f>YEAR(Table1[[#This Row],[Order_Date]])</f>
        <v>2024</v>
      </c>
    </row>
    <row r="992" spans="1:25" x14ac:dyDescent="0.25">
      <c r="A992" t="s">
        <v>4027</v>
      </c>
      <c r="B992" t="s">
        <v>4028</v>
      </c>
      <c r="C992" t="s">
        <v>4029</v>
      </c>
      <c r="D992" t="s">
        <v>4030</v>
      </c>
      <c r="E992" t="s">
        <v>39</v>
      </c>
      <c r="F992" t="s">
        <v>40</v>
      </c>
      <c r="G992" t="s">
        <v>41</v>
      </c>
      <c r="H992" t="s">
        <v>42</v>
      </c>
      <c r="I992" t="s">
        <v>33</v>
      </c>
      <c r="J992" t="s">
        <v>126</v>
      </c>
      <c r="K992">
        <v>9</v>
      </c>
      <c r="L992">
        <v>1496.75</v>
      </c>
      <c r="M992" s="3">
        <v>0.2</v>
      </c>
      <c r="N992" t="str">
        <f>VLOOKUP(Table1[[#This Row],[Country]],REF_Country!$A$1:$D$11,2,FALSE)</f>
        <v>Southeast Asia</v>
      </c>
      <c r="O992" t="str">
        <f>VLOOKUP(Table1[[#This Row],[Country]],REF_Country!$A$1:$D$11,3,FALSE)</f>
        <v>TH</v>
      </c>
      <c r="P992">
        <f>VLOOKUP(Table1[[#This Row],[Country]],REF_Country!$A$1:$D$11,4,FALSE)</f>
        <v>7.0000000000000007E-2</v>
      </c>
      <c r="Q992">
        <f>VLOOKUP(Table1[[#This Row],[Category]],REF_Target!$A$1:$E$6,2,FALSE)</f>
        <v>45000</v>
      </c>
      <c r="R992">
        <f>Table1[[#This Row],[Quantity]]*Table1[[#This Row],[Unit_Price]]</f>
        <v>13470.75</v>
      </c>
      <c r="S992">
        <f>Table1[[#This Row],[Gross_Sales]]*Table1[[#This Row],[Discount_Rate]]</f>
        <v>2694.15</v>
      </c>
      <c r="T992">
        <f>Table1[[#This Row],[Gross_Sales]]-Table1[[#This Row],[Discount_Amount]]</f>
        <v>10776.6</v>
      </c>
      <c r="U992">
        <f>VLOOKUP(Table1[[#This Row],[Category]],REF_Cost!$A$1:$B$6,2,FALSE)*Table1[[#This Row],[Quantity]]</f>
        <v>720</v>
      </c>
      <c r="V992">
        <f>Table1[[#This Row],[Net_Sales]]-Table1[[#This Row],[Total_Cost]]</f>
        <v>10056.6</v>
      </c>
      <c r="W992" t="str">
        <f>TEXT(Table1[[#This Row],[Order_Date]],"mmm")</f>
        <v>Feb</v>
      </c>
      <c r="X992">
        <f>ROUNDUP(MONTH(Table1[[#This Row],[Order_Date]])/3,0)</f>
        <v>1</v>
      </c>
      <c r="Y992">
        <f>YEAR(Table1[[#This Row],[Order_Date]])</f>
        <v>2024</v>
      </c>
    </row>
    <row r="993" spans="1:25" x14ac:dyDescent="0.25">
      <c r="A993" t="s">
        <v>4031</v>
      </c>
      <c r="B993" t="s">
        <v>4032</v>
      </c>
      <c r="C993" t="s">
        <v>4033</v>
      </c>
      <c r="D993" t="s">
        <v>4034</v>
      </c>
      <c r="E993" t="s">
        <v>78</v>
      </c>
      <c r="F993" t="s">
        <v>40</v>
      </c>
      <c r="G993" t="s">
        <v>565</v>
      </c>
      <c r="H993" t="s">
        <v>58</v>
      </c>
      <c r="I993" t="s">
        <v>43</v>
      </c>
      <c r="J993" t="s">
        <v>59</v>
      </c>
      <c r="K993">
        <v>4</v>
      </c>
      <c r="L993">
        <v>485.65</v>
      </c>
      <c r="M993" s="3">
        <v>0.15</v>
      </c>
      <c r="N993" t="str">
        <f>VLOOKUP(Table1[[#This Row],[Country]],REF_Country!$A$1:$D$11,2,FALSE)</f>
        <v>Oceania</v>
      </c>
      <c r="O993" t="str">
        <f>VLOOKUP(Table1[[#This Row],[Country]],REF_Country!$A$1:$D$11,3,FALSE)</f>
        <v>AU</v>
      </c>
      <c r="P993">
        <f>VLOOKUP(Table1[[#This Row],[Country]],REF_Country!$A$1:$D$11,4,FALSE)</f>
        <v>0.1</v>
      </c>
      <c r="Q993">
        <f>VLOOKUP(Table1[[#This Row],[Category]],REF_Target!$A$1:$E$6,2,FALSE)</f>
        <v>45000</v>
      </c>
      <c r="R993">
        <f>Table1[[#This Row],[Quantity]]*Table1[[#This Row],[Unit_Price]]</f>
        <v>1942.6</v>
      </c>
      <c r="S993">
        <f>Table1[[#This Row],[Gross_Sales]]*Table1[[#This Row],[Discount_Rate]]</f>
        <v>291.39</v>
      </c>
      <c r="T993">
        <f>Table1[[#This Row],[Gross_Sales]]-Table1[[#This Row],[Discount_Amount]]</f>
        <v>1651.21</v>
      </c>
      <c r="U993">
        <f>VLOOKUP(Table1[[#This Row],[Category]],REF_Cost!$A$1:$B$6,2,FALSE)*Table1[[#This Row],[Quantity]]</f>
        <v>320</v>
      </c>
      <c r="V993">
        <f>Table1[[#This Row],[Net_Sales]]-Table1[[#This Row],[Total_Cost]]</f>
        <v>1331.21</v>
      </c>
      <c r="W993" t="str">
        <f>TEXT(Table1[[#This Row],[Order_Date]],"mmm")</f>
        <v>Jan</v>
      </c>
      <c r="X993">
        <f>ROUNDUP(MONTH(Table1[[#This Row],[Order_Date]])/3,0)</f>
        <v>1</v>
      </c>
      <c r="Y993">
        <f>YEAR(Table1[[#This Row],[Order_Date]])</f>
        <v>2024</v>
      </c>
    </row>
    <row r="994" spans="1:25" x14ac:dyDescent="0.25">
      <c r="A994" t="s">
        <v>4035</v>
      </c>
      <c r="B994" t="s">
        <v>4036</v>
      </c>
      <c r="C994" t="s">
        <v>4037</v>
      </c>
      <c r="D994" t="s">
        <v>4038</v>
      </c>
      <c r="E994" t="s">
        <v>71</v>
      </c>
      <c r="F994" t="s">
        <v>56</v>
      </c>
      <c r="G994" t="s">
        <v>95</v>
      </c>
      <c r="H994" t="s">
        <v>32</v>
      </c>
      <c r="I994" t="s">
        <v>66</v>
      </c>
      <c r="J994" t="s">
        <v>126</v>
      </c>
      <c r="K994">
        <v>7</v>
      </c>
      <c r="L994">
        <v>675.84</v>
      </c>
      <c r="M994" s="3">
        <v>0.05</v>
      </c>
      <c r="N994" t="str">
        <f>VLOOKUP(Table1[[#This Row],[Country]],REF_Country!$A$1:$D$11,2,FALSE)</f>
        <v>Southeast Asia</v>
      </c>
      <c r="O994" t="str">
        <f>VLOOKUP(Table1[[#This Row],[Country]],REF_Country!$A$1:$D$11,3,FALSE)</f>
        <v>PH</v>
      </c>
      <c r="P994">
        <f>VLOOKUP(Table1[[#This Row],[Country]],REF_Country!$A$1:$D$11,4,FALSE)</f>
        <v>0.12</v>
      </c>
      <c r="Q994">
        <f>VLOOKUP(Table1[[#This Row],[Category]],REF_Target!$A$1:$E$6,2,FALSE)</f>
        <v>50000</v>
      </c>
      <c r="R994">
        <f>Table1[[#This Row],[Quantity]]*Table1[[#This Row],[Unit_Price]]</f>
        <v>4730.88</v>
      </c>
      <c r="S994">
        <f>Table1[[#This Row],[Gross_Sales]]*Table1[[#This Row],[Discount_Rate]]</f>
        <v>236.54400000000001</v>
      </c>
      <c r="T994">
        <f>Table1[[#This Row],[Gross_Sales]]-Table1[[#This Row],[Discount_Amount]]</f>
        <v>4494.3360000000002</v>
      </c>
      <c r="U994">
        <f>VLOOKUP(Table1[[#This Row],[Category]],REF_Cost!$A$1:$B$6,2,FALSE)*Table1[[#This Row],[Quantity]]</f>
        <v>3150</v>
      </c>
      <c r="V994">
        <f>Table1[[#This Row],[Net_Sales]]-Table1[[#This Row],[Total_Cost]]</f>
        <v>1344.3360000000002</v>
      </c>
      <c r="W994" t="str">
        <f>TEXT(Table1[[#This Row],[Order_Date]],"mmm")</f>
        <v>Jul</v>
      </c>
      <c r="X994">
        <f>ROUNDUP(MONTH(Table1[[#This Row],[Order_Date]])/3,0)</f>
        <v>3</v>
      </c>
      <c r="Y994">
        <f>YEAR(Table1[[#This Row],[Order_Date]])</f>
        <v>2024</v>
      </c>
    </row>
    <row r="995" spans="1:25" x14ac:dyDescent="0.25">
      <c r="A995" t="s">
        <v>4039</v>
      </c>
      <c r="B995" t="s">
        <v>4040</v>
      </c>
      <c r="C995" t="s">
        <v>4041</v>
      </c>
      <c r="D995" t="s">
        <v>4042</v>
      </c>
      <c r="E995" t="s">
        <v>39</v>
      </c>
      <c r="F995" t="s">
        <v>49</v>
      </c>
      <c r="G995" t="s">
        <v>226</v>
      </c>
      <c r="H995" t="s">
        <v>72</v>
      </c>
      <c r="I995" t="s">
        <v>96</v>
      </c>
      <c r="J995" t="s">
        <v>73</v>
      </c>
      <c r="K995">
        <v>3</v>
      </c>
      <c r="L995">
        <v>356.2</v>
      </c>
      <c r="M995" s="3">
        <v>0.15</v>
      </c>
      <c r="N995" t="str">
        <f>VLOOKUP(Table1[[#This Row],[Country]],REF_Country!$A$1:$D$11,2,FALSE)</f>
        <v>Southeast Asia</v>
      </c>
      <c r="O995" t="str">
        <f>VLOOKUP(Table1[[#This Row],[Country]],REF_Country!$A$1:$D$11,3,FALSE)</f>
        <v>TH</v>
      </c>
      <c r="P995">
        <f>VLOOKUP(Table1[[#This Row],[Country]],REF_Country!$A$1:$D$11,4,FALSE)</f>
        <v>7.0000000000000007E-2</v>
      </c>
      <c r="Q995">
        <f>VLOOKUP(Table1[[#This Row],[Category]],REF_Target!$A$1:$E$6,2,FALSE)</f>
        <v>35000</v>
      </c>
      <c r="R995">
        <f>Table1[[#This Row],[Quantity]]*Table1[[#This Row],[Unit_Price]]</f>
        <v>1068.5999999999999</v>
      </c>
      <c r="S995">
        <f>Table1[[#This Row],[Gross_Sales]]*Table1[[#This Row],[Discount_Rate]]</f>
        <v>160.29</v>
      </c>
      <c r="T995">
        <f>Table1[[#This Row],[Gross_Sales]]-Table1[[#This Row],[Discount_Amount]]</f>
        <v>908.31</v>
      </c>
      <c r="U995">
        <f>VLOOKUP(Table1[[#This Row],[Category]],REF_Cost!$A$1:$B$6,2,FALSE)*Table1[[#This Row],[Quantity]]</f>
        <v>450</v>
      </c>
      <c r="V995">
        <f>Table1[[#This Row],[Net_Sales]]-Table1[[#This Row],[Total_Cost]]</f>
        <v>458.30999999999995</v>
      </c>
      <c r="W995" t="str">
        <f>TEXT(Table1[[#This Row],[Order_Date]],"mmm")</f>
        <v>Nov</v>
      </c>
      <c r="X995">
        <f>ROUNDUP(MONTH(Table1[[#This Row],[Order_Date]])/3,0)</f>
        <v>4</v>
      </c>
      <c r="Y995">
        <f>YEAR(Table1[[#This Row],[Order_Date]])</f>
        <v>2024</v>
      </c>
    </row>
    <row r="996" spans="1:25" x14ac:dyDescent="0.25">
      <c r="A996" t="s">
        <v>4043</v>
      </c>
      <c r="B996" t="s">
        <v>4044</v>
      </c>
      <c r="C996" t="s">
        <v>4045</v>
      </c>
      <c r="D996" t="s">
        <v>4046</v>
      </c>
      <c r="E996" t="s">
        <v>71</v>
      </c>
      <c r="F996" t="s">
        <v>56</v>
      </c>
      <c r="G996" t="s">
        <v>101</v>
      </c>
      <c r="H996" t="s">
        <v>42</v>
      </c>
      <c r="I996" t="s">
        <v>43</v>
      </c>
      <c r="J996" t="s">
        <v>73</v>
      </c>
      <c r="K996">
        <v>9</v>
      </c>
      <c r="L996">
        <v>621.63</v>
      </c>
      <c r="M996" s="3">
        <v>0</v>
      </c>
      <c r="N996" t="str">
        <f>VLOOKUP(Table1[[#This Row],[Country]],REF_Country!$A$1:$D$11,2,FALSE)</f>
        <v>Southeast Asia</v>
      </c>
      <c r="O996" t="str">
        <f>VLOOKUP(Table1[[#This Row],[Country]],REF_Country!$A$1:$D$11,3,FALSE)</f>
        <v>PH</v>
      </c>
      <c r="P996">
        <f>VLOOKUP(Table1[[#This Row],[Country]],REF_Country!$A$1:$D$11,4,FALSE)</f>
        <v>0.12</v>
      </c>
      <c r="Q996">
        <f>VLOOKUP(Table1[[#This Row],[Category]],REF_Target!$A$1:$E$6,2,FALSE)</f>
        <v>50000</v>
      </c>
      <c r="R996">
        <f>Table1[[#This Row],[Quantity]]*Table1[[#This Row],[Unit_Price]]</f>
        <v>5594.67</v>
      </c>
      <c r="S996">
        <f>Table1[[#This Row],[Gross_Sales]]*Table1[[#This Row],[Discount_Rate]]</f>
        <v>0</v>
      </c>
      <c r="T996">
        <f>Table1[[#This Row],[Gross_Sales]]-Table1[[#This Row],[Discount_Amount]]</f>
        <v>5594.67</v>
      </c>
      <c r="U996">
        <f>VLOOKUP(Table1[[#This Row],[Category]],REF_Cost!$A$1:$B$6,2,FALSE)*Table1[[#This Row],[Quantity]]</f>
        <v>4050</v>
      </c>
      <c r="V996">
        <f>Table1[[#This Row],[Net_Sales]]-Table1[[#This Row],[Total_Cost]]</f>
        <v>1544.67</v>
      </c>
      <c r="W996" t="str">
        <f>TEXT(Table1[[#This Row],[Order_Date]],"mmm")</f>
        <v>May</v>
      </c>
      <c r="X996">
        <f>ROUNDUP(MONTH(Table1[[#This Row],[Order_Date]])/3,0)</f>
        <v>2</v>
      </c>
      <c r="Y996">
        <f>YEAR(Table1[[#This Row],[Order_Date]])</f>
        <v>2024</v>
      </c>
    </row>
    <row r="997" spans="1:25" x14ac:dyDescent="0.25">
      <c r="A997" t="s">
        <v>4047</v>
      </c>
      <c r="B997" t="s">
        <v>4048</v>
      </c>
      <c r="C997" t="s">
        <v>4049</v>
      </c>
      <c r="D997" t="s">
        <v>4050</v>
      </c>
      <c r="E997" t="s">
        <v>149</v>
      </c>
      <c r="F997" t="s">
        <v>84</v>
      </c>
      <c r="G997" t="s">
        <v>90</v>
      </c>
      <c r="H997" t="s">
        <v>32</v>
      </c>
      <c r="I997" t="s">
        <v>43</v>
      </c>
      <c r="J997" t="s">
        <v>126</v>
      </c>
      <c r="K997">
        <v>8</v>
      </c>
      <c r="L997">
        <v>1071.4000000000001</v>
      </c>
      <c r="M997" s="3">
        <v>0.2</v>
      </c>
      <c r="N997" t="str">
        <f>VLOOKUP(Table1[[#This Row],[Country]],REF_Country!$A$1:$D$11,2,FALSE)</f>
        <v>East Asia</v>
      </c>
      <c r="O997" t="str">
        <f>VLOOKUP(Table1[[#This Row],[Country]],REF_Country!$A$1:$D$11,3,FALSE)</f>
        <v>JP</v>
      </c>
      <c r="P997">
        <f>VLOOKUP(Table1[[#This Row],[Country]],REF_Country!$A$1:$D$11,4,FALSE)</f>
        <v>0.1</v>
      </c>
      <c r="Q997">
        <f>VLOOKUP(Table1[[#This Row],[Category]],REF_Target!$A$1:$E$6,2,FALSE)</f>
        <v>30000</v>
      </c>
      <c r="R997">
        <f>Table1[[#This Row],[Quantity]]*Table1[[#This Row],[Unit_Price]]</f>
        <v>8571.2000000000007</v>
      </c>
      <c r="S997">
        <f>Table1[[#This Row],[Gross_Sales]]*Table1[[#This Row],[Discount_Rate]]</f>
        <v>1714.2400000000002</v>
      </c>
      <c r="T997">
        <f>Table1[[#This Row],[Gross_Sales]]-Table1[[#This Row],[Discount_Amount]]</f>
        <v>6856.9600000000009</v>
      </c>
      <c r="U997">
        <f>VLOOKUP(Table1[[#This Row],[Category]],REF_Cost!$A$1:$B$6,2,FALSE)*Table1[[#This Row],[Quantity]]</f>
        <v>1600</v>
      </c>
      <c r="V997">
        <f>Table1[[#This Row],[Net_Sales]]-Table1[[#This Row],[Total_Cost]]</f>
        <v>5256.9600000000009</v>
      </c>
      <c r="W997" t="str">
        <f>TEXT(Table1[[#This Row],[Order_Date]],"mmm")</f>
        <v>Jan</v>
      </c>
      <c r="X997">
        <f>ROUNDUP(MONTH(Table1[[#This Row],[Order_Date]])/3,0)</f>
        <v>1</v>
      </c>
      <c r="Y997">
        <f>YEAR(Table1[[#This Row],[Order_Date]])</f>
        <v>2024</v>
      </c>
    </row>
    <row r="998" spans="1:25" x14ac:dyDescent="0.25">
      <c r="A998" t="s">
        <v>4051</v>
      </c>
      <c r="B998" t="s">
        <v>4052</v>
      </c>
      <c r="C998" t="s">
        <v>4053</v>
      </c>
      <c r="D998" t="s">
        <v>4054</v>
      </c>
      <c r="E998" t="s">
        <v>116</v>
      </c>
      <c r="F998" t="s">
        <v>30</v>
      </c>
      <c r="G998" t="s">
        <v>139</v>
      </c>
      <c r="H998" t="s">
        <v>58</v>
      </c>
      <c r="I998" t="s">
        <v>43</v>
      </c>
      <c r="J998" t="s">
        <v>34</v>
      </c>
      <c r="K998">
        <v>7</v>
      </c>
      <c r="L998">
        <v>1302.32</v>
      </c>
      <c r="M998" s="3">
        <v>0.1</v>
      </c>
      <c r="N998" t="str">
        <f>VLOOKUP(Table1[[#This Row],[Country]],REF_Country!$A$1:$D$11,2,FALSE)</f>
        <v>Southeast Asia</v>
      </c>
      <c r="O998" t="str">
        <f>VLOOKUP(Table1[[#This Row],[Country]],REF_Country!$A$1:$D$11,3,FALSE)</f>
        <v>MY</v>
      </c>
      <c r="P998">
        <f>VLOOKUP(Table1[[#This Row],[Country]],REF_Country!$A$1:$D$11,4,FALSE)</f>
        <v>0.06</v>
      </c>
      <c r="Q998">
        <f>VLOOKUP(Table1[[#This Row],[Category]],REF_Target!$A$1:$E$6,2,FALSE)</f>
        <v>40000</v>
      </c>
      <c r="R998">
        <f>Table1[[#This Row],[Quantity]]*Table1[[#This Row],[Unit_Price]]</f>
        <v>9116.24</v>
      </c>
      <c r="S998">
        <f>Table1[[#This Row],[Gross_Sales]]*Table1[[#This Row],[Discount_Rate]]</f>
        <v>911.62400000000002</v>
      </c>
      <c r="T998">
        <f>Table1[[#This Row],[Gross_Sales]]-Table1[[#This Row],[Discount_Amount]]</f>
        <v>8204.616</v>
      </c>
      <c r="U998">
        <f>VLOOKUP(Table1[[#This Row],[Category]],REF_Cost!$A$1:$B$6,2,FALSE)*Table1[[#This Row],[Quantity]]</f>
        <v>840</v>
      </c>
      <c r="V998">
        <f>Table1[[#This Row],[Net_Sales]]-Table1[[#This Row],[Total_Cost]]</f>
        <v>7364.616</v>
      </c>
      <c r="W998" t="str">
        <f>TEXT(Table1[[#This Row],[Order_Date]],"mmm")</f>
        <v>Jan</v>
      </c>
      <c r="X998">
        <f>ROUNDUP(MONTH(Table1[[#This Row],[Order_Date]])/3,0)</f>
        <v>1</v>
      </c>
      <c r="Y998">
        <f>YEAR(Table1[[#This Row],[Order_Date]])</f>
        <v>2024</v>
      </c>
    </row>
    <row r="999" spans="1:25" x14ac:dyDescent="0.25">
      <c r="A999" t="s">
        <v>4055</v>
      </c>
      <c r="B999" t="s">
        <v>4056</v>
      </c>
      <c r="C999" t="s">
        <v>4057</v>
      </c>
      <c r="D999" t="s">
        <v>4058</v>
      </c>
      <c r="E999" t="s">
        <v>116</v>
      </c>
      <c r="F999" t="s">
        <v>84</v>
      </c>
      <c r="G999" t="s">
        <v>412</v>
      </c>
      <c r="H999" t="s">
        <v>32</v>
      </c>
      <c r="I999" t="s">
        <v>51</v>
      </c>
      <c r="J999" t="s">
        <v>59</v>
      </c>
      <c r="K999">
        <v>10</v>
      </c>
      <c r="L999">
        <v>893.34</v>
      </c>
      <c r="M999" s="3">
        <v>0</v>
      </c>
      <c r="N999" t="str">
        <f>VLOOKUP(Table1[[#This Row],[Country]],REF_Country!$A$1:$D$11,2,FALSE)</f>
        <v>Southeast Asia</v>
      </c>
      <c r="O999" t="str">
        <f>VLOOKUP(Table1[[#This Row],[Country]],REF_Country!$A$1:$D$11,3,FALSE)</f>
        <v>MY</v>
      </c>
      <c r="P999">
        <f>VLOOKUP(Table1[[#This Row],[Country]],REF_Country!$A$1:$D$11,4,FALSE)</f>
        <v>0.06</v>
      </c>
      <c r="Q999">
        <f>VLOOKUP(Table1[[#This Row],[Category]],REF_Target!$A$1:$E$6,2,FALSE)</f>
        <v>30000</v>
      </c>
      <c r="R999">
        <f>Table1[[#This Row],[Quantity]]*Table1[[#This Row],[Unit_Price]]</f>
        <v>8933.4</v>
      </c>
      <c r="S999">
        <f>Table1[[#This Row],[Gross_Sales]]*Table1[[#This Row],[Discount_Rate]]</f>
        <v>0</v>
      </c>
      <c r="T999">
        <f>Table1[[#This Row],[Gross_Sales]]-Table1[[#This Row],[Discount_Amount]]</f>
        <v>8933.4</v>
      </c>
      <c r="U999">
        <f>VLOOKUP(Table1[[#This Row],[Category]],REF_Cost!$A$1:$B$6,2,FALSE)*Table1[[#This Row],[Quantity]]</f>
        <v>2000</v>
      </c>
      <c r="V999">
        <f>Table1[[#This Row],[Net_Sales]]-Table1[[#This Row],[Total_Cost]]</f>
        <v>6933.4</v>
      </c>
      <c r="W999" t="str">
        <f>TEXT(Table1[[#This Row],[Order_Date]],"mmm")</f>
        <v>May</v>
      </c>
      <c r="X999">
        <f>ROUNDUP(MONTH(Table1[[#This Row],[Order_Date]])/3,0)</f>
        <v>2</v>
      </c>
      <c r="Y999">
        <f>YEAR(Table1[[#This Row],[Order_Date]])</f>
        <v>2024</v>
      </c>
    </row>
    <row r="1000" spans="1:25" x14ac:dyDescent="0.25">
      <c r="A1000" t="s">
        <v>4059</v>
      </c>
      <c r="B1000" t="s">
        <v>4060</v>
      </c>
      <c r="C1000" t="s">
        <v>4061</v>
      </c>
      <c r="D1000" t="s">
        <v>4062</v>
      </c>
      <c r="E1000" t="s">
        <v>149</v>
      </c>
      <c r="F1000" t="s">
        <v>84</v>
      </c>
      <c r="G1000" t="s">
        <v>264</v>
      </c>
      <c r="H1000" t="s">
        <v>32</v>
      </c>
      <c r="I1000" t="s">
        <v>43</v>
      </c>
      <c r="J1000" t="s">
        <v>126</v>
      </c>
      <c r="K1000">
        <v>3</v>
      </c>
      <c r="L1000">
        <v>1054.67</v>
      </c>
      <c r="M1000" s="3">
        <v>0.2</v>
      </c>
      <c r="N1000" t="str">
        <f>VLOOKUP(Table1[[#This Row],[Country]],REF_Country!$A$1:$D$11,2,FALSE)</f>
        <v>East Asia</v>
      </c>
      <c r="O1000" t="str">
        <f>VLOOKUP(Table1[[#This Row],[Country]],REF_Country!$A$1:$D$11,3,FALSE)</f>
        <v>JP</v>
      </c>
      <c r="P1000">
        <f>VLOOKUP(Table1[[#This Row],[Country]],REF_Country!$A$1:$D$11,4,FALSE)</f>
        <v>0.1</v>
      </c>
      <c r="Q1000">
        <f>VLOOKUP(Table1[[#This Row],[Category]],REF_Target!$A$1:$E$6,2,FALSE)</f>
        <v>30000</v>
      </c>
      <c r="R1000">
        <f>Table1[[#This Row],[Quantity]]*Table1[[#This Row],[Unit_Price]]</f>
        <v>3164.01</v>
      </c>
      <c r="S1000">
        <f>Table1[[#This Row],[Gross_Sales]]*Table1[[#This Row],[Discount_Rate]]</f>
        <v>632.80200000000013</v>
      </c>
      <c r="T1000">
        <f>Table1[[#This Row],[Gross_Sales]]-Table1[[#This Row],[Discount_Amount]]</f>
        <v>2531.2080000000001</v>
      </c>
      <c r="U1000">
        <f>VLOOKUP(Table1[[#This Row],[Category]],REF_Cost!$A$1:$B$6,2,FALSE)*Table1[[#This Row],[Quantity]]</f>
        <v>600</v>
      </c>
      <c r="V1000">
        <f>Table1[[#This Row],[Net_Sales]]-Table1[[#This Row],[Total_Cost]]</f>
        <v>1931.2080000000001</v>
      </c>
      <c r="W1000" t="str">
        <f>TEXT(Table1[[#This Row],[Order_Date]],"mmm")</f>
        <v>Jul</v>
      </c>
      <c r="X1000">
        <f>ROUNDUP(MONTH(Table1[[#This Row],[Order_Date]])/3,0)</f>
        <v>3</v>
      </c>
      <c r="Y1000">
        <f>YEAR(Table1[[#This Row],[Order_Date]])</f>
        <v>2024</v>
      </c>
    </row>
    <row r="1001" spans="1:25" x14ac:dyDescent="0.25">
      <c r="A1001" t="s">
        <v>4063</v>
      </c>
      <c r="B1001" t="s">
        <v>4064</v>
      </c>
      <c r="C1001" t="s">
        <v>4065</v>
      </c>
      <c r="D1001" t="s">
        <v>4066</v>
      </c>
      <c r="E1001" t="s">
        <v>200</v>
      </c>
      <c r="F1001" t="s">
        <v>49</v>
      </c>
      <c r="G1001" t="s">
        <v>50</v>
      </c>
      <c r="H1001" t="s">
        <v>58</v>
      </c>
      <c r="I1001" t="s">
        <v>51</v>
      </c>
      <c r="J1001" t="s">
        <v>73</v>
      </c>
      <c r="K1001">
        <v>9</v>
      </c>
      <c r="L1001">
        <v>666.3</v>
      </c>
      <c r="M1001" s="3">
        <v>0.2</v>
      </c>
      <c r="N1001" t="str">
        <f>VLOOKUP(Table1[[#This Row],[Country]],REF_Country!$A$1:$D$11,2,FALSE)</f>
        <v>East Asia</v>
      </c>
      <c r="O1001" t="str">
        <f>VLOOKUP(Table1[[#This Row],[Country]],REF_Country!$A$1:$D$11,3,FALSE)</f>
        <v>KR</v>
      </c>
      <c r="P1001">
        <f>VLOOKUP(Table1[[#This Row],[Country]],REF_Country!$A$1:$D$11,4,FALSE)</f>
        <v>0.1</v>
      </c>
      <c r="Q1001">
        <f>VLOOKUP(Table1[[#This Row],[Category]],REF_Target!$A$1:$E$6,2,FALSE)</f>
        <v>35000</v>
      </c>
      <c r="R1001">
        <f>Table1[[#This Row],[Quantity]]*Table1[[#This Row],[Unit_Price]]</f>
        <v>5996.7</v>
      </c>
      <c r="S1001">
        <f>Table1[[#This Row],[Gross_Sales]]*Table1[[#This Row],[Discount_Rate]]</f>
        <v>1199.3399999999999</v>
      </c>
      <c r="T1001">
        <f>Table1[[#This Row],[Gross_Sales]]-Table1[[#This Row],[Discount_Amount]]</f>
        <v>4797.3599999999997</v>
      </c>
      <c r="U1001">
        <f>VLOOKUP(Table1[[#This Row],[Category]],REF_Cost!$A$1:$B$6,2,FALSE)*Table1[[#This Row],[Quantity]]</f>
        <v>1350</v>
      </c>
      <c r="V1001">
        <f>Table1[[#This Row],[Net_Sales]]-Table1[[#This Row],[Total_Cost]]</f>
        <v>3447.3599999999997</v>
      </c>
      <c r="W1001" t="str">
        <f>TEXT(Table1[[#This Row],[Order_Date]],"mmm")</f>
        <v>Oct</v>
      </c>
      <c r="X1001">
        <f>ROUNDUP(MONTH(Table1[[#This Row],[Order_Date]])/3,0)</f>
        <v>4</v>
      </c>
      <c r="Y1001">
        <f>YEAR(Table1[[#This Row],[Order_Date]])</f>
        <v>2024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ACB2-DE63-464F-89F4-FD48A45990A2}">
  <dimension ref="A3:B14"/>
  <sheetViews>
    <sheetView workbookViewId="0">
      <selection activeCell="G19" sqref="G19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4" t="s">
        <v>4093</v>
      </c>
      <c r="B3" t="s">
        <v>4095</v>
      </c>
    </row>
    <row r="4" spans="1:2" x14ac:dyDescent="0.25">
      <c r="A4" s="5" t="s">
        <v>78</v>
      </c>
      <c r="B4" s="6">
        <v>343314.4755</v>
      </c>
    </row>
    <row r="5" spans="1:2" x14ac:dyDescent="0.25">
      <c r="A5" s="5" t="s">
        <v>83</v>
      </c>
      <c r="B5" s="6">
        <v>374220.47050000005</v>
      </c>
    </row>
    <row r="6" spans="1:2" x14ac:dyDescent="0.25">
      <c r="A6" s="5" t="s">
        <v>64</v>
      </c>
      <c r="B6" s="6">
        <v>384871.13700000005</v>
      </c>
    </row>
    <row r="7" spans="1:2" x14ac:dyDescent="0.25">
      <c r="A7" s="5" t="s">
        <v>149</v>
      </c>
      <c r="B7" s="6">
        <v>462404.77650000004</v>
      </c>
    </row>
    <row r="8" spans="1:2" x14ac:dyDescent="0.25">
      <c r="A8" s="5" t="s">
        <v>116</v>
      </c>
      <c r="B8" s="6">
        <v>362018.07200000022</v>
      </c>
    </row>
    <row r="9" spans="1:2" x14ac:dyDescent="0.25">
      <c r="A9" s="5" t="s">
        <v>71</v>
      </c>
      <c r="B9" s="6">
        <v>339717.75050000014</v>
      </c>
    </row>
    <row r="10" spans="1:2" x14ac:dyDescent="0.25">
      <c r="A10" s="5" t="s">
        <v>48</v>
      </c>
      <c r="B10" s="6">
        <v>303589.77600000001</v>
      </c>
    </row>
    <row r="11" spans="1:2" x14ac:dyDescent="0.25">
      <c r="A11" s="5" t="s">
        <v>200</v>
      </c>
      <c r="B11" s="6">
        <v>480979.85099999985</v>
      </c>
    </row>
    <row r="12" spans="1:2" x14ac:dyDescent="0.25">
      <c r="A12" s="5" t="s">
        <v>39</v>
      </c>
      <c r="B12" s="6">
        <v>392704.79899999994</v>
      </c>
    </row>
    <row r="13" spans="1:2" x14ac:dyDescent="0.25">
      <c r="A13" s="5" t="s">
        <v>29</v>
      </c>
      <c r="B13" s="6">
        <v>452884.45150000014</v>
      </c>
    </row>
    <row r="14" spans="1:2" x14ac:dyDescent="0.25">
      <c r="A14" s="5" t="s">
        <v>4094</v>
      </c>
      <c r="B14" s="6">
        <v>3896705.5595000004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E97F-4D77-40A6-A485-9E286CBA112C}">
  <dimension ref="A3:B16"/>
  <sheetViews>
    <sheetView workbookViewId="0">
      <selection activeCell="B16" sqref="B16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4" t="s">
        <v>4093</v>
      </c>
      <c r="B3" t="s">
        <v>4095</v>
      </c>
    </row>
    <row r="4" spans="1:2" x14ac:dyDescent="0.25">
      <c r="A4" s="5" t="s">
        <v>4097</v>
      </c>
      <c r="B4" s="6">
        <v>346159.76800000021</v>
      </c>
    </row>
    <row r="5" spans="1:2" x14ac:dyDescent="0.25">
      <c r="A5" s="5" t="s">
        <v>4098</v>
      </c>
      <c r="B5" s="6">
        <v>295062.40550000005</v>
      </c>
    </row>
    <row r="6" spans="1:2" x14ac:dyDescent="0.25">
      <c r="A6" s="5" t="s">
        <v>4099</v>
      </c>
      <c r="B6" s="6">
        <v>320397.62650000019</v>
      </c>
    </row>
    <row r="7" spans="1:2" x14ac:dyDescent="0.25">
      <c r="A7" s="5" t="s">
        <v>4100</v>
      </c>
      <c r="B7" s="6">
        <v>374506.6129999999</v>
      </c>
    </row>
    <row r="8" spans="1:2" x14ac:dyDescent="0.25">
      <c r="A8" s="5" t="s">
        <v>4101</v>
      </c>
      <c r="B8" s="6">
        <v>313658.78149999998</v>
      </c>
    </row>
    <row r="9" spans="1:2" x14ac:dyDescent="0.25">
      <c r="A9" s="5" t="s">
        <v>4102</v>
      </c>
      <c r="B9" s="6">
        <v>305800.72599999997</v>
      </c>
    </row>
    <row r="10" spans="1:2" x14ac:dyDescent="0.25">
      <c r="A10" s="5" t="s">
        <v>4103</v>
      </c>
      <c r="B10" s="6">
        <v>346638.43449999992</v>
      </c>
    </row>
    <row r="11" spans="1:2" x14ac:dyDescent="0.25">
      <c r="A11" s="5" t="s">
        <v>4104</v>
      </c>
      <c r="B11" s="6">
        <v>330882.5425000001</v>
      </c>
    </row>
    <row r="12" spans="1:2" x14ac:dyDescent="0.25">
      <c r="A12" s="5" t="s">
        <v>4105</v>
      </c>
      <c r="B12" s="6">
        <v>328789.65200000012</v>
      </c>
    </row>
    <row r="13" spans="1:2" x14ac:dyDescent="0.25">
      <c r="A13" s="5" t="s">
        <v>4106</v>
      </c>
      <c r="B13" s="6">
        <v>261367.73599999998</v>
      </c>
    </row>
    <row r="14" spans="1:2" x14ac:dyDescent="0.25">
      <c r="A14" s="5" t="s">
        <v>4107</v>
      </c>
      <c r="B14" s="6">
        <v>338561.63750000007</v>
      </c>
    </row>
    <row r="15" spans="1:2" x14ac:dyDescent="0.25">
      <c r="A15" s="5" t="s">
        <v>4108</v>
      </c>
      <c r="B15" s="6">
        <v>334879.63649999996</v>
      </c>
    </row>
    <row r="16" spans="1:2" x14ac:dyDescent="0.25">
      <c r="A16" s="5" t="s">
        <v>4094</v>
      </c>
      <c r="B16" s="6">
        <v>3896705.5595000009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28EA-ED93-4082-8627-A987CAA6FFA3}">
  <dimension ref="A3:F10"/>
  <sheetViews>
    <sheetView workbookViewId="0">
      <selection activeCell="I23" sqref="I23"/>
    </sheetView>
  </sheetViews>
  <sheetFormatPr defaultRowHeight="15" x14ac:dyDescent="0.25"/>
  <cols>
    <col min="1" max="1" width="16.5703125" bestFit="1" customWidth="1"/>
    <col min="2" max="2" width="16.28515625" bestFit="1" customWidth="1"/>
    <col min="3" max="3" width="12.140625" bestFit="1" customWidth="1"/>
    <col min="4" max="4" width="12" bestFit="1" customWidth="1"/>
    <col min="5" max="5" width="11.28515625" bestFit="1" customWidth="1"/>
    <col min="6" max="6" width="12" bestFit="1" customWidth="1"/>
  </cols>
  <sheetData>
    <row r="3" spans="1:6" x14ac:dyDescent="0.25">
      <c r="A3" s="4" t="s">
        <v>4095</v>
      </c>
      <c r="B3" s="4" t="s">
        <v>4109</v>
      </c>
    </row>
    <row r="4" spans="1:6" x14ac:dyDescent="0.25">
      <c r="A4" s="4" t="s">
        <v>4093</v>
      </c>
      <c r="B4" t="s">
        <v>58</v>
      </c>
      <c r="C4" t="s">
        <v>42</v>
      </c>
      <c r="D4" t="s">
        <v>32</v>
      </c>
      <c r="E4" t="s">
        <v>72</v>
      </c>
      <c r="F4" t="s">
        <v>4094</v>
      </c>
    </row>
    <row r="5" spans="1:6" x14ac:dyDescent="0.25">
      <c r="A5" s="5" t="s">
        <v>40</v>
      </c>
      <c r="B5" s="6">
        <v>199124.56200000003</v>
      </c>
      <c r="C5" s="6">
        <v>198298.45199999996</v>
      </c>
      <c r="D5" s="6">
        <v>238495.01149999996</v>
      </c>
      <c r="E5" s="6">
        <v>110307.33100000001</v>
      </c>
      <c r="F5" s="6">
        <v>746225.35649999999</v>
      </c>
    </row>
    <row r="6" spans="1:6" x14ac:dyDescent="0.25">
      <c r="A6" s="5" t="s">
        <v>56</v>
      </c>
      <c r="B6" s="6">
        <v>202621.24700000003</v>
      </c>
      <c r="C6" s="6">
        <v>154935.26450000002</v>
      </c>
      <c r="D6" s="6">
        <v>230138.01150000005</v>
      </c>
      <c r="E6" s="6">
        <v>262718.76299999998</v>
      </c>
      <c r="F6" s="6">
        <v>850413.28600000008</v>
      </c>
    </row>
    <row r="7" spans="1:6" x14ac:dyDescent="0.25">
      <c r="A7" s="5" t="s">
        <v>30</v>
      </c>
      <c r="B7" s="6">
        <v>221851.50099999999</v>
      </c>
      <c r="C7" s="6">
        <v>183327.60349999988</v>
      </c>
      <c r="D7" s="6">
        <v>167735.88450000001</v>
      </c>
      <c r="E7" s="6">
        <v>186526.46999999994</v>
      </c>
      <c r="F7" s="6">
        <v>759441.45899999992</v>
      </c>
    </row>
    <row r="8" spans="1:6" x14ac:dyDescent="0.25">
      <c r="A8" s="5" t="s">
        <v>84</v>
      </c>
      <c r="B8" s="6">
        <v>153175.22549999997</v>
      </c>
      <c r="C8" s="6">
        <v>245208.94700000001</v>
      </c>
      <c r="D8" s="6">
        <v>197257.37500000003</v>
      </c>
      <c r="E8" s="6">
        <v>176861.96699999998</v>
      </c>
      <c r="F8" s="6">
        <v>772503.51449999993</v>
      </c>
    </row>
    <row r="9" spans="1:6" x14ac:dyDescent="0.25">
      <c r="A9" s="5" t="s">
        <v>49</v>
      </c>
      <c r="B9" s="6">
        <v>157340.72299999997</v>
      </c>
      <c r="C9" s="6">
        <v>193380.9595</v>
      </c>
      <c r="D9" s="6">
        <v>213661.505</v>
      </c>
      <c r="E9" s="6">
        <v>203738.75600000008</v>
      </c>
      <c r="F9" s="6">
        <v>768121.94350000005</v>
      </c>
    </row>
    <row r="10" spans="1:6" x14ac:dyDescent="0.25">
      <c r="A10" s="5" t="s">
        <v>4094</v>
      </c>
      <c r="B10" s="6">
        <v>934113.2585</v>
      </c>
      <c r="C10" s="6">
        <v>975151.22649999987</v>
      </c>
      <c r="D10" s="6">
        <v>1047287.7875000001</v>
      </c>
      <c r="E10" s="6">
        <v>940153.28699999989</v>
      </c>
      <c r="F10" s="6">
        <v>3896705.5595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BF8F-7865-4852-A45B-1D51627E1D6E}">
  <dimension ref="A3:C9"/>
  <sheetViews>
    <sheetView workbookViewId="0">
      <selection activeCell="M11" sqref="M11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6.5703125" bestFit="1" customWidth="1"/>
  </cols>
  <sheetData>
    <row r="3" spans="1:3" x14ac:dyDescent="0.25">
      <c r="A3" s="4" t="s">
        <v>4093</v>
      </c>
      <c r="B3" t="s">
        <v>4110</v>
      </c>
      <c r="C3" t="s">
        <v>4095</v>
      </c>
    </row>
    <row r="4" spans="1:3" x14ac:dyDescent="0.25">
      <c r="A4" s="5" t="s">
        <v>95</v>
      </c>
      <c r="B4" s="6">
        <v>307</v>
      </c>
      <c r="C4" s="6">
        <v>248515.57600000003</v>
      </c>
    </row>
    <row r="5" spans="1:3" x14ac:dyDescent="0.25">
      <c r="A5" s="5" t="s">
        <v>90</v>
      </c>
      <c r="B5" s="6">
        <v>297</v>
      </c>
      <c r="C5" s="6">
        <v>217453.79099999994</v>
      </c>
    </row>
    <row r="6" spans="1:3" x14ac:dyDescent="0.25">
      <c r="A6" s="5" t="s">
        <v>315</v>
      </c>
      <c r="B6" s="6">
        <v>269</v>
      </c>
      <c r="C6" s="6">
        <v>194423.66600000003</v>
      </c>
    </row>
    <row r="7" spans="1:3" x14ac:dyDescent="0.25">
      <c r="A7" s="5" t="s">
        <v>57</v>
      </c>
      <c r="B7" s="6">
        <v>259</v>
      </c>
      <c r="C7" s="6">
        <v>186949.6875</v>
      </c>
    </row>
    <row r="8" spans="1:3" x14ac:dyDescent="0.25">
      <c r="A8" s="5" t="s">
        <v>144</v>
      </c>
      <c r="B8" s="6">
        <v>274</v>
      </c>
      <c r="C8" s="6">
        <v>170436.54749999999</v>
      </c>
    </row>
    <row r="9" spans="1:3" x14ac:dyDescent="0.25">
      <c r="A9" s="5" t="s">
        <v>4094</v>
      </c>
      <c r="B9" s="6">
        <v>1406</v>
      </c>
      <c r="C9" s="6">
        <v>1017779.2679999999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0A7B-FC82-43BC-8861-F28CD9511A63}">
  <dimension ref="A3:C8"/>
  <sheetViews>
    <sheetView workbookViewId="0">
      <selection activeCell="M9" sqref="M9"/>
    </sheetView>
  </sheetViews>
  <sheetFormatPr defaultRowHeight="15" x14ac:dyDescent="0.25"/>
  <cols>
    <col min="1" max="1" width="14.140625" bestFit="1" customWidth="1"/>
    <col min="2" max="2" width="12.5703125" bestFit="1" customWidth="1"/>
    <col min="3" max="3" width="24.140625" bestFit="1" customWidth="1"/>
  </cols>
  <sheetData>
    <row r="3" spans="1:3" x14ac:dyDescent="0.25">
      <c r="A3" s="4" t="s">
        <v>4093</v>
      </c>
      <c r="B3" t="s">
        <v>4096</v>
      </c>
      <c r="C3" t="s">
        <v>4111</v>
      </c>
    </row>
    <row r="4" spans="1:3" x14ac:dyDescent="0.25">
      <c r="A4" s="5" t="s">
        <v>4074</v>
      </c>
      <c r="B4" s="6">
        <v>675174.62750000006</v>
      </c>
      <c r="C4" s="6">
        <v>7.8110599078340989E-2</v>
      </c>
    </row>
    <row r="5" spans="1:3" x14ac:dyDescent="0.25">
      <c r="A5" s="5" t="s">
        <v>4077</v>
      </c>
      <c r="B5" s="6">
        <v>251634.47549999991</v>
      </c>
      <c r="C5" s="6">
        <v>9.4791666666666663E-2</v>
      </c>
    </row>
    <row r="6" spans="1:3" x14ac:dyDescent="0.25">
      <c r="A6" s="5" t="s">
        <v>4079</v>
      </c>
      <c r="B6" s="6">
        <v>274660.47049999994</v>
      </c>
      <c r="C6" s="6">
        <v>8.4895833333333323E-2</v>
      </c>
    </row>
    <row r="7" spans="1:3" x14ac:dyDescent="0.25">
      <c r="A7" s="5" t="s">
        <v>4067</v>
      </c>
      <c r="B7" s="6">
        <v>1561445.9859999993</v>
      </c>
      <c r="C7" s="6">
        <v>8.8578680203045615E-2</v>
      </c>
    </row>
    <row r="8" spans="1:3" x14ac:dyDescent="0.25">
      <c r="A8" s="5" t="s">
        <v>4094</v>
      </c>
      <c r="B8" s="6">
        <v>2762915.5594999967</v>
      </c>
      <c r="C8" s="6">
        <v>8.6550000000000099E-2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CAC8-51E2-48B0-9D2A-D7C373FC0222}">
  <dimension ref="B3:U18"/>
  <sheetViews>
    <sheetView showGridLines="0" showRowColHeaders="0" workbookViewId="0">
      <selection activeCell="J12" sqref="J12"/>
    </sheetView>
  </sheetViews>
  <sheetFormatPr defaultRowHeight="15" x14ac:dyDescent="0.25"/>
  <sheetData>
    <row r="3" spans="2:21" ht="23.25" customHeight="1" x14ac:dyDescent="0.4">
      <c r="B3" s="18" t="s">
        <v>4112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6" spans="2:21" x14ac:dyDescent="0.25">
      <c r="B6" s="16"/>
      <c r="C6" s="16"/>
      <c r="D6" s="16"/>
      <c r="E6" s="7" t="s">
        <v>4113</v>
      </c>
      <c r="F6" s="7"/>
      <c r="G6" s="16"/>
      <c r="H6" s="9" t="s">
        <v>21</v>
      </c>
      <c r="I6" s="10"/>
      <c r="J6" s="16"/>
      <c r="K6" s="9" t="s">
        <v>10</v>
      </c>
      <c r="L6" s="10"/>
      <c r="M6" s="16"/>
      <c r="N6" s="9" t="s">
        <v>4114</v>
      </c>
      <c r="O6" s="10"/>
      <c r="P6" s="16"/>
      <c r="Q6" s="16"/>
      <c r="R6" s="16"/>
      <c r="S6" s="16"/>
      <c r="T6" s="16"/>
      <c r="U6" s="16"/>
    </row>
    <row r="7" spans="2:21" x14ac:dyDescent="0.25">
      <c r="B7" s="15"/>
      <c r="C7" s="15"/>
      <c r="D7" s="15"/>
      <c r="E7" s="8">
        <v>3896705.5595000009</v>
      </c>
      <c r="F7" s="8"/>
      <c r="G7" s="15"/>
      <c r="H7" s="11">
        <v>2762915.5594999967</v>
      </c>
      <c r="I7" s="12"/>
      <c r="J7" s="15"/>
      <c r="K7" s="11">
        <v>5574</v>
      </c>
      <c r="L7" s="12"/>
      <c r="M7" s="17"/>
      <c r="N7" s="13">
        <v>1000</v>
      </c>
      <c r="O7" s="14"/>
      <c r="P7" s="17"/>
      <c r="Q7" s="15"/>
      <c r="R7" s="15"/>
      <c r="S7" s="17"/>
      <c r="T7" s="17"/>
      <c r="U7" s="17"/>
    </row>
    <row r="10" spans="2:21" x14ac:dyDescent="0.25">
      <c r="S10" s="16"/>
      <c r="T10" s="16"/>
    </row>
    <row r="11" spans="2:21" x14ac:dyDescent="0.25">
      <c r="S11" s="15"/>
      <c r="T11" s="15"/>
    </row>
    <row r="14" spans="2:21" x14ac:dyDescent="0.25">
      <c r="S14" s="16"/>
      <c r="T14" s="16"/>
    </row>
    <row r="15" spans="2:21" x14ac:dyDescent="0.25">
      <c r="S15" s="15"/>
      <c r="T15" s="15"/>
    </row>
    <row r="17" spans="19:20" x14ac:dyDescent="0.25">
      <c r="S17" s="16"/>
      <c r="T17" s="16"/>
    </row>
    <row r="18" spans="19:20" x14ac:dyDescent="0.25">
      <c r="S18" s="15"/>
      <c r="T18" s="15"/>
    </row>
  </sheetData>
  <mergeCells count="9">
    <mergeCell ref="N6:O6"/>
    <mergeCell ref="N7:O7"/>
    <mergeCell ref="B3:R3"/>
    <mergeCell ref="E6:F6"/>
    <mergeCell ref="E7:F7"/>
    <mergeCell ref="H6:I6"/>
    <mergeCell ref="H7:I7"/>
    <mergeCell ref="K6:L6"/>
    <mergeCell ref="K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RAW_DATA</vt:lpstr>
      <vt:lpstr>REF_Country</vt:lpstr>
      <vt:lpstr>REF_Target</vt:lpstr>
      <vt:lpstr>REF_Cost</vt:lpstr>
      <vt:lpstr>PETUNJUK</vt:lpstr>
      <vt:lpstr>ANALYSIS</vt:lpstr>
      <vt:lpstr>Pivot_1</vt:lpstr>
      <vt:lpstr>Pivot_2</vt:lpstr>
      <vt:lpstr>Pivot_3</vt:lpstr>
      <vt:lpstr>pivot_4</vt:lpstr>
      <vt:lpstr>Pivot_5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Inayah Maula</cp:lastModifiedBy>
  <dcterms:created xsi:type="dcterms:W3CDTF">2026-10-07T18:28:03Z</dcterms:created>
  <dcterms:modified xsi:type="dcterms:W3CDTF">2026-10-09T18:22:52Z</dcterms:modified>
</cp:coreProperties>
</file>